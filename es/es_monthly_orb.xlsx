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4" fontId="0" fillId="5" borderId="1" pivotButton="0" quotePrefix="0" xfId="0"/>
    <xf numFmtId="2" fontId="0" fillId="5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Period</t>
        </is>
      </c>
      <c r="B1" s="1" t="inlineStr">
        <is>
          <t>Symbol</t>
        </is>
      </c>
      <c r="C1" s="1" t="inlineStr">
        <is>
          <t>Range_Days</t>
        </is>
      </c>
      <c r="D1" s="1" t="inlineStr">
        <is>
          <t>Trade_Days</t>
        </is>
      </c>
      <c r="E1" s="1" t="inlineStr">
        <is>
          <t>Range_High</t>
        </is>
      </c>
      <c r="F1" s="1" t="inlineStr">
        <is>
          <t>Range_Low</t>
        </is>
      </c>
      <c r="G1" s="1" t="inlineStr">
        <is>
          <t>Range</t>
        </is>
      </c>
      <c r="H1" s="1" t="inlineStr">
        <is>
          <t>Trade_Direction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Trade_PL</t>
        </is>
      </c>
      <c r="L1" s="1" t="inlineStr">
        <is>
          <t>Drawdown_Pct</t>
        </is>
      </c>
      <c r="M1" s="1" t="inlineStr">
        <is>
          <t>Result</t>
        </is>
      </c>
      <c r="N1" s="1" t="inlineStr">
        <is>
          <t>Cumulative_PL</t>
        </is>
      </c>
    </row>
    <row r="2">
      <c r="A2" s="2" t="inlineStr">
        <is>
          <t>2010-06</t>
        </is>
      </c>
      <c r="B2" s="2" t="inlineStr">
        <is>
          <t>ESM0</t>
        </is>
      </c>
      <c r="C2" s="2" t="n">
        <v>3</v>
      </c>
      <c r="D2" s="2" t="n">
        <v>19</v>
      </c>
      <c r="E2" s="3" t="n">
        <v>1070.75</v>
      </c>
      <c r="F2" s="3" t="n">
        <v>1041.25</v>
      </c>
      <c r="G2" s="3">
        <f>E2-F2</f>
        <v/>
      </c>
      <c r="H2" s="2" t="inlineStr">
        <is>
          <t>Long</t>
        </is>
      </c>
      <c r="I2" s="3" t="n">
        <v>1070.75</v>
      </c>
      <c r="J2" s="3" t="n">
        <v>1100.25</v>
      </c>
      <c r="K2" s="3">
        <f>IF(H2="Long",J2-I2,IF(H2="Short",I2-J2,0))</f>
        <v/>
      </c>
      <c r="L2" s="4" t="n">
        <v>1.69</v>
      </c>
      <c r="M2" s="2" t="inlineStr">
        <is>
          <t>Win</t>
        </is>
      </c>
      <c r="N2" s="3">
        <f>K2</f>
        <v/>
      </c>
    </row>
    <row r="3">
      <c r="A3" s="5" t="inlineStr">
        <is>
          <t>2010-06</t>
        </is>
      </c>
      <c r="B3" s="5" t="inlineStr">
        <is>
          <t>ESM0</t>
        </is>
      </c>
      <c r="C3" s="5" t="n">
        <v>3</v>
      </c>
      <c r="D3" s="5" t="n">
        <v>19</v>
      </c>
      <c r="E3" s="6" t="n">
        <v>1070.75</v>
      </c>
      <c r="F3" s="6" t="n">
        <v>1041.25</v>
      </c>
      <c r="G3" s="6">
        <f>E3-F3</f>
        <v/>
      </c>
      <c r="H3" s="5" t="inlineStr">
        <is>
          <t>Long</t>
        </is>
      </c>
      <c r="I3" s="6" t="n">
        <v>1070.75</v>
      </c>
      <c r="J3" s="6" t="n">
        <v>1041.25</v>
      </c>
      <c r="K3" s="6">
        <f>IF(H3="Long",J3-I3,IF(H3="Short",I3-J3,0))</f>
        <v/>
      </c>
      <c r="L3" s="7" t="n">
        <v>100</v>
      </c>
      <c r="M3" s="5" t="inlineStr">
        <is>
          <t>Loss</t>
        </is>
      </c>
      <c r="N3" s="6">
        <f>N2+K3</f>
        <v/>
      </c>
    </row>
    <row r="4">
      <c r="A4" s="2" t="inlineStr">
        <is>
          <t>2010-07</t>
        </is>
      </c>
      <c r="B4" s="2" t="inlineStr">
        <is>
          <t>ESU0</t>
        </is>
      </c>
      <c r="C4" s="2" t="n">
        <v>3</v>
      </c>
      <c r="D4" s="2" t="n">
        <v>23</v>
      </c>
      <c r="E4" s="3" t="n">
        <v>1032.5</v>
      </c>
      <c r="F4" s="3" t="n">
        <v>1006</v>
      </c>
      <c r="G4" s="3">
        <f>E4-F4</f>
        <v/>
      </c>
      <c r="H4" s="2" t="inlineStr">
        <is>
          <t>Long</t>
        </is>
      </c>
      <c r="I4" s="3" t="n">
        <v>1032.5</v>
      </c>
      <c r="J4" s="3" t="n">
        <v>1059</v>
      </c>
      <c r="K4" s="3">
        <f>IF(H4="Long",J4-I4,IF(H4="Short",I4-J4,0))</f>
        <v/>
      </c>
      <c r="L4" s="4" t="n">
        <v>0</v>
      </c>
      <c r="M4" s="2" t="inlineStr">
        <is>
          <t>Win</t>
        </is>
      </c>
      <c r="N4" s="3">
        <f>N3+K4</f>
        <v/>
      </c>
    </row>
    <row r="5">
      <c r="A5" s="5" t="inlineStr">
        <is>
          <t>2010-08</t>
        </is>
      </c>
      <c r="B5" s="5" t="inlineStr">
        <is>
          <t>ESU0</t>
        </is>
      </c>
      <c r="C5" s="5" t="n">
        <v>3</v>
      </c>
      <c r="D5" s="5" t="n">
        <v>24</v>
      </c>
      <c r="E5" s="6" t="n">
        <v>1124.25</v>
      </c>
      <c r="F5" s="6" t="n">
        <v>1101.75</v>
      </c>
      <c r="G5" s="6">
        <f>E5-F5</f>
        <v/>
      </c>
      <c r="H5" s="5" t="inlineStr">
        <is>
          <t>Long</t>
        </is>
      </c>
      <c r="I5" s="6" t="n">
        <v>1124.25</v>
      </c>
      <c r="J5" s="6" t="n">
        <v>1101.75</v>
      </c>
      <c r="K5" s="6">
        <f>IF(H5="Long",J5-I5,IF(H5="Short",I5-J5,0))</f>
        <v/>
      </c>
      <c r="L5" s="7" t="n">
        <v>100</v>
      </c>
      <c r="M5" s="5" t="inlineStr">
        <is>
          <t>Loss</t>
        </is>
      </c>
      <c r="N5" s="6">
        <f>N4+K5</f>
        <v/>
      </c>
    </row>
    <row r="6">
      <c r="A6" s="2" t="inlineStr">
        <is>
          <t>2010-08</t>
        </is>
      </c>
      <c r="B6" s="2" t="inlineStr">
        <is>
          <t>ESU0</t>
        </is>
      </c>
      <c r="C6" s="2" t="n">
        <v>3</v>
      </c>
      <c r="D6" s="2" t="n">
        <v>24</v>
      </c>
      <c r="E6" s="3" t="n">
        <v>1124.25</v>
      </c>
      <c r="F6" s="3" t="n">
        <v>1101.75</v>
      </c>
      <c r="G6" s="3">
        <f>E6-F6</f>
        <v/>
      </c>
      <c r="H6" s="2" t="inlineStr">
        <is>
          <t>Short</t>
        </is>
      </c>
      <c r="I6" s="3" t="n">
        <v>1101.75</v>
      </c>
      <c r="J6" s="3" t="n">
        <v>1079.25</v>
      </c>
      <c r="K6" s="3">
        <f>IF(H6="Long",J6-I6,IF(H6="Short",I6-J6,0))</f>
        <v/>
      </c>
      <c r="L6" s="4" t="n">
        <v>0</v>
      </c>
      <c r="M6" s="2" t="inlineStr">
        <is>
          <t>Win</t>
        </is>
      </c>
      <c r="N6" s="3">
        <f>N5+K6</f>
        <v/>
      </c>
    </row>
    <row r="7">
      <c r="A7" s="8" t="inlineStr">
        <is>
          <t>2010-09</t>
        </is>
      </c>
      <c r="B7" s="8" t="inlineStr">
        <is>
          <t>ESU0</t>
        </is>
      </c>
      <c r="C7" s="8" t="n">
        <v>3</v>
      </c>
      <c r="D7" s="8" t="n">
        <v>23</v>
      </c>
      <c r="E7" s="9" t="n">
        <v>1104.5</v>
      </c>
      <c r="F7" s="9" t="n">
        <v>1050.75</v>
      </c>
      <c r="G7" s="9">
        <f>E7-F7</f>
        <v/>
      </c>
      <c r="H7" s="8" t="inlineStr">
        <is>
          <t>Long</t>
        </is>
      </c>
      <c r="I7" s="9" t="n">
        <v>1104.5</v>
      </c>
      <c r="J7" s="9" t="n">
        <v>1137.5</v>
      </c>
      <c r="K7" s="9">
        <f>IF(H7="Long",J7-I7,IF(H7="Short",I7-J7,0))</f>
        <v/>
      </c>
      <c r="L7" s="10" t="n">
        <v>0</v>
      </c>
      <c r="M7" s="8" t="inlineStr">
        <is>
          <t>Period-Close</t>
        </is>
      </c>
      <c r="N7" s="9">
        <f>N6+K7</f>
        <v/>
      </c>
    </row>
    <row r="8">
      <c r="A8" s="2" t="inlineStr">
        <is>
          <t>2010-10</t>
        </is>
      </c>
      <c r="B8" s="2" t="inlineStr">
        <is>
          <t>ESZ0</t>
        </is>
      </c>
      <c r="C8" s="2" t="n">
        <v>3</v>
      </c>
      <c r="D8" s="2" t="n">
        <v>23</v>
      </c>
      <c r="E8" s="3" t="n">
        <v>1146.5</v>
      </c>
      <c r="F8" s="3" t="n">
        <v>1127</v>
      </c>
      <c r="G8" s="3">
        <f>E8-F8</f>
        <v/>
      </c>
      <c r="H8" s="2" t="inlineStr">
        <is>
          <t>Long</t>
        </is>
      </c>
      <c r="I8" s="3" t="n">
        <v>1146.5</v>
      </c>
      <c r="J8" s="3" t="n">
        <v>1166</v>
      </c>
      <c r="K8" s="3">
        <f>IF(H8="Long",J8-I8,IF(H8="Short",I8-J8,0))</f>
        <v/>
      </c>
      <c r="L8" s="4" t="n">
        <v>5.13</v>
      </c>
      <c r="M8" s="2" t="inlineStr">
        <is>
          <t>Win</t>
        </is>
      </c>
      <c r="N8" s="3">
        <f>N7+K8</f>
        <v/>
      </c>
    </row>
    <row r="9">
      <c r="A9" s="2" t="inlineStr">
        <is>
          <t>2010-11</t>
        </is>
      </c>
      <c r="B9" s="2" t="inlineStr">
        <is>
          <t>ESZ0</t>
        </is>
      </c>
      <c r="C9" s="2" t="n">
        <v>3</v>
      </c>
      <c r="D9" s="2" t="n">
        <v>23</v>
      </c>
      <c r="E9" s="3" t="n">
        <v>1198</v>
      </c>
      <c r="F9" s="3" t="n">
        <v>1173.75</v>
      </c>
      <c r="G9" s="3">
        <f>E9-F9</f>
        <v/>
      </c>
      <c r="H9" s="2" t="inlineStr">
        <is>
          <t>Long</t>
        </is>
      </c>
      <c r="I9" s="3" t="n">
        <v>1198</v>
      </c>
      <c r="J9" s="3" t="n">
        <v>1222.25</v>
      </c>
      <c r="K9" s="3">
        <f>IF(H9="Long",J9-I9,IF(H9="Short",I9-J9,0))</f>
        <v/>
      </c>
      <c r="L9" s="4" t="n">
        <v>0</v>
      </c>
      <c r="M9" s="2" t="inlineStr">
        <is>
          <t>Win</t>
        </is>
      </c>
      <c r="N9" s="3">
        <f>N8+K9</f>
        <v/>
      </c>
    </row>
    <row r="10">
      <c r="A10" s="5" t="inlineStr">
        <is>
          <t>2010-11</t>
        </is>
      </c>
      <c r="B10" s="5" t="inlineStr">
        <is>
          <t>ESZ0</t>
        </is>
      </c>
      <c r="C10" s="5" t="n">
        <v>3</v>
      </c>
      <c r="D10" s="5" t="n">
        <v>23</v>
      </c>
      <c r="E10" s="6" t="n">
        <v>1198</v>
      </c>
      <c r="F10" s="6" t="n">
        <v>1173.75</v>
      </c>
      <c r="G10" s="6">
        <f>E10-F10</f>
        <v/>
      </c>
      <c r="H10" s="5" t="inlineStr">
        <is>
          <t>Long</t>
        </is>
      </c>
      <c r="I10" s="6" t="n">
        <v>1198</v>
      </c>
      <c r="J10" s="6" t="n">
        <v>1173.75</v>
      </c>
      <c r="K10" s="6">
        <f>IF(H10="Long",J10-I10,IF(H10="Short",I10-J10,0))</f>
        <v/>
      </c>
      <c r="L10" s="7" t="n">
        <v>100</v>
      </c>
      <c r="M10" s="5" t="inlineStr">
        <is>
          <t>Loss</t>
        </is>
      </c>
      <c r="N10" s="6">
        <f>N9+K10</f>
        <v/>
      </c>
    </row>
    <row r="11">
      <c r="A11" s="8" t="inlineStr">
        <is>
          <t>2010-12</t>
        </is>
      </c>
      <c r="B11" s="8" t="inlineStr">
        <is>
          <t>ESZ0</t>
        </is>
      </c>
      <c r="C11" s="8" t="n">
        <v>3</v>
      </c>
      <c r="D11" s="8" t="n">
        <v>23</v>
      </c>
      <c r="E11" s="9" t="n">
        <v>1227.25</v>
      </c>
      <c r="F11" s="9" t="n">
        <v>1176.5</v>
      </c>
      <c r="G11" s="9">
        <f>E11-F11</f>
        <v/>
      </c>
      <c r="H11" s="8" t="inlineStr">
        <is>
          <t>Long</t>
        </is>
      </c>
      <c r="I11" s="9" t="n">
        <v>1227.25</v>
      </c>
      <c r="J11" s="9" t="n">
        <v>1257.5</v>
      </c>
      <c r="K11" s="9">
        <f>IF(H11="Long",J11-I11,IF(H11="Short",I11-J11,0))</f>
        <v/>
      </c>
      <c r="L11" s="10" t="n">
        <v>1.48</v>
      </c>
      <c r="M11" s="8" t="inlineStr">
        <is>
          <t>Period-Close</t>
        </is>
      </c>
      <c r="N11" s="9">
        <f>N10+K11</f>
        <v/>
      </c>
    </row>
    <row r="12">
      <c r="A12" s="2" t="inlineStr">
        <is>
          <t>2011-01</t>
        </is>
      </c>
      <c r="B12" s="2" t="inlineStr">
        <is>
          <t>ESH1</t>
        </is>
      </c>
      <c r="C12" s="2" t="n">
        <v>3</v>
      </c>
      <c r="D12" s="2" t="n">
        <v>23</v>
      </c>
      <c r="E12" s="3" t="n">
        <v>1272.5</v>
      </c>
      <c r="F12" s="3" t="n">
        <v>1255.25</v>
      </c>
      <c r="G12" s="3">
        <f>E12-F12</f>
        <v/>
      </c>
      <c r="H12" s="2" t="inlineStr">
        <is>
          <t>Long</t>
        </is>
      </c>
      <c r="I12" s="3" t="n">
        <v>1272.5</v>
      </c>
      <c r="J12" s="3" t="n">
        <v>1289.75</v>
      </c>
      <c r="K12" s="3">
        <f>IF(H12="Long",J12-I12,IF(H12="Short",I12-J12,0))</f>
        <v/>
      </c>
      <c r="L12" s="4" t="n">
        <v>0</v>
      </c>
      <c r="M12" s="2" t="inlineStr">
        <is>
          <t>Win</t>
        </is>
      </c>
      <c r="N12" s="3">
        <f>N11+K12</f>
        <v/>
      </c>
    </row>
    <row r="13">
      <c r="A13" s="2" t="inlineStr">
        <is>
          <t>2011-01</t>
        </is>
      </c>
      <c r="B13" s="2" t="inlineStr">
        <is>
          <t>ESH1</t>
        </is>
      </c>
      <c r="C13" s="2" t="n">
        <v>3</v>
      </c>
      <c r="D13" s="2" t="n">
        <v>23</v>
      </c>
      <c r="E13" s="3" t="n">
        <v>1272.5</v>
      </c>
      <c r="F13" s="3" t="n">
        <v>1255.25</v>
      </c>
      <c r="G13" s="3">
        <f>E13-F13</f>
        <v/>
      </c>
      <c r="H13" s="2" t="inlineStr">
        <is>
          <t>Long</t>
        </is>
      </c>
      <c r="I13" s="3" t="n">
        <v>1272.5</v>
      </c>
      <c r="J13" s="3" t="n">
        <v>1289.75</v>
      </c>
      <c r="K13" s="3">
        <f>IF(H13="Long",J13-I13,IF(H13="Short",I13-J13,0))</f>
        <v/>
      </c>
      <c r="L13" s="4" t="n">
        <v>28.99</v>
      </c>
      <c r="M13" s="2" t="inlineStr">
        <is>
          <t>Win</t>
        </is>
      </c>
      <c r="N13" s="3">
        <f>N12+K13</f>
        <v/>
      </c>
    </row>
    <row r="14">
      <c r="A14" s="2" t="inlineStr">
        <is>
          <t>2011-02</t>
        </is>
      </c>
      <c r="B14" s="2" t="inlineStr">
        <is>
          <t>ESH1</t>
        </is>
      </c>
      <c r="C14" s="2" t="n">
        <v>3</v>
      </c>
      <c r="D14" s="2" t="n">
        <v>21</v>
      </c>
      <c r="E14" s="3" t="n">
        <v>1306</v>
      </c>
      <c r="F14" s="3" t="n">
        <v>1282.75</v>
      </c>
      <c r="G14" s="3">
        <f>E14-F14</f>
        <v/>
      </c>
      <c r="H14" s="2" t="inlineStr">
        <is>
          <t>Long</t>
        </is>
      </c>
      <c r="I14" s="3" t="n">
        <v>1306</v>
      </c>
      <c r="J14" s="3" t="n">
        <v>1329.25</v>
      </c>
      <c r="K14" s="3">
        <f>IF(H14="Long",J14-I14,IF(H14="Short",I14-J14,0))</f>
        <v/>
      </c>
      <c r="L14" s="4" t="n">
        <v>0</v>
      </c>
      <c r="M14" s="2" t="inlineStr">
        <is>
          <t>Win</t>
        </is>
      </c>
      <c r="N14" s="3">
        <f>N13+K14</f>
        <v/>
      </c>
    </row>
    <row r="15">
      <c r="A15" s="8" t="inlineStr">
        <is>
          <t>2011-02</t>
        </is>
      </c>
      <c r="B15" s="8" t="inlineStr">
        <is>
          <t>ESH1</t>
        </is>
      </c>
      <c r="C15" s="8" t="n">
        <v>3</v>
      </c>
      <c r="D15" s="8" t="n">
        <v>21</v>
      </c>
      <c r="E15" s="9" t="n">
        <v>1306</v>
      </c>
      <c r="F15" s="9" t="n">
        <v>1282.75</v>
      </c>
      <c r="G15" s="9">
        <f>E15-F15</f>
        <v/>
      </c>
      <c r="H15" s="8" t="inlineStr">
        <is>
          <t>Long</t>
        </is>
      </c>
      <c r="I15" s="9" t="n">
        <v>1306</v>
      </c>
      <c r="J15" s="9" t="n">
        <v>1328</v>
      </c>
      <c r="K15" s="9">
        <f>IF(H15="Long",J15-I15,IF(H15="Short",I15-J15,0))</f>
        <v/>
      </c>
      <c r="L15" s="10" t="n">
        <v>58.06</v>
      </c>
      <c r="M15" s="8" t="inlineStr">
        <is>
          <t>Period-Close</t>
        </is>
      </c>
      <c r="N15" s="9">
        <f>N14+K15</f>
        <v/>
      </c>
    </row>
    <row r="16">
      <c r="A16" s="2" t="inlineStr">
        <is>
          <t>2011-03</t>
        </is>
      </c>
      <c r="B16" s="2" t="inlineStr">
        <is>
          <t>ESH1</t>
        </is>
      </c>
      <c r="C16" s="2" t="n">
        <v>3</v>
      </c>
      <c r="D16" s="2" t="n">
        <v>24</v>
      </c>
      <c r="E16" s="3" t="n">
        <v>1336.5</v>
      </c>
      <c r="F16" s="3" t="n">
        <v>1296.25</v>
      </c>
      <c r="G16" s="3">
        <f>E16-F16</f>
        <v/>
      </c>
      <c r="H16" s="2" t="inlineStr">
        <is>
          <t>Short</t>
        </is>
      </c>
      <c r="I16" s="3" t="n">
        <v>1296.25</v>
      </c>
      <c r="J16" s="3" t="n">
        <v>1256</v>
      </c>
      <c r="K16" s="3">
        <f>IF(H16="Long",J16-I16,IF(H16="Short",I16-J16,0))</f>
        <v/>
      </c>
      <c r="L16" s="4" t="n">
        <v>6.21</v>
      </c>
      <c r="M16" s="2" t="inlineStr">
        <is>
          <t>Win</t>
        </is>
      </c>
      <c r="N16" s="3">
        <f>N15+K16</f>
        <v/>
      </c>
    </row>
    <row r="17">
      <c r="A17" s="8" t="inlineStr">
        <is>
          <t>2011-03</t>
        </is>
      </c>
      <c r="B17" s="8" t="inlineStr">
        <is>
          <t>ESH1</t>
        </is>
      </c>
      <c r="C17" s="8" t="n">
        <v>3</v>
      </c>
      <c r="D17" s="8" t="n">
        <v>24</v>
      </c>
      <c r="E17" s="9" t="n">
        <v>1336.5</v>
      </c>
      <c r="F17" s="9" t="n">
        <v>1296.25</v>
      </c>
      <c r="G17" s="9">
        <f>E17-F17</f>
        <v/>
      </c>
      <c r="H17" s="8" t="inlineStr">
        <is>
          <t>Short</t>
        </is>
      </c>
      <c r="I17" s="9" t="n">
        <v>1296.25</v>
      </c>
      <c r="J17" s="9" t="n">
        <v>1323.25</v>
      </c>
      <c r="K17" s="9">
        <f>IF(H17="Long",J17-I17,IF(H17="Short",I17-J17,0))</f>
        <v/>
      </c>
      <c r="L17" s="10" t="n">
        <v>78.26000000000001</v>
      </c>
      <c r="M17" s="8" t="inlineStr">
        <is>
          <t>Period-Close</t>
        </is>
      </c>
      <c r="N17" s="9">
        <f>N16+K17</f>
        <v/>
      </c>
    </row>
    <row r="18">
      <c r="A18" s="2" t="inlineStr">
        <is>
          <t>2011-04</t>
        </is>
      </c>
      <c r="B18" s="2" t="inlineStr">
        <is>
          <t>ESM1</t>
        </is>
      </c>
      <c r="C18" s="2" t="n">
        <v>3</v>
      </c>
      <c r="D18" s="2" t="n">
        <v>21</v>
      </c>
      <c r="E18" s="3" t="n">
        <v>1333.75</v>
      </c>
      <c r="F18" s="3" t="n">
        <v>1321</v>
      </c>
      <c r="G18" s="3">
        <f>E18-F18</f>
        <v/>
      </c>
      <c r="H18" s="2" t="inlineStr">
        <is>
          <t>Short</t>
        </is>
      </c>
      <c r="I18" s="3" t="n">
        <v>1321</v>
      </c>
      <c r="J18" s="3" t="n">
        <v>1308.25</v>
      </c>
      <c r="K18" s="3">
        <f>IF(H18="Long",J18-I18,IF(H18="Short",I18-J18,0))</f>
        <v/>
      </c>
      <c r="L18" s="4" t="n">
        <v>0</v>
      </c>
      <c r="M18" s="2" t="inlineStr">
        <is>
          <t>Win</t>
        </is>
      </c>
      <c r="N18" s="3">
        <f>N17+K18</f>
        <v/>
      </c>
    </row>
    <row r="19">
      <c r="A19" s="5" t="inlineStr">
        <is>
          <t>2011-04</t>
        </is>
      </c>
      <c r="B19" s="5" t="inlineStr">
        <is>
          <t>ESM1</t>
        </is>
      </c>
      <c r="C19" s="5" t="n">
        <v>3</v>
      </c>
      <c r="D19" s="5" t="n">
        <v>21</v>
      </c>
      <c r="E19" s="6" t="n">
        <v>1333.75</v>
      </c>
      <c r="F19" s="6" t="n">
        <v>1321</v>
      </c>
      <c r="G19" s="6">
        <f>E19-F19</f>
        <v/>
      </c>
      <c r="H19" s="5" t="inlineStr">
        <is>
          <t>Short</t>
        </is>
      </c>
      <c r="I19" s="6" t="n">
        <v>1321</v>
      </c>
      <c r="J19" s="6" t="n">
        <v>1333.75</v>
      </c>
      <c r="K19" s="6">
        <f>IF(H19="Long",J19-I19,IF(H19="Short",I19-J19,0))</f>
        <v/>
      </c>
      <c r="L19" s="7" t="n">
        <v>100</v>
      </c>
      <c r="M19" s="5" t="inlineStr">
        <is>
          <t>Loss</t>
        </is>
      </c>
      <c r="N19" s="6">
        <f>N18+K19</f>
        <v/>
      </c>
    </row>
    <row r="20">
      <c r="A20" s="2" t="inlineStr">
        <is>
          <t>2011-05</t>
        </is>
      </c>
      <c r="B20" s="2" t="inlineStr">
        <is>
          <t>ESM1</t>
        </is>
      </c>
      <c r="C20" s="2" t="n">
        <v>3</v>
      </c>
      <c r="D20" s="2" t="n">
        <v>24</v>
      </c>
      <c r="E20" s="3" t="n">
        <v>1373.5</v>
      </c>
      <c r="F20" s="3" t="n">
        <v>1345.75</v>
      </c>
      <c r="G20" s="3">
        <f>E20-F20</f>
        <v/>
      </c>
      <c r="H20" s="2" t="inlineStr">
        <is>
          <t>Short</t>
        </is>
      </c>
      <c r="I20" s="3" t="n">
        <v>1345.75</v>
      </c>
      <c r="J20" s="3" t="n">
        <v>1318</v>
      </c>
      <c r="K20" s="3">
        <f>IF(H20="Long",J20-I20,IF(H20="Short",I20-J20,0))</f>
        <v/>
      </c>
      <c r="L20" s="4" t="n">
        <v>45.05</v>
      </c>
      <c r="M20" s="2" t="inlineStr">
        <is>
          <t>Win</t>
        </is>
      </c>
      <c r="N20" s="3">
        <f>N19+K20</f>
        <v/>
      </c>
    </row>
    <row r="21">
      <c r="A21" s="8" t="inlineStr">
        <is>
          <t>2011-05</t>
        </is>
      </c>
      <c r="B21" s="8" t="inlineStr">
        <is>
          <t>ESM1</t>
        </is>
      </c>
      <c r="C21" s="8" t="n">
        <v>3</v>
      </c>
      <c r="D21" s="8" t="n">
        <v>24</v>
      </c>
      <c r="E21" s="9" t="n">
        <v>1373.5</v>
      </c>
      <c r="F21" s="9" t="n">
        <v>1345.75</v>
      </c>
      <c r="G21" s="9">
        <f>E21-F21</f>
        <v/>
      </c>
      <c r="H21" s="8" t="inlineStr">
        <is>
          <t>Short</t>
        </is>
      </c>
      <c r="I21" s="9" t="n">
        <v>1345.75</v>
      </c>
      <c r="J21" s="9" t="n">
        <v>1345.75</v>
      </c>
      <c r="K21" s="9">
        <f>IF(H21="Long",J21-I21,IF(H21="Short",I21-J21,0))</f>
        <v/>
      </c>
      <c r="L21" s="10" t="n">
        <v>7.21</v>
      </c>
      <c r="M21" s="8" t="inlineStr">
        <is>
          <t>Period-Close</t>
        </is>
      </c>
      <c r="N21" s="9">
        <f>N20+K21</f>
        <v/>
      </c>
    </row>
    <row r="22">
      <c r="A22" s="8" t="inlineStr">
        <is>
          <t>2011-06</t>
        </is>
      </c>
      <c r="B22" s="8" t="inlineStr">
        <is>
          <t>ESM1</t>
        </is>
      </c>
      <c r="C22" s="8" t="n">
        <v>3</v>
      </c>
      <c r="D22" s="8" t="n">
        <v>23</v>
      </c>
      <c r="E22" s="9" t="n">
        <v>1347.5</v>
      </c>
      <c r="F22" s="9" t="n">
        <v>1294.5</v>
      </c>
      <c r="G22" s="9">
        <f>E22-F22</f>
        <v/>
      </c>
      <c r="H22" s="8" t="inlineStr">
        <is>
          <t>Short</t>
        </is>
      </c>
      <c r="I22" s="9" t="n">
        <v>1294.5</v>
      </c>
      <c r="J22" s="9" t="n">
        <v>1313.75</v>
      </c>
      <c r="K22" s="9">
        <f>IF(H22="Long",J22-I22,IF(H22="Short",I22-J22,0))</f>
        <v/>
      </c>
      <c r="L22" s="10" t="n">
        <v>43.4</v>
      </c>
      <c r="M22" s="8" t="inlineStr">
        <is>
          <t>Period-Close</t>
        </is>
      </c>
      <c r="N22" s="9">
        <f>N21+K22</f>
        <v/>
      </c>
    </row>
    <row r="23">
      <c r="A23" s="5" t="inlineStr">
        <is>
          <t>2011-07</t>
        </is>
      </c>
      <c r="B23" s="5" t="inlineStr">
        <is>
          <t>ESU1</t>
        </is>
      </c>
      <c r="C23" s="5" t="n">
        <v>3</v>
      </c>
      <c r="D23" s="5" t="n">
        <v>23</v>
      </c>
      <c r="E23" s="6" t="n">
        <v>1336.5</v>
      </c>
      <c r="F23" s="6" t="n">
        <v>1312.5</v>
      </c>
      <c r="G23" s="6">
        <f>E23-F23</f>
        <v/>
      </c>
      <c r="H23" s="5" t="inlineStr">
        <is>
          <t>Long</t>
        </is>
      </c>
      <c r="I23" s="6" t="n">
        <v>1336.5</v>
      </c>
      <c r="J23" s="6" t="n">
        <v>1312.5</v>
      </c>
      <c r="K23" s="6">
        <f>IF(H23="Long",J23-I23,IF(H23="Short",I23-J23,0))</f>
        <v/>
      </c>
      <c r="L23" s="7" t="n">
        <v>100</v>
      </c>
      <c r="M23" s="5" t="inlineStr">
        <is>
          <t>Loss</t>
        </is>
      </c>
      <c r="N23" s="6">
        <f>N22+K23</f>
        <v/>
      </c>
    </row>
    <row r="24">
      <c r="A24" s="5" t="inlineStr">
        <is>
          <t>2011-07</t>
        </is>
      </c>
      <c r="B24" s="5" t="inlineStr">
        <is>
          <t>ESU1</t>
        </is>
      </c>
      <c r="C24" s="5" t="n">
        <v>3</v>
      </c>
      <c r="D24" s="5" t="n">
        <v>23</v>
      </c>
      <c r="E24" s="6" t="n">
        <v>1336.5</v>
      </c>
      <c r="F24" s="6" t="n">
        <v>1312.5</v>
      </c>
      <c r="G24" s="6">
        <f>E24-F24</f>
        <v/>
      </c>
      <c r="H24" s="5" t="inlineStr">
        <is>
          <t>Short</t>
        </is>
      </c>
      <c r="I24" s="6" t="n">
        <v>1312.5</v>
      </c>
      <c r="J24" s="6" t="n">
        <v>1336.5</v>
      </c>
      <c r="K24" s="6">
        <f>IF(H24="Long",J24-I24,IF(H24="Short",I24-J24,0))</f>
        <v/>
      </c>
      <c r="L24" s="7" t="n">
        <v>100</v>
      </c>
      <c r="M24" s="5" t="inlineStr">
        <is>
          <t>Loss</t>
        </is>
      </c>
      <c r="N24" s="6">
        <f>N23+K24</f>
        <v/>
      </c>
    </row>
    <row r="25">
      <c r="A25" s="2" t="inlineStr">
        <is>
          <t>2011-08</t>
        </is>
      </c>
      <c r="B25" s="2" t="inlineStr">
        <is>
          <t>ESU1</t>
        </is>
      </c>
      <c r="C25" s="2" t="n">
        <v>3</v>
      </c>
      <c r="D25" s="2" t="n">
        <v>24</v>
      </c>
      <c r="E25" s="3" t="n">
        <v>1309.75</v>
      </c>
      <c r="F25" s="3" t="n">
        <v>1230.25</v>
      </c>
      <c r="G25" s="3">
        <f>E25-F25</f>
        <v/>
      </c>
      <c r="H25" s="2" t="inlineStr">
        <is>
          <t>Short</t>
        </is>
      </c>
      <c r="I25" s="3" t="n">
        <v>1230.25</v>
      </c>
      <c r="J25" s="3" t="n">
        <v>1150.75</v>
      </c>
      <c r="K25" s="3">
        <f>IF(H25="Long",J25-I25,IF(H25="Short",I25-J25,0))</f>
        <v/>
      </c>
      <c r="L25" s="4" t="n">
        <v>0</v>
      </c>
      <c r="M25" s="2" t="inlineStr">
        <is>
          <t>Win</t>
        </is>
      </c>
      <c r="N25" s="3">
        <f>N24+K25</f>
        <v/>
      </c>
    </row>
    <row r="26">
      <c r="A26" s="8" t="inlineStr">
        <is>
          <t>2011-09</t>
        </is>
      </c>
      <c r="B26" s="8" t="inlineStr">
        <is>
          <t>ESU1</t>
        </is>
      </c>
      <c r="C26" s="8" t="n">
        <v>3</v>
      </c>
      <c r="D26" s="8" t="n">
        <v>23</v>
      </c>
      <c r="E26" s="9" t="n">
        <v>1228.5</v>
      </c>
      <c r="F26" s="9" t="n">
        <v>1160.25</v>
      </c>
      <c r="G26" s="9">
        <f>E26-F26</f>
        <v/>
      </c>
      <c r="H26" s="8" t="inlineStr">
        <is>
          <t>Short</t>
        </is>
      </c>
      <c r="I26" s="9" t="n">
        <v>1160.25</v>
      </c>
      <c r="J26" s="9" t="n">
        <v>1122.25</v>
      </c>
      <c r="K26" s="9">
        <f>IF(H26="Long",J26-I26,IF(H26="Short",I26-J26,0))</f>
        <v/>
      </c>
      <c r="L26" s="10" t="n">
        <v>79.48999999999999</v>
      </c>
      <c r="M26" s="8" t="inlineStr">
        <is>
          <t>Period-Close</t>
        </is>
      </c>
      <c r="N26" s="9">
        <f>N25+K26</f>
        <v/>
      </c>
    </row>
    <row r="27">
      <c r="A27" s="2" t="inlineStr">
        <is>
          <t>2011-10</t>
        </is>
      </c>
      <c r="B27" s="2" t="inlineStr">
        <is>
          <t>ESZ1</t>
        </is>
      </c>
      <c r="C27" s="2" t="n">
        <v>3</v>
      </c>
      <c r="D27" s="2" t="n">
        <v>23</v>
      </c>
      <c r="E27" s="3" t="n">
        <v>1133.5</v>
      </c>
      <c r="F27" s="3" t="n">
        <v>1068</v>
      </c>
      <c r="G27" s="3">
        <f>E27-F27</f>
        <v/>
      </c>
      <c r="H27" s="2" t="inlineStr">
        <is>
          <t>Long</t>
        </is>
      </c>
      <c r="I27" s="3" t="n">
        <v>1133.5</v>
      </c>
      <c r="J27" s="3" t="n">
        <v>1199</v>
      </c>
      <c r="K27" s="3">
        <f>IF(H27="Long",J27-I27,IF(H27="Short",I27-J27,0))</f>
        <v/>
      </c>
      <c r="L27" s="4" t="n">
        <v>0</v>
      </c>
      <c r="M27" s="2" t="inlineStr">
        <is>
          <t>Win</t>
        </is>
      </c>
      <c r="N27" s="3">
        <f>N26+K27</f>
        <v/>
      </c>
    </row>
    <row r="28">
      <c r="A28" s="5" t="inlineStr">
        <is>
          <t>2011-11</t>
        </is>
      </c>
      <c r="B28" s="5" t="inlineStr">
        <is>
          <t>ESZ1</t>
        </is>
      </c>
      <c r="C28" s="5" t="n">
        <v>3</v>
      </c>
      <c r="D28" s="5" t="n">
        <v>23</v>
      </c>
      <c r="E28" s="6" t="n">
        <v>1259.75</v>
      </c>
      <c r="F28" s="6" t="n">
        <v>1208.5</v>
      </c>
      <c r="G28" s="6">
        <f>E28-F28</f>
        <v/>
      </c>
      <c r="H28" s="5" t="inlineStr">
        <is>
          <t>Long</t>
        </is>
      </c>
      <c r="I28" s="6" t="n">
        <v>1259.75</v>
      </c>
      <c r="J28" s="6" t="n">
        <v>1208.5</v>
      </c>
      <c r="K28" s="6">
        <f>IF(H28="Long",J28-I28,IF(H28="Short",I28-J28,0))</f>
        <v/>
      </c>
      <c r="L28" s="7" t="n">
        <v>100</v>
      </c>
      <c r="M28" s="5" t="inlineStr">
        <is>
          <t>Loss</t>
        </is>
      </c>
      <c r="N28" s="6">
        <f>N27+K28</f>
        <v/>
      </c>
    </row>
    <row r="29">
      <c r="A29" s="2" t="inlineStr">
        <is>
          <t>2011-11</t>
        </is>
      </c>
      <c r="B29" s="2" t="inlineStr">
        <is>
          <t>ESZ1</t>
        </is>
      </c>
      <c r="C29" s="2" t="n">
        <v>3</v>
      </c>
      <c r="D29" s="2" t="n">
        <v>23</v>
      </c>
      <c r="E29" s="3" t="n">
        <v>1259.75</v>
      </c>
      <c r="F29" s="3" t="n">
        <v>1208.5</v>
      </c>
      <c r="G29" s="3">
        <f>E29-F29</f>
        <v/>
      </c>
      <c r="H29" s="2" t="inlineStr">
        <is>
          <t>Short</t>
        </is>
      </c>
      <c r="I29" s="3" t="n">
        <v>1208.5</v>
      </c>
      <c r="J29" s="3" t="n">
        <v>1157.25</v>
      </c>
      <c r="K29" s="3">
        <f>IF(H29="Long",J29-I29,IF(H29="Short",I29-J29,0))</f>
        <v/>
      </c>
      <c r="L29" s="4" t="n">
        <v>0</v>
      </c>
      <c r="M29" s="2" t="inlineStr">
        <is>
          <t>Win</t>
        </is>
      </c>
      <c r="N29" s="3">
        <f>N28+K29</f>
        <v/>
      </c>
    </row>
    <row r="30">
      <c r="A30" s="5" t="inlineStr">
        <is>
          <t>2011-12</t>
        </is>
      </c>
      <c r="B30" s="5" t="inlineStr">
        <is>
          <t>ESZ1</t>
        </is>
      </c>
      <c r="C30" s="5" t="n">
        <v>3</v>
      </c>
      <c r="D30" s="5" t="n">
        <v>21</v>
      </c>
      <c r="E30" s="6" t="n">
        <v>1262.75</v>
      </c>
      <c r="F30" s="6" t="n">
        <v>1235.75</v>
      </c>
      <c r="G30" s="6">
        <f>E30-F30</f>
        <v/>
      </c>
      <c r="H30" s="5" t="inlineStr">
        <is>
          <t>Long</t>
        </is>
      </c>
      <c r="I30" s="6" t="n">
        <v>1262.75</v>
      </c>
      <c r="J30" s="6" t="n">
        <v>1235.75</v>
      </c>
      <c r="K30" s="6">
        <f>IF(H30="Long",J30-I30,IF(H30="Short",I30-J30,0))</f>
        <v/>
      </c>
      <c r="L30" s="7" t="n">
        <v>100</v>
      </c>
      <c r="M30" s="5" t="inlineStr">
        <is>
          <t>Loss</t>
        </is>
      </c>
      <c r="N30" s="6">
        <f>N29+K30</f>
        <v/>
      </c>
    </row>
    <row r="31">
      <c r="A31" s="2" t="inlineStr">
        <is>
          <t>2011-12</t>
        </is>
      </c>
      <c r="B31" s="2" t="inlineStr">
        <is>
          <t>ESZ1</t>
        </is>
      </c>
      <c r="C31" s="2" t="n">
        <v>3</v>
      </c>
      <c r="D31" s="2" t="n">
        <v>21</v>
      </c>
      <c r="E31" s="3" t="n">
        <v>1262.75</v>
      </c>
      <c r="F31" s="3" t="n">
        <v>1235.75</v>
      </c>
      <c r="G31" s="3">
        <f>E31-F31</f>
        <v/>
      </c>
      <c r="H31" s="2" t="inlineStr">
        <is>
          <t>Short</t>
        </is>
      </c>
      <c r="I31" s="3" t="n">
        <v>1235.75</v>
      </c>
      <c r="J31" s="3" t="n">
        <v>1208.75</v>
      </c>
      <c r="K31" s="3">
        <f>IF(H31="Long",J31-I31,IF(H31="Short",I31-J31,0))</f>
        <v/>
      </c>
      <c r="L31" s="4" t="n">
        <v>30.56</v>
      </c>
      <c r="M31" s="2" t="inlineStr">
        <is>
          <t>Win</t>
        </is>
      </c>
      <c r="N31" s="3">
        <f>N30+K31</f>
        <v/>
      </c>
    </row>
    <row r="32">
      <c r="A32" s="2" t="inlineStr">
        <is>
          <t>2012-01</t>
        </is>
      </c>
      <c r="B32" s="2" t="inlineStr">
        <is>
          <t>ESH2</t>
        </is>
      </c>
      <c r="C32" s="2" t="n">
        <v>3</v>
      </c>
      <c r="D32" s="2" t="n">
        <v>22</v>
      </c>
      <c r="E32" s="3" t="n">
        <v>1280</v>
      </c>
      <c r="F32" s="3" t="n">
        <v>1259.75</v>
      </c>
      <c r="G32" s="3">
        <f>E32-F32</f>
        <v/>
      </c>
      <c r="H32" s="2" t="inlineStr">
        <is>
          <t>Long</t>
        </is>
      </c>
      <c r="I32" s="3" t="n">
        <v>1280</v>
      </c>
      <c r="J32" s="3" t="n">
        <v>1300.25</v>
      </c>
      <c r="K32" s="3">
        <f>IF(H32="Long",J32-I32,IF(H32="Short",I32-J32,0))</f>
        <v/>
      </c>
      <c r="L32" s="4" t="n">
        <v>35.8</v>
      </c>
      <c r="M32" s="2" t="inlineStr">
        <is>
          <t>Win</t>
        </is>
      </c>
      <c r="N32" s="3">
        <f>N31+K32</f>
        <v/>
      </c>
    </row>
    <row r="33">
      <c r="A33" s="8" t="inlineStr">
        <is>
          <t>2012-02</t>
        </is>
      </c>
      <c r="B33" s="8" t="inlineStr">
        <is>
          <t>ESH2</t>
        </is>
      </c>
      <c r="C33" s="8" t="n">
        <v>3</v>
      </c>
      <c r="D33" s="8" t="n">
        <v>22</v>
      </c>
      <c r="E33" s="9" t="n">
        <v>1342</v>
      </c>
      <c r="F33" s="9" t="n">
        <v>1303.75</v>
      </c>
      <c r="G33" s="9">
        <f>E33-F33</f>
        <v/>
      </c>
      <c r="H33" s="8" t="inlineStr">
        <is>
          <t>Long</t>
        </is>
      </c>
      <c r="I33" s="9" t="n">
        <v>1342</v>
      </c>
      <c r="J33" s="9" t="n">
        <v>1362</v>
      </c>
      <c r="K33" s="9">
        <f>IF(H33="Long",J33-I33,IF(H33="Short",I33-J33,0))</f>
        <v/>
      </c>
      <c r="L33" s="10" t="n">
        <v>21.57</v>
      </c>
      <c r="M33" s="8" t="inlineStr">
        <is>
          <t>Period-Close</t>
        </is>
      </c>
      <c r="N33" s="9">
        <f>N32+K33</f>
        <v/>
      </c>
    </row>
    <row r="34">
      <c r="A34" s="5" t="inlineStr">
        <is>
          <t>2012-03</t>
        </is>
      </c>
      <c r="B34" s="5" t="inlineStr">
        <is>
          <t>ESH2</t>
        </is>
      </c>
      <c r="C34" s="5" t="n">
        <v>3</v>
      </c>
      <c r="D34" s="5" t="n">
        <v>23</v>
      </c>
      <c r="E34" s="6" t="n">
        <v>1377</v>
      </c>
      <c r="F34" s="6" t="n">
        <v>1358.75</v>
      </c>
      <c r="G34" s="6">
        <f>E34-F34</f>
        <v/>
      </c>
      <c r="H34" s="5" t="inlineStr">
        <is>
          <t>Short</t>
        </is>
      </c>
      <c r="I34" s="6" t="n">
        <v>1358.75</v>
      </c>
      <c r="J34" s="6" t="n">
        <v>1377</v>
      </c>
      <c r="K34" s="6">
        <f>IF(H34="Long",J34-I34,IF(H34="Short",I34-J34,0))</f>
        <v/>
      </c>
      <c r="L34" s="7" t="n">
        <v>100</v>
      </c>
      <c r="M34" s="5" t="inlineStr">
        <is>
          <t>Loss</t>
        </is>
      </c>
      <c r="N34" s="6">
        <f>N33+K34</f>
        <v/>
      </c>
    </row>
    <row r="35">
      <c r="A35" s="2" t="inlineStr">
        <is>
          <t>2012-03</t>
        </is>
      </c>
      <c r="B35" s="2" t="inlineStr">
        <is>
          <t>ESH2</t>
        </is>
      </c>
      <c r="C35" s="2" t="n">
        <v>3</v>
      </c>
      <c r="D35" s="2" t="n">
        <v>23</v>
      </c>
      <c r="E35" s="3" t="n">
        <v>1377</v>
      </c>
      <c r="F35" s="3" t="n">
        <v>1358.75</v>
      </c>
      <c r="G35" s="3">
        <f>E35-F35</f>
        <v/>
      </c>
      <c r="H35" s="2" t="inlineStr">
        <is>
          <t>Long</t>
        </is>
      </c>
      <c r="I35" s="3" t="n">
        <v>1377</v>
      </c>
      <c r="J35" s="3" t="n">
        <v>1395.25</v>
      </c>
      <c r="K35" s="3">
        <f>IF(H35="Long",J35-I35,IF(H35="Short",I35-J35,0))</f>
        <v/>
      </c>
      <c r="L35" s="4" t="n">
        <v>0</v>
      </c>
      <c r="M35" s="2" t="inlineStr">
        <is>
          <t>Win</t>
        </is>
      </c>
      <c r="N35" s="3">
        <f>N34+K35</f>
        <v/>
      </c>
    </row>
    <row r="36">
      <c r="A36" s="2" t="inlineStr">
        <is>
          <t>2012-04</t>
        </is>
      </c>
      <c r="B36" s="2" t="inlineStr">
        <is>
          <t>ESM2</t>
        </is>
      </c>
      <c r="C36" s="2" t="n">
        <v>3</v>
      </c>
      <c r="D36" s="2" t="n">
        <v>23</v>
      </c>
      <c r="E36" s="3" t="n">
        <v>1417.75</v>
      </c>
      <c r="F36" s="3" t="n">
        <v>1399</v>
      </c>
      <c r="G36" s="3">
        <f>E36-F36</f>
        <v/>
      </c>
      <c r="H36" s="2" t="inlineStr">
        <is>
          <t>Short</t>
        </is>
      </c>
      <c r="I36" s="3" t="n">
        <v>1399</v>
      </c>
      <c r="J36" s="3" t="n">
        <v>1380.25</v>
      </c>
      <c r="K36" s="3">
        <f>IF(H36="Long",J36-I36,IF(H36="Short",I36-J36,0))</f>
        <v/>
      </c>
      <c r="L36" s="4" t="n">
        <v>0</v>
      </c>
      <c r="M36" s="2" t="inlineStr">
        <is>
          <t>Win</t>
        </is>
      </c>
      <c r="N36" s="3">
        <f>N35+K36</f>
        <v/>
      </c>
    </row>
    <row r="37">
      <c r="A37" s="8" t="inlineStr">
        <is>
          <t>2012-04</t>
        </is>
      </c>
      <c r="B37" s="8" t="inlineStr">
        <is>
          <t>ESM2</t>
        </is>
      </c>
      <c r="C37" s="8" t="n">
        <v>3</v>
      </c>
      <c r="D37" s="8" t="n">
        <v>23</v>
      </c>
      <c r="E37" s="9" t="n">
        <v>1417.75</v>
      </c>
      <c r="F37" s="9" t="n">
        <v>1399</v>
      </c>
      <c r="G37" s="9">
        <f>E37-F37</f>
        <v/>
      </c>
      <c r="H37" s="8" t="inlineStr">
        <is>
          <t>Short</t>
        </is>
      </c>
      <c r="I37" s="9" t="n">
        <v>1399</v>
      </c>
      <c r="J37" s="9" t="n">
        <v>1395.25</v>
      </c>
      <c r="K37" s="9">
        <f>IF(H37="Long",J37-I37,IF(H37="Short",I37-J37,0))</f>
        <v/>
      </c>
      <c r="L37" s="10" t="n">
        <v>21.33</v>
      </c>
      <c r="M37" s="8" t="inlineStr">
        <is>
          <t>Period-Close</t>
        </is>
      </c>
      <c r="N37" s="9">
        <f>N36+K37</f>
        <v/>
      </c>
    </row>
    <row r="38">
      <c r="A38" s="2" t="inlineStr">
        <is>
          <t>2012-05</t>
        </is>
      </c>
      <c r="B38" s="2" t="inlineStr">
        <is>
          <t>ESM2</t>
        </is>
      </c>
      <c r="C38" s="2" t="n">
        <v>3</v>
      </c>
      <c r="D38" s="2" t="n">
        <v>24</v>
      </c>
      <c r="E38" s="3" t="n">
        <v>1411.75</v>
      </c>
      <c r="F38" s="3" t="n">
        <v>1384.5</v>
      </c>
      <c r="G38" s="3">
        <f>E38-F38</f>
        <v/>
      </c>
      <c r="H38" s="2" t="inlineStr">
        <is>
          <t>Short</t>
        </is>
      </c>
      <c r="I38" s="3" t="n">
        <v>1384.5</v>
      </c>
      <c r="J38" s="3" t="n">
        <v>1357.25</v>
      </c>
      <c r="K38" s="3">
        <f>IF(H38="Long",J38-I38,IF(H38="Short",I38-J38,0))</f>
        <v/>
      </c>
      <c r="L38" s="4" t="n">
        <v>0</v>
      </c>
      <c r="M38" s="2" t="inlineStr">
        <is>
          <t>Win</t>
        </is>
      </c>
      <c r="N38" s="3">
        <f>N37+K38</f>
        <v/>
      </c>
    </row>
    <row r="39">
      <c r="A39" s="2" t="inlineStr">
        <is>
          <t>2012-06</t>
        </is>
      </c>
      <c r="B39" s="2" t="inlineStr">
        <is>
          <t>ESM2</t>
        </is>
      </c>
      <c r="C39" s="2" t="n">
        <v>3</v>
      </c>
      <c r="D39" s="2" t="n">
        <v>22</v>
      </c>
      <c r="E39" s="3" t="n">
        <v>1307.5</v>
      </c>
      <c r="F39" s="3" t="n">
        <v>1262</v>
      </c>
      <c r="G39" s="3">
        <f>E39-F39</f>
        <v/>
      </c>
      <c r="H39" s="2" t="inlineStr">
        <is>
          <t>Long</t>
        </is>
      </c>
      <c r="I39" s="3" t="n">
        <v>1307.5</v>
      </c>
      <c r="J39" s="3" t="n">
        <v>1353</v>
      </c>
      <c r="K39" s="3">
        <f>IF(H39="Long",J39-I39,IF(H39="Short",I39-J39,0))</f>
        <v/>
      </c>
      <c r="L39" s="4" t="n">
        <v>23.08</v>
      </c>
      <c r="M39" s="2" t="inlineStr">
        <is>
          <t>Win</t>
        </is>
      </c>
      <c r="N39" s="3">
        <f>N38+K39</f>
        <v/>
      </c>
    </row>
    <row r="40">
      <c r="A40" s="2" t="inlineStr">
        <is>
          <t>2012-06</t>
        </is>
      </c>
      <c r="B40" s="2" t="inlineStr">
        <is>
          <t>ESM2</t>
        </is>
      </c>
      <c r="C40" s="2" t="n">
        <v>3</v>
      </c>
      <c r="D40" s="2" t="n">
        <v>22</v>
      </c>
      <c r="E40" s="3" t="n">
        <v>1307.5</v>
      </c>
      <c r="F40" s="3" t="n">
        <v>1262</v>
      </c>
      <c r="G40" s="3">
        <f>E40-F40</f>
        <v/>
      </c>
      <c r="H40" s="2" t="inlineStr">
        <is>
          <t>Long</t>
        </is>
      </c>
      <c r="I40" s="3" t="n">
        <v>1307.5</v>
      </c>
      <c r="J40" s="3" t="n">
        <v>1353</v>
      </c>
      <c r="K40" s="3">
        <f>IF(H40="Long",J40-I40,IF(H40="Short",I40-J40,0))</f>
        <v/>
      </c>
      <c r="L40" s="4" t="n">
        <v>10.99</v>
      </c>
      <c r="M40" s="2" t="inlineStr">
        <is>
          <t>Win</t>
        </is>
      </c>
      <c r="N40" s="3">
        <f>N39+K40</f>
        <v/>
      </c>
    </row>
    <row r="41">
      <c r="A41" s="2" t="inlineStr">
        <is>
          <t>2012-07</t>
        </is>
      </c>
      <c r="B41" s="2" t="inlineStr">
        <is>
          <t>ESU2</t>
        </is>
      </c>
      <c r="C41" s="2" t="n">
        <v>3</v>
      </c>
      <c r="D41" s="2" t="n">
        <v>24</v>
      </c>
      <c r="E41" s="3" t="n">
        <v>1369.5</v>
      </c>
      <c r="F41" s="3" t="n">
        <v>1349.5</v>
      </c>
      <c r="G41" s="3">
        <f>E41-F41</f>
        <v/>
      </c>
      <c r="H41" s="2" t="inlineStr">
        <is>
          <t>Short</t>
        </is>
      </c>
      <c r="I41" s="3" t="n">
        <v>1349.5</v>
      </c>
      <c r="J41" s="3" t="n">
        <v>1329.5</v>
      </c>
      <c r="K41" s="3">
        <f>IF(H41="Long",J41-I41,IF(H41="Short",I41-J41,0))</f>
        <v/>
      </c>
      <c r="L41" s="4" t="n">
        <v>35</v>
      </c>
      <c r="M41" s="2" t="inlineStr">
        <is>
          <t>Win</t>
        </is>
      </c>
      <c r="N41" s="3">
        <f>N40+K41</f>
        <v/>
      </c>
    </row>
    <row r="42">
      <c r="A42" s="2" t="inlineStr">
        <is>
          <t>2012-07</t>
        </is>
      </c>
      <c r="B42" s="2" t="inlineStr">
        <is>
          <t>ESU2</t>
        </is>
      </c>
      <c r="C42" s="2" t="n">
        <v>3</v>
      </c>
      <c r="D42" s="2" t="n">
        <v>24</v>
      </c>
      <c r="E42" s="3" t="n">
        <v>1369.5</v>
      </c>
      <c r="F42" s="3" t="n">
        <v>1349.5</v>
      </c>
      <c r="G42" s="3">
        <f>E42-F42</f>
        <v/>
      </c>
      <c r="H42" s="2" t="inlineStr">
        <is>
          <t>Short</t>
        </is>
      </c>
      <c r="I42" s="3" t="n">
        <v>1349.5</v>
      </c>
      <c r="J42" s="3" t="n">
        <v>1329.5</v>
      </c>
      <c r="K42" s="3">
        <f>IF(H42="Long",J42-I42,IF(H42="Short",I42-J42,0))</f>
        <v/>
      </c>
      <c r="L42" s="4" t="n">
        <v>18.75</v>
      </c>
      <c r="M42" s="2" t="inlineStr">
        <is>
          <t>Win</t>
        </is>
      </c>
      <c r="N42" s="3">
        <f>N41+K42</f>
        <v/>
      </c>
    </row>
    <row r="43">
      <c r="A43" s="8" t="inlineStr">
        <is>
          <t>2012-08</t>
        </is>
      </c>
      <c r="B43" s="8" t="inlineStr">
        <is>
          <t>ESU2</t>
        </is>
      </c>
      <c r="C43" s="8" t="n">
        <v>3</v>
      </c>
      <c r="D43" s="8" t="n">
        <v>24</v>
      </c>
      <c r="E43" s="9" t="n">
        <v>1390.5</v>
      </c>
      <c r="F43" s="9" t="n">
        <v>1349.25</v>
      </c>
      <c r="G43" s="9">
        <f>E43-F43</f>
        <v/>
      </c>
      <c r="H43" s="8" t="inlineStr">
        <is>
          <t>Long</t>
        </is>
      </c>
      <c r="I43" s="9" t="n">
        <v>1390.5</v>
      </c>
      <c r="J43" s="9" t="n">
        <v>1404.75</v>
      </c>
      <c r="K43" s="9">
        <f>IF(H43="Long",J43-I43,IF(H43="Short",I43-J43,0))</f>
        <v/>
      </c>
      <c r="L43" s="10" t="n">
        <v>0</v>
      </c>
      <c r="M43" s="8" t="inlineStr">
        <is>
          <t>Period-Close</t>
        </is>
      </c>
      <c r="N43" s="9">
        <f>N42+K43</f>
        <v/>
      </c>
    </row>
    <row r="44">
      <c r="A44" s="2" t="inlineStr">
        <is>
          <t>2012-09</t>
        </is>
      </c>
      <c r="B44" s="2" t="inlineStr">
        <is>
          <t>ESU2</t>
        </is>
      </c>
      <c r="C44" s="2" t="n">
        <v>3</v>
      </c>
      <c r="D44" s="2" t="n">
        <v>22</v>
      </c>
      <c r="E44" s="3" t="n">
        <v>1409.5</v>
      </c>
      <c r="F44" s="3" t="n">
        <v>1394.5</v>
      </c>
      <c r="G44" s="3">
        <f>E44-F44</f>
        <v/>
      </c>
      <c r="H44" s="2" t="inlineStr">
        <is>
          <t>Long</t>
        </is>
      </c>
      <c r="I44" s="3" t="n">
        <v>1409.5</v>
      </c>
      <c r="J44" s="3" t="n">
        <v>1424.5</v>
      </c>
      <c r="K44" s="3">
        <f>IF(H44="Long",J44-I44,IF(H44="Short",I44-J44,0))</f>
        <v/>
      </c>
      <c r="L44" s="4" t="n">
        <v>0</v>
      </c>
      <c r="M44" s="2" t="inlineStr">
        <is>
          <t>Win</t>
        </is>
      </c>
      <c r="N44" s="3">
        <f>N43+K44</f>
        <v/>
      </c>
    </row>
    <row r="45">
      <c r="A45" s="5" t="inlineStr">
        <is>
          <t>2012-10</t>
        </is>
      </c>
      <c r="B45" s="5" t="inlineStr">
        <is>
          <t>ESZ2</t>
        </is>
      </c>
      <c r="C45" s="5" t="n">
        <v>3</v>
      </c>
      <c r="D45" s="5" t="n">
        <v>24</v>
      </c>
      <c r="E45" s="6" t="n">
        <v>1451.5</v>
      </c>
      <c r="F45" s="6" t="n">
        <v>1427.75</v>
      </c>
      <c r="G45" s="6">
        <f>E45-F45</f>
        <v/>
      </c>
      <c r="H45" s="5" t="inlineStr">
        <is>
          <t>Long</t>
        </is>
      </c>
      <c r="I45" s="6" t="n">
        <v>1451.5</v>
      </c>
      <c r="J45" s="6" t="n">
        <v>1427.75</v>
      </c>
      <c r="K45" s="6">
        <f>IF(H45="Long",J45-I45,IF(H45="Short",I45-J45,0))</f>
        <v/>
      </c>
      <c r="L45" s="7" t="n">
        <v>100</v>
      </c>
      <c r="M45" s="5" t="inlineStr">
        <is>
          <t>Loss</t>
        </is>
      </c>
      <c r="N45" s="6">
        <f>N44+K45</f>
        <v/>
      </c>
    </row>
    <row r="46">
      <c r="A46" s="5" t="inlineStr">
        <is>
          <t>2012-10</t>
        </is>
      </c>
      <c r="B46" s="5" t="inlineStr">
        <is>
          <t>ESZ2</t>
        </is>
      </c>
      <c r="C46" s="5" t="n">
        <v>3</v>
      </c>
      <c r="D46" s="5" t="n">
        <v>24</v>
      </c>
      <c r="E46" s="6" t="n">
        <v>1451.5</v>
      </c>
      <c r="F46" s="6" t="n">
        <v>1427.75</v>
      </c>
      <c r="G46" s="6">
        <f>E46-F46</f>
        <v/>
      </c>
      <c r="H46" s="5" t="inlineStr">
        <is>
          <t>Short</t>
        </is>
      </c>
      <c r="I46" s="6" t="n">
        <v>1427.75</v>
      </c>
      <c r="J46" s="6" t="n">
        <v>1451.5</v>
      </c>
      <c r="K46" s="6">
        <f>IF(H46="Long",J46-I46,IF(H46="Short",I46-J46,0))</f>
        <v/>
      </c>
      <c r="L46" s="7" t="n">
        <v>100</v>
      </c>
      <c r="M46" s="5" t="inlineStr">
        <is>
          <t>Loss</t>
        </is>
      </c>
      <c r="N46" s="6">
        <f>N45+K46</f>
        <v/>
      </c>
    </row>
    <row r="47">
      <c r="A47" s="2" t="inlineStr">
        <is>
          <t>2012-11</t>
        </is>
      </c>
      <c r="B47" s="2" t="inlineStr">
        <is>
          <t>ESZ2</t>
        </is>
      </c>
      <c r="C47" s="2" t="n">
        <v>3</v>
      </c>
      <c r="D47" s="2" t="n">
        <v>23</v>
      </c>
      <c r="E47" s="3" t="n">
        <v>1431.5</v>
      </c>
      <c r="F47" s="3" t="n">
        <v>1398.5</v>
      </c>
      <c r="G47" s="3">
        <f>E47-F47</f>
        <v/>
      </c>
      <c r="H47" s="2" t="inlineStr">
        <is>
          <t>Short</t>
        </is>
      </c>
      <c r="I47" s="3" t="n">
        <v>1398.5</v>
      </c>
      <c r="J47" s="3" t="n">
        <v>1365.5</v>
      </c>
      <c r="K47" s="3">
        <f>IF(H47="Long",J47-I47,IF(H47="Short",I47-J47,0))</f>
        <v/>
      </c>
      <c r="L47" s="4" t="n">
        <v>0</v>
      </c>
      <c r="M47" s="2" t="inlineStr">
        <is>
          <t>Win</t>
        </is>
      </c>
      <c r="N47" s="3">
        <f>N46+K47</f>
        <v/>
      </c>
    </row>
    <row r="48">
      <c r="A48" s="8" t="inlineStr">
        <is>
          <t>2012-11</t>
        </is>
      </c>
      <c r="B48" s="8" t="inlineStr">
        <is>
          <t>ESZ2</t>
        </is>
      </c>
      <c r="C48" s="8" t="n">
        <v>3</v>
      </c>
      <c r="D48" s="8" t="n">
        <v>23</v>
      </c>
      <c r="E48" s="9" t="n">
        <v>1431.5</v>
      </c>
      <c r="F48" s="9" t="n">
        <v>1398.5</v>
      </c>
      <c r="G48" s="9">
        <f>E48-F48</f>
        <v/>
      </c>
      <c r="H48" s="8" t="inlineStr">
        <is>
          <t>Short</t>
        </is>
      </c>
      <c r="I48" s="9" t="n">
        <v>1398.5</v>
      </c>
      <c r="J48" s="9" t="n">
        <v>1415.75</v>
      </c>
      <c r="K48" s="9">
        <f>IF(H48="Long",J48-I48,IF(H48="Short",I48-J48,0))</f>
        <v/>
      </c>
      <c r="L48" s="10" t="n">
        <v>63.64</v>
      </c>
      <c r="M48" s="8" t="inlineStr">
        <is>
          <t>Period-Close</t>
        </is>
      </c>
      <c r="N48" s="9">
        <f>N47+K48</f>
        <v/>
      </c>
    </row>
    <row r="49">
      <c r="A49" s="5" t="inlineStr">
        <is>
          <t>2012-12</t>
        </is>
      </c>
      <c r="B49" s="5" t="inlineStr">
        <is>
          <t>ESZ2</t>
        </is>
      </c>
      <c r="C49" s="5" t="n">
        <v>3</v>
      </c>
      <c r="D49" s="5" t="n">
        <v>22</v>
      </c>
      <c r="E49" s="6" t="n">
        <v>1424</v>
      </c>
      <c r="F49" s="6" t="n">
        <v>1401.5</v>
      </c>
      <c r="G49" s="6">
        <f>E49-F49</f>
        <v/>
      </c>
      <c r="H49" s="5" t="inlineStr">
        <is>
          <t>Long</t>
        </is>
      </c>
      <c r="I49" s="6" t="n">
        <v>1424</v>
      </c>
      <c r="J49" s="6" t="n">
        <v>1401.5</v>
      </c>
      <c r="K49" s="6">
        <f>IF(H49="Long",J49-I49,IF(H49="Short",I49-J49,0))</f>
        <v/>
      </c>
      <c r="L49" s="7" t="n">
        <v>100</v>
      </c>
      <c r="M49" s="5" t="inlineStr">
        <is>
          <t>Loss</t>
        </is>
      </c>
      <c r="N49" s="6">
        <f>N48+K49</f>
        <v/>
      </c>
    </row>
    <row r="50">
      <c r="A50" s="5" t="inlineStr">
        <is>
          <t>2012-12</t>
        </is>
      </c>
      <c r="B50" s="5" t="inlineStr">
        <is>
          <t>ESZ2</t>
        </is>
      </c>
      <c r="C50" s="5" t="n">
        <v>3</v>
      </c>
      <c r="D50" s="5" t="n">
        <v>22</v>
      </c>
      <c r="E50" s="6" t="n">
        <v>1424</v>
      </c>
      <c r="F50" s="6" t="n">
        <v>1401.5</v>
      </c>
      <c r="G50" s="6">
        <f>E50-F50</f>
        <v/>
      </c>
      <c r="H50" s="5" t="inlineStr">
        <is>
          <t>Long</t>
        </is>
      </c>
      <c r="I50" s="6" t="n">
        <v>1424</v>
      </c>
      <c r="J50" s="6" t="n">
        <v>1401.5</v>
      </c>
      <c r="K50" s="6">
        <f>IF(H50="Long",J50-I50,IF(H50="Short",I50-J50,0))</f>
        <v/>
      </c>
      <c r="L50" s="7" t="n">
        <v>100</v>
      </c>
      <c r="M50" s="5" t="inlineStr">
        <is>
          <t>Loss</t>
        </is>
      </c>
      <c r="N50" s="6">
        <f>N49+K50</f>
        <v/>
      </c>
    </row>
    <row r="51">
      <c r="A51" s="2" t="inlineStr">
        <is>
          <t>2013-01</t>
        </is>
      </c>
      <c r="B51" s="2" t="inlineStr">
        <is>
          <t>ESH3</t>
        </is>
      </c>
      <c r="C51" s="2" t="n">
        <v>3</v>
      </c>
      <c r="D51" s="2" t="n">
        <v>22</v>
      </c>
      <c r="E51" s="3" t="n">
        <v>1463</v>
      </c>
      <c r="F51" s="3" t="n">
        <v>1438.25</v>
      </c>
      <c r="G51" s="3">
        <f>E51-F51</f>
        <v/>
      </c>
      <c r="H51" s="2" t="inlineStr">
        <is>
          <t>Long</t>
        </is>
      </c>
      <c r="I51" s="3" t="n">
        <v>1463</v>
      </c>
      <c r="J51" s="3" t="n">
        <v>1487.75</v>
      </c>
      <c r="K51" s="3">
        <f>IF(H51="Long",J51-I51,IF(H51="Short",I51-J51,0))</f>
        <v/>
      </c>
      <c r="L51" s="4" t="n">
        <v>26.26</v>
      </c>
      <c r="M51" s="2" t="inlineStr">
        <is>
          <t>Win</t>
        </is>
      </c>
      <c r="N51" s="3">
        <f>N50+K51</f>
        <v/>
      </c>
    </row>
    <row r="52">
      <c r="A52" s="5" t="inlineStr">
        <is>
          <t>2013-02</t>
        </is>
      </c>
      <c r="B52" s="5" t="inlineStr">
        <is>
          <t>ESH3</t>
        </is>
      </c>
      <c r="C52" s="5" t="n">
        <v>3</v>
      </c>
      <c r="D52" s="5" t="n">
        <v>20</v>
      </c>
      <c r="E52" s="6" t="n">
        <v>1510.5</v>
      </c>
      <c r="F52" s="6" t="n">
        <v>1490.25</v>
      </c>
      <c r="G52" s="6">
        <f>E52-F52</f>
        <v/>
      </c>
      <c r="H52" s="5" t="inlineStr">
        <is>
          <t>Long</t>
        </is>
      </c>
      <c r="I52" s="6" t="n">
        <v>1510.5</v>
      </c>
      <c r="J52" s="6" t="n">
        <v>1490.25</v>
      </c>
      <c r="K52" s="6">
        <f>IF(H52="Long",J52-I52,IF(H52="Short",I52-J52,0))</f>
        <v/>
      </c>
      <c r="L52" s="7" t="n">
        <v>100</v>
      </c>
      <c r="M52" s="5" t="inlineStr">
        <is>
          <t>Loss</t>
        </is>
      </c>
      <c r="N52" s="6">
        <f>N51+K52</f>
        <v/>
      </c>
    </row>
    <row r="53">
      <c r="A53" s="5" t="inlineStr">
        <is>
          <t>2013-02</t>
        </is>
      </c>
      <c r="B53" s="5" t="inlineStr">
        <is>
          <t>ESH3</t>
        </is>
      </c>
      <c r="C53" s="5" t="n">
        <v>3</v>
      </c>
      <c r="D53" s="5" t="n">
        <v>20</v>
      </c>
      <c r="E53" s="6" t="n">
        <v>1510.5</v>
      </c>
      <c r="F53" s="6" t="n">
        <v>1490.25</v>
      </c>
      <c r="G53" s="6">
        <f>E53-F53</f>
        <v/>
      </c>
      <c r="H53" s="5" t="inlineStr">
        <is>
          <t>Short</t>
        </is>
      </c>
      <c r="I53" s="6" t="n">
        <v>1490.25</v>
      </c>
      <c r="J53" s="6" t="n">
        <v>1510.5</v>
      </c>
      <c r="K53" s="6">
        <f>IF(H53="Long",J53-I53,IF(H53="Short",I53-J53,0))</f>
        <v/>
      </c>
      <c r="L53" s="7" t="n">
        <v>100</v>
      </c>
      <c r="M53" s="5" t="inlineStr">
        <is>
          <t>Loss</t>
        </is>
      </c>
      <c r="N53" s="6">
        <f>N52+K53</f>
        <v/>
      </c>
    </row>
    <row r="54">
      <c r="A54" s="2" t="inlineStr">
        <is>
          <t>2013-03</t>
        </is>
      </c>
      <c r="B54" s="2" t="inlineStr">
        <is>
          <t>ESH3</t>
        </is>
      </c>
      <c r="C54" s="2" t="n">
        <v>3</v>
      </c>
      <c r="D54" s="2" t="n">
        <v>22</v>
      </c>
      <c r="E54" s="3" t="n">
        <v>1527.5</v>
      </c>
      <c r="F54" s="3" t="n">
        <v>1499.5</v>
      </c>
      <c r="G54" s="3">
        <f>E54-F54</f>
        <v/>
      </c>
      <c r="H54" s="2" t="inlineStr">
        <is>
          <t>Long</t>
        </is>
      </c>
      <c r="I54" s="3" t="n">
        <v>1527.5</v>
      </c>
      <c r="J54" s="3" t="n">
        <v>1555.5</v>
      </c>
      <c r="K54" s="3">
        <f>IF(H54="Long",J54-I54,IF(H54="Short",I54-J54,0))</f>
        <v/>
      </c>
      <c r="L54" s="4" t="n">
        <v>0</v>
      </c>
      <c r="M54" s="2" t="inlineStr">
        <is>
          <t>Win</t>
        </is>
      </c>
      <c r="N54" s="3">
        <f>N53+K54</f>
        <v/>
      </c>
    </row>
    <row r="55">
      <c r="A55" s="2" t="inlineStr">
        <is>
          <t>2013-04</t>
        </is>
      </c>
      <c r="B55" s="2" t="inlineStr">
        <is>
          <t>ESM3</t>
        </is>
      </c>
      <c r="C55" s="2" t="n">
        <v>3</v>
      </c>
      <c r="D55" s="2" t="n">
        <v>23</v>
      </c>
      <c r="E55" s="3" t="n">
        <v>1568</v>
      </c>
      <c r="F55" s="3" t="n">
        <v>1544</v>
      </c>
      <c r="G55" s="3">
        <f>E55-F55</f>
        <v/>
      </c>
      <c r="H55" s="2" t="inlineStr">
        <is>
          <t>Long</t>
        </is>
      </c>
      <c r="I55" s="3" t="n">
        <v>1568</v>
      </c>
      <c r="J55" s="3" t="n">
        <v>1592</v>
      </c>
      <c r="K55" s="3">
        <f>IF(H55="Long",J55-I55,IF(H55="Short",I55-J55,0))</f>
        <v/>
      </c>
      <c r="L55" s="4" t="n">
        <v>0</v>
      </c>
      <c r="M55" s="2" t="inlineStr">
        <is>
          <t>Win</t>
        </is>
      </c>
      <c r="N55" s="3">
        <f>N54+K55</f>
        <v/>
      </c>
    </row>
    <row r="56">
      <c r="A56" s="5" t="inlineStr">
        <is>
          <t>2013-04</t>
        </is>
      </c>
      <c r="B56" s="5" t="inlineStr">
        <is>
          <t>ESM3</t>
        </is>
      </c>
      <c r="C56" s="5" t="n">
        <v>3</v>
      </c>
      <c r="D56" s="5" t="n">
        <v>23</v>
      </c>
      <c r="E56" s="6" t="n">
        <v>1568</v>
      </c>
      <c r="F56" s="6" t="n">
        <v>1544</v>
      </c>
      <c r="G56" s="6">
        <f>E56-F56</f>
        <v/>
      </c>
      <c r="H56" s="5" t="inlineStr">
        <is>
          <t>Long</t>
        </is>
      </c>
      <c r="I56" s="6" t="n">
        <v>1568</v>
      </c>
      <c r="J56" s="6" t="n">
        <v>1544</v>
      </c>
      <c r="K56" s="6">
        <f>IF(H56="Long",J56-I56,IF(H56="Short",I56-J56,0))</f>
        <v/>
      </c>
      <c r="L56" s="7" t="n">
        <v>100</v>
      </c>
      <c r="M56" s="5" t="inlineStr">
        <is>
          <t>Loss</t>
        </is>
      </c>
      <c r="N56" s="6">
        <f>N55+K56</f>
        <v/>
      </c>
    </row>
    <row r="57">
      <c r="A57" s="2" t="inlineStr">
        <is>
          <t>2013-05</t>
        </is>
      </c>
      <c r="B57" s="2" t="inlineStr">
        <is>
          <t>ESM3</t>
        </is>
      </c>
      <c r="C57" s="2" t="n">
        <v>3</v>
      </c>
      <c r="D57" s="2" t="n">
        <v>23</v>
      </c>
      <c r="E57" s="3" t="n">
        <v>1614.25</v>
      </c>
      <c r="F57" s="3" t="n">
        <v>1576</v>
      </c>
      <c r="G57" s="3">
        <f>E57-F57</f>
        <v/>
      </c>
      <c r="H57" s="2" t="inlineStr">
        <is>
          <t>Long</t>
        </is>
      </c>
      <c r="I57" s="3" t="n">
        <v>1614.25</v>
      </c>
      <c r="J57" s="3" t="n">
        <v>1652.5</v>
      </c>
      <c r="K57" s="3">
        <f>IF(H57="Long",J57-I57,IF(H57="Short",I57-J57,0))</f>
        <v/>
      </c>
      <c r="L57" s="4" t="n">
        <v>0</v>
      </c>
      <c r="M57" s="2" t="inlineStr">
        <is>
          <t>Win</t>
        </is>
      </c>
      <c r="N57" s="3">
        <f>N56+K57</f>
        <v/>
      </c>
    </row>
    <row r="58">
      <c r="A58" s="5" t="inlineStr">
        <is>
          <t>2013-06</t>
        </is>
      </c>
      <c r="B58" s="5" t="inlineStr">
        <is>
          <t>ESM3</t>
        </is>
      </c>
      <c r="C58" s="5" t="n">
        <v>3</v>
      </c>
      <c r="D58" s="5" t="n">
        <v>22</v>
      </c>
      <c r="E58" s="6" t="n">
        <v>1645.75</v>
      </c>
      <c r="F58" s="6" t="n">
        <v>1620.75</v>
      </c>
      <c r="G58" s="6">
        <f>E58-F58</f>
        <v/>
      </c>
      <c r="H58" s="5" t="inlineStr">
        <is>
          <t>Short</t>
        </is>
      </c>
      <c r="I58" s="6" t="n">
        <v>1620.75</v>
      </c>
      <c r="J58" s="6" t="n">
        <v>1645.75</v>
      </c>
      <c r="K58" s="6">
        <f>IF(H58="Long",J58-I58,IF(H58="Short",I58-J58,0))</f>
        <v/>
      </c>
      <c r="L58" s="7" t="n">
        <v>100</v>
      </c>
      <c r="M58" s="5" t="inlineStr">
        <is>
          <t>Loss</t>
        </is>
      </c>
      <c r="N58" s="6">
        <f>N57+K58</f>
        <v/>
      </c>
    </row>
    <row r="59">
      <c r="A59" s="5" t="inlineStr">
        <is>
          <t>2013-06</t>
        </is>
      </c>
      <c r="B59" s="5" t="inlineStr">
        <is>
          <t>ESM3</t>
        </is>
      </c>
      <c r="C59" s="5" t="n">
        <v>3</v>
      </c>
      <c r="D59" s="5" t="n">
        <v>22</v>
      </c>
      <c r="E59" s="6" t="n">
        <v>1645.75</v>
      </c>
      <c r="F59" s="6" t="n">
        <v>1620.75</v>
      </c>
      <c r="G59" s="6">
        <f>E59-F59</f>
        <v/>
      </c>
      <c r="H59" s="5" t="inlineStr">
        <is>
          <t>Short</t>
        </is>
      </c>
      <c r="I59" s="6" t="n">
        <v>1620.75</v>
      </c>
      <c r="J59" s="6" t="n">
        <v>1645.75</v>
      </c>
      <c r="K59" s="6">
        <f>IF(H59="Long",J59-I59,IF(H59="Short",I59-J59,0))</f>
        <v/>
      </c>
      <c r="L59" s="7" t="n">
        <v>100</v>
      </c>
      <c r="M59" s="5" t="inlineStr">
        <is>
          <t>Loss</t>
        </is>
      </c>
      <c r="N59" s="6">
        <f>N58+K59</f>
        <v/>
      </c>
    </row>
    <row r="60">
      <c r="A60" s="2" t="inlineStr">
        <is>
          <t>2013-07</t>
        </is>
      </c>
      <c r="B60" s="2" t="inlineStr">
        <is>
          <t>ESU3</t>
        </is>
      </c>
      <c r="C60" s="2" t="n">
        <v>3</v>
      </c>
      <c r="D60" s="2" t="n">
        <v>24</v>
      </c>
      <c r="E60" s="3" t="n">
        <v>1620.5</v>
      </c>
      <c r="F60" s="3" t="n">
        <v>1593.25</v>
      </c>
      <c r="G60" s="3">
        <f>E60-F60</f>
        <v/>
      </c>
      <c r="H60" s="2" t="inlineStr">
        <is>
          <t>Long</t>
        </is>
      </c>
      <c r="I60" s="3" t="n">
        <v>1620.5</v>
      </c>
      <c r="J60" s="3" t="n">
        <v>1647.75</v>
      </c>
      <c r="K60" s="3">
        <f>IF(H60="Long",J60-I60,IF(H60="Short",I60-J60,0))</f>
        <v/>
      </c>
      <c r="L60" s="4" t="n">
        <v>44.95</v>
      </c>
      <c r="M60" s="2" t="inlineStr">
        <is>
          <t>Win</t>
        </is>
      </c>
      <c r="N60" s="3">
        <f>N59+K60</f>
        <v/>
      </c>
    </row>
    <row r="61">
      <c r="A61" s="2" t="inlineStr">
        <is>
          <t>2013-08</t>
        </is>
      </c>
      <c r="B61" s="2" t="inlineStr">
        <is>
          <t>ESU3</t>
        </is>
      </c>
      <c r="C61" s="2" t="n">
        <v>3</v>
      </c>
      <c r="D61" s="2" t="n">
        <v>23</v>
      </c>
      <c r="E61" s="3" t="n">
        <v>1705</v>
      </c>
      <c r="F61" s="3" t="n">
        <v>1685</v>
      </c>
      <c r="G61" s="3">
        <f>E61-F61</f>
        <v/>
      </c>
      <c r="H61" s="2" t="inlineStr">
        <is>
          <t>Short</t>
        </is>
      </c>
      <c r="I61" s="3" t="n">
        <v>1685</v>
      </c>
      <c r="J61" s="3" t="n">
        <v>1665</v>
      </c>
      <c r="K61" s="3">
        <f>IF(H61="Long",J61-I61,IF(H61="Short",I61-J61,0))</f>
        <v/>
      </c>
      <c r="L61" s="4" t="n">
        <v>47.5</v>
      </c>
      <c r="M61" s="2" t="inlineStr">
        <is>
          <t>Win</t>
        </is>
      </c>
      <c r="N61" s="3">
        <f>N60+K61</f>
        <v/>
      </c>
    </row>
    <row r="62">
      <c r="A62" s="2" t="inlineStr">
        <is>
          <t>2013-09</t>
        </is>
      </c>
      <c r="B62" s="2" t="inlineStr">
        <is>
          <t>ESU3</t>
        </is>
      </c>
      <c r="C62" s="2" t="n">
        <v>3</v>
      </c>
      <c r="D62" s="2" t="n">
        <v>22</v>
      </c>
      <c r="E62" s="3" t="n">
        <v>1655.25</v>
      </c>
      <c r="F62" s="3" t="n">
        <v>1630.75</v>
      </c>
      <c r="G62" s="3">
        <f>E62-F62</f>
        <v/>
      </c>
      <c r="H62" s="2" t="inlineStr">
        <is>
          <t>Long</t>
        </is>
      </c>
      <c r="I62" s="3" t="n">
        <v>1655.25</v>
      </c>
      <c r="J62" s="3" t="n">
        <v>1679.75</v>
      </c>
      <c r="K62" s="3">
        <f>IF(H62="Long",J62-I62,IF(H62="Short",I62-J62,0))</f>
        <v/>
      </c>
      <c r="L62" s="4" t="n">
        <v>2.04</v>
      </c>
      <c r="M62" s="2" t="inlineStr">
        <is>
          <t>Win</t>
        </is>
      </c>
      <c r="N62" s="3">
        <f>N61+K62</f>
        <v/>
      </c>
    </row>
    <row r="63">
      <c r="A63" s="5" t="inlineStr">
        <is>
          <t>2013-10</t>
        </is>
      </c>
      <c r="B63" s="5" t="inlineStr">
        <is>
          <t>ESZ3</t>
        </is>
      </c>
      <c r="C63" s="5" t="n">
        <v>3</v>
      </c>
      <c r="D63" s="5" t="n">
        <v>24</v>
      </c>
      <c r="E63" s="6" t="n">
        <v>1692.25</v>
      </c>
      <c r="F63" s="6" t="n">
        <v>1663.25</v>
      </c>
      <c r="G63" s="6">
        <f>E63-F63</f>
        <v/>
      </c>
      <c r="H63" s="5" t="inlineStr">
        <is>
          <t>Short</t>
        </is>
      </c>
      <c r="I63" s="6" t="n">
        <v>1663.25</v>
      </c>
      <c r="J63" s="6" t="n">
        <v>1692.25</v>
      </c>
      <c r="K63" s="6">
        <f>IF(H63="Long",J63-I63,IF(H63="Short",I63-J63,0))</f>
        <v/>
      </c>
      <c r="L63" s="7" t="n">
        <v>100</v>
      </c>
      <c r="M63" s="5" t="inlineStr">
        <is>
          <t>Loss</t>
        </is>
      </c>
      <c r="N63" s="6">
        <f>N62+K63</f>
        <v/>
      </c>
    </row>
    <row r="64">
      <c r="A64" s="2" t="inlineStr">
        <is>
          <t>2013-10</t>
        </is>
      </c>
      <c r="B64" s="2" t="inlineStr">
        <is>
          <t>ESZ3</t>
        </is>
      </c>
      <c r="C64" s="2" t="n">
        <v>3</v>
      </c>
      <c r="D64" s="2" t="n">
        <v>24</v>
      </c>
      <c r="E64" s="3" t="n">
        <v>1692.25</v>
      </c>
      <c r="F64" s="3" t="n">
        <v>1663.25</v>
      </c>
      <c r="G64" s="3">
        <f>E64-F64</f>
        <v/>
      </c>
      <c r="H64" s="2" t="inlineStr">
        <is>
          <t>Long</t>
        </is>
      </c>
      <c r="I64" s="3" t="n">
        <v>1692.25</v>
      </c>
      <c r="J64" s="3" t="n">
        <v>1721.25</v>
      </c>
      <c r="K64" s="3">
        <f>IF(H64="Long",J64-I64,IF(H64="Short",I64-J64,0))</f>
        <v/>
      </c>
      <c r="L64" s="4" t="n">
        <v>39.66</v>
      </c>
      <c r="M64" s="2" t="inlineStr">
        <is>
          <t>Win</t>
        </is>
      </c>
      <c r="N64" s="3">
        <f>N63+K64</f>
        <v/>
      </c>
    </row>
    <row r="65">
      <c r="A65" s="5" t="inlineStr">
        <is>
          <t>2013-11</t>
        </is>
      </c>
      <c r="B65" s="5" t="inlineStr">
        <is>
          <t>ESZ3</t>
        </is>
      </c>
      <c r="C65" s="5" t="n">
        <v>3</v>
      </c>
      <c r="D65" s="5" t="n">
        <v>22</v>
      </c>
      <c r="E65" s="6" t="n">
        <v>1764</v>
      </c>
      <c r="F65" s="6" t="n">
        <v>1747</v>
      </c>
      <c r="G65" s="6">
        <f>E65-F65</f>
        <v/>
      </c>
      <c r="H65" s="5" t="inlineStr">
        <is>
          <t>Short</t>
        </is>
      </c>
      <c r="I65" s="6" t="n">
        <v>1747</v>
      </c>
      <c r="J65" s="6" t="n">
        <v>1764</v>
      </c>
      <c r="K65" s="6">
        <f>IF(H65="Long",J65-I65,IF(H65="Short",I65-J65,0))</f>
        <v/>
      </c>
      <c r="L65" s="7" t="n">
        <v>100</v>
      </c>
      <c r="M65" s="5" t="inlineStr">
        <is>
          <t>Loss</t>
        </is>
      </c>
      <c r="N65" s="6">
        <f>N64+K65</f>
        <v/>
      </c>
    </row>
    <row r="66">
      <c r="A66" s="2" t="inlineStr">
        <is>
          <t>2013-11</t>
        </is>
      </c>
      <c r="B66" s="2" t="inlineStr">
        <is>
          <t>ESZ3</t>
        </is>
      </c>
      <c r="C66" s="2" t="n">
        <v>3</v>
      </c>
      <c r="D66" s="2" t="n">
        <v>22</v>
      </c>
      <c r="E66" s="3" t="n">
        <v>1764</v>
      </c>
      <c r="F66" s="3" t="n">
        <v>1747</v>
      </c>
      <c r="G66" s="3">
        <f>E66-F66</f>
        <v/>
      </c>
      <c r="H66" s="2" t="inlineStr">
        <is>
          <t>Long</t>
        </is>
      </c>
      <c r="I66" s="3" t="n">
        <v>1764</v>
      </c>
      <c r="J66" s="3" t="n">
        <v>1781</v>
      </c>
      <c r="K66" s="3">
        <f>IF(H66="Long",J66-I66,IF(H66="Short",I66-J66,0))</f>
        <v/>
      </c>
      <c r="L66" s="4" t="n">
        <v>57.35</v>
      </c>
      <c r="M66" s="2" t="inlineStr">
        <is>
          <t>Win</t>
        </is>
      </c>
      <c r="N66" s="3">
        <f>N65+K66</f>
        <v/>
      </c>
    </row>
    <row r="67">
      <c r="A67" s="5" t="inlineStr">
        <is>
          <t>2013-12</t>
        </is>
      </c>
      <c r="B67" s="5" t="inlineStr">
        <is>
          <t>ESZ3</t>
        </is>
      </c>
      <c r="C67" s="5" t="n">
        <v>3</v>
      </c>
      <c r="D67" s="5" t="n">
        <v>23</v>
      </c>
      <c r="E67" s="6" t="n">
        <v>1809</v>
      </c>
      <c r="F67" s="6" t="n">
        <v>1786.25</v>
      </c>
      <c r="G67" s="6">
        <f>E67-F67</f>
        <v/>
      </c>
      <c r="H67" s="5" t="inlineStr">
        <is>
          <t>Short</t>
        </is>
      </c>
      <c r="I67" s="6" t="n">
        <v>1786.25</v>
      </c>
      <c r="J67" s="6" t="n">
        <v>1809</v>
      </c>
      <c r="K67" s="6">
        <f>IF(H67="Long",J67-I67,IF(H67="Short",I67-J67,0))</f>
        <v/>
      </c>
      <c r="L67" s="7" t="n">
        <v>100</v>
      </c>
      <c r="M67" s="5" t="inlineStr">
        <is>
          <t>Loss</t>
        </is>
      </c>
      <c r="N67" s="6">
        <f>N66+K67</f>
        <v/>
      </c>
    </row>
    <row r="68">
      <c r="A68" s="5" t="inlineStr">
        <is>
          <t>2013-12</t>
        </is>
      </c>
      <c r="B68" s="5" t="inlineStr">
        <is>
          <t>ESZ3</t>
        </is>
      </c>
      <c r="C68" s="5" t="n">
        <v>3</v>
      </c>
      <c r="D68" s="5" t="n">
        <v>23</v>
      </c>
      <c r="E68" s="6" t="n">
        <v>1809</v>
      </c>
      <c r="F68" s="6" t="n">
        <v>1786.25</v>
      </c>
      <c r="G68" s="6">
        <f>E68-F68</f>
        <v/>
      </c>
      <c r="H68" s="5" t="inlineStr">
        <is>
          <t>Long</t>
        </is>
      </c>
      <c r="I68" s="6" t="n">
        <v>1809</v>
      </c>
      <c r="J68" s="6" t="n">
        <v>1786.25</v>
      </c>
      <c r="K68" s="6">
        <f>IF(H68="Long",J68-I68,IF(H68="Short",I68-J68,0))</f>
        <v/>
      </c>
      <c r="L68" s="7" t="n">
        <v>100</v>
      </c>
      <c r="M68" s="5" t="inlineStr">
        <is>
          <t>Loss</t>
        </is>
      </c>
      <c r="N68" s="6">
        <f>N67+K68</f>
        <v/>
      </c>
    </row>
    <row r="69">
      <c r="A69" s="5" t="inlineStr">
        <is>
          <t>2014-01</t>
        </is>
      </c>
      <c r="B69" s="5" t="inlineStr">
        <is>
          <t>ESH4</t>
        </is>
      </c>
      <c r="C69" s="5" t="n">
        <v>3</v>
      </c>
      <c r="D69" s="5" t="n">
        <v>22</v>
      </c>
      <c r="E69" s="6" t="n">
        <v>1840.75</v>
      </c>
      <c r="F69" s="6" t="n">
        <v>1820.5</v>
      </c>
      <c r="G69" s="6">
        <f>E69-F69</f>
        <v/>
      </c>
      <c r="H69" s="5" t="inlineStr">
        <is>
          <t>Short</t>
        </is>
      </c>
      <c r="I69" s="6" t="n">
        <v>1820.5</v>
      </c>
      <c r="J69" s="6" t="n">
        <v>1840.75</v>
      </c>
      <c r="K69" s="6">
        <f>IF(H69="Long",J69-I69,IF(H69="Short",I69-J69,0))</f>
        <v/>
      </c>
      <c r="L69" s="7" t="n">
        <v>100</v>
      </c>
      <c r="M69" s="5" t="inlineStr">
        <is>
          <t>Loss</t>
        </is>
      </c>
      <c r="N69" s="6">
        <f>N68+K69</f>
        <v/>
      </c>
    </row>
    <row r="70">
      <c r="A70" s="5" t="inlineStr">
        <is>
          <t>2014-01</t>
        </is>
      </c>
      <c r="B70" s="5" t="inlineStr">
        <is>
          <t>ESH4</t>
        </is>
      </c>
      <c r="C70" s="5" t="n">
        <v>3</v>
      </c>
      <c r="D70" s="5" t="n">
        <v>22</v>
      </c>
      <c r="E70" s="6" t="n">
        <v>1840.75</v>
      </c>
      <c r="F70" s="6" t="n">
        <v>1820.5</v>
      </c>
      <c r="G70" s="6">
        <f>E70-F70</f>
        <v/>
      </c>
      <c r="H70" s="5" t="inlineStr">
        <is>
          <t>Long</t>
        </is>
      </c>
      <c r="I70" s="6" t="n">
        <v>1840.75</v>
      </c>
      <c r="J70" s="6" t="n">
        <v>1820.5</v>
      </c>
      <c r="K70" s="6">
        <f>IF(H70="Long",J70-I70,IF(H70="Short",I70-J70,0))</f>
        <v/>
      </c>
      <c r="L70" s="7" t="n">
        <v>100</v>
      </c>
      <c r="M70" s="5" t="inlineStr">
        <is>
          <t>Loss</t>
        </is>
      </c>
      <c r="N70" s="6">
        <f>N69+K70</f>
        <v/>
      </c>
    </row>
    <row r="71">
      <c r="A71" s="2" t="inlineStr">
        <is>
          <t>2014-02</t>
        </is>
      </c>
      <c r="B71" s="2" t="inlineStr">
        <is>
          <t>ESH4</t>
        </is>
      </c>
      <c r="C71" s="2" t="n">
        <v>3</v>
      </c>
      <c r="D71" s="2" t="n">
        <v>20</v>
      </c>
      <c r="E71" s="3" t="n">
        <v>1783.75</v>
      </c>
      <c r="F71" s="3" t="n">
        <v>1732.25</v>
      </c>
      <c r="G71" s="3">
        <f>E71-F71</f>
        <v/>
      </c>
      <c r="H71" s="2" t="inlineStr">
        <is>
          <t>Long</t>
        </is>
      </c>
      <c r="I71" s="3" t="n">
        <v>1783.75</v>
      </c>
      <c r="J71" s="3" t="n">
        <v>1835.25</v>
      </c>
      <c r="K71" s="3">
        <f>IF(H71="Long",J71-I71,IF(H71="Short",I71-J71,0))</f>
        <v/>
      </c>
      <c r="L71" s="4" t="n">
        <v>0</v>
      </c>
      <c r="M71" s="2" t="inlineStr">
        <is>
          <t>Win</t>
        </is>
      </c>
      <c r="N71" s="3">
        <f>N70+K71</f>
        <v/>
      </c>
    </row>
    <row r="72">
      <c r="A72" s="5" t="inlineStr">
        <is>
          <t>2014-03</t>
        </is>
      </c>
      <c r="B72" s="5" t="inlineStr">
        <is>
          <t>ESH4</t>
        </is>
      </c>
      <c r="C72" s="5" t="n">
        <v>3</v>
      </c>
      <c r="D72" s="5" t="n">
        <v>23</v>
      </c>
      <c r="E72" s="6" t="n">
        <v>1874.75</v>
      </c>
      <c r="F72" s="6" t="n">
        <v>1832.25</v>
      </c>
      <c r="G72" s="6">
        <f>E72-F72</f>
        <v/>
      </c>
      <c r="H72" s="5" t="inlineStr">
        <is>
          <t>Long</t>
        </is>
      </c>
      <c r="I72" s="6" t="n">
        <v>1874.75</v>
      </c>
      <c r="J72" s="6" t="n">
        <v>1832.25</v>
      </c>
      <c r="K72" s="6">
        <f>IF(H72="Long",J72-I72,IF(H72="Short",I72-J72,0))</f>
        <v/>
      </c>
      <c r="L72" s="7" t="n">
        <v>100</v>
      </c>
      <c r="M72" s="5" t="inlineStr">
        <is>
          <t>Loss</t>
        </is>
      </c>
      <c r="N72" s="6">
        <f>N71+K72</f>
        <v/>
      </c>
    </row>
    <row r="73">
      <c r="A73" s="5" t="inlineStr">
        <is>
          <t>2014-03</t>
        </is>
      </c>
      <c r="B73" s="5" t="inlineStr">
        <is>
          <t>ESH4</t>
        </is>
      </c>
      <c r="C73" s="5" t="n">
        <v>3</v>
      </c>
      <c r="D73" s="5" t="n">
        <v>23</v>
      </c>
      <c r="E73" s="6" t="n">
        <v>1874.75</v>
      </c>
      <c r="F73" s="6" t="n">
        <v>1832.25</v>
      </c>
      <c r="G73" s="6">
        <f>E73-F73</f>
        <v/>
      </c>
      <c r="H73" s="5" t="inlineStr">
        <is>
          <t>Short</t>
        </is>
      </c>
      <c r="I73" s="6" t="n">
        <v>1832.25</v>
      </c>
      <c r="J73" s="6" t="n">
        <v>1874.75</v>
      </c>
      <c r="K73" s="6">
        <f>IF(H73="Long",J73-I73,IF(H73="Short",I73-J73,0))</f>
        <v/>
      </c>
      <c r="L73" s="7" t="n">
        <v>100</v>
      </c>
      <c r="M73" s="5" t="inlineStr">
        <is>
          <t>Loss</t>
        </is>
      </c>
      <c r="N73" s="6">
        <f>N72+K73</f>
        <v/>
      </c>
    </row>
    <row r="74">
      <c r="A74" s="2" t="inlineStr">
        <is>
          <t>2014-04</t>
        </is>
      </c>
      <c r="B74" s="2" t="inlineStr">
        <is>
          <t>ESM4</t>
        </is>
      </c>
      <c r="C74" s="2" t="n">
        <v>3</v>
      </c>
      <c r="D74" s="2" t="n">
        <v>22</v>
      </c>
      <c r="E74" s="3" t="n">
        <v>1887.5</v>
      </c>
      <c r="F74" s="3" t="n">
        <v>1862.25</v>
      </c>
      <c r="G74" s="3">
        <f>E74-F74</f>
        <v/>
      </c>
      <c r="H74" s="2" t="inlineStr">
        <is>
          <t>Short</t>
        </is>
      </c>
      <c r="I74" s="3" t="n">
        <v>1862.25</v>
      </c>
      <c r="J74" s="3" t="n">
        <v>1837</v>
      </c>
      <c r="K74" s="3">
        <f>IF(H74="Long",J74-I74,IF(H74="Short",I74-J74,0))</f>
        <v/>
      </c>
      <c r="L74" s="4" t="n">
        <v>0</v>
      </c>
      <c r="M74" s="2" t="inlineStr">
        <is>
          <t>Win</t>
        </is>
      </c>
      <c r="N74" s="3">
        <f>N73+K74</f>
        <v/>
      </c>
    </row>
    <row r="75">
      <c r="A75" s="2" t="inlineStr">
        <is>
          <t>2014-04</t>
        </is>
      </c>
      <c r="B75" s="2" t="inlineStr">
        <is>
          <t>ESM4</t>
        </is>
      </c>
      <c r="C75" s="2" t="n">
        <v>3</v>
      </c>
      <c r="D75" s="2" t="n">
        <v>22</v>
      </c>
      <c r="E75" s="3" t="n">
        <v>1887.5</v>
      </c>
      <c r="F75" s="3" t="n">
        <v>1862.25</v>
      </c>
      <c r="G75" s="3">
        <f>E75-F75</f>
        <v/>
      </c>
      <c r="H75" s="2" t="inlineStr">
        <is>
          <t>Short</t>
        </is>
      </c>
      <c r="I75" s="3" t="n">
        <v>1862.25</v>
      </c>
      <c r="J75" s="3" t="n">
        <v>1837</v>
      </c>
      <c r="K75" s="3">
        <f>IF(H75="Long",J75-I75,IF(H75="Short",I75-J75,0))</f>
        <v/>
      </c>
      <c r="L75" s="4" t="n">
        <v>20.79</v>
      </c>
      <c r="M75" s="2" t="inlineStr">
        <is>
          <t>Win</t>
        </is>
      </c>
      <c r="N75" s="3">
        <f>N74+K75</f>
        <v/>
      </c>
    </row>
    <row r="76">
      <c r="A76" s="2" t="inlineStr">
        <is>
          <t>2014-05</t>
        </is>
      </c>
      <c r="B76" s="2" t="inlineStr">
        <is>
          <t>ESM4</t>
        </is>
      </c>
      <c r="C76" s="2" t="n">
        <v>3</v>
      </c>
      <c r="D76" s="2" t="n">
        <v>23</v>
      </c>
      <c r="E76" s="3" t="n">
        <v>1886</v>
      </c>
      <c r="F76" s="3" t="n">
        <v>1871.5</v>
      </c>
      <c r="G76" s="3">
        <f>E76-F76</f>
        <v/>
      </c>
      <c r="H76" s="2" t="inlineStr">
        <is>
          <t>Short</t>
        </is>
      </c>
      <c r="I76" s="3" t="n">
        <v>1871.5</v>
      </c>
      <c r="J76" s="3" t="n">
        <v>1857</v>
      </c>
      <c r="K76" s="3">
        <f>IF(H76="Long",J76-I76,IF(H76="Short",I76-J76,0))</f>
        <v/>
      </c>
      <c r="L76" s="4" t="n">
        <v>29.31</v>
      </c>
      <c r="M76" s="2" t="inlineStr">
        <is>
          <t>Win</t>
        </is>
      </c>
      <c r="N76" s="3">
        <f>N75+K76</f>
        <v/>
      </c>
    </row>
    <row r="77">
      <c r="A77" s="5" t="inlineStr">
        <is>
          <t>2014-05</t>
        </is>
      </c>
      <c r="B77" s="5" t="inlineStr">
        <is>
          <t>ESM4</t>
        </is>
      </c>
      <c r="C77" s="5" t="n">
        <v>3</v>
      </c>
      <c r="D77" s="5" t="n">
        <v>23</v>
      </c>
      <c r="E77" s="6" t="n">
        <v>1886</v>
      </c>
      <c r="F77" s="6" t="n">
        <v>1871.5</v>
      </c>
      <c r="G77" s="6">
        <f>E77-F77</f>
        <v/>
      </c>
      <c r="H77" s="5" t="inlineStr">
        <is>
          <t>Short</t>
        </is>
      </c>
      <c r="I77" s="6" t="n">
        <v>1871.5</v>
      </c>
      <c r="J77" s="6" t="n">
        <v>1886</v>
      </c>
      <c r="K77" s="6">
        <f>IF(H77="Long",J77-I77,IF(H77="Short",I77-J77,0))</f>
        <v/>
      </c>
      <c r="L77" s="7" t="n">
        <v>100</v>
      </c>
      <c r="M77" s="5" t="inlineStr">
        <is>
          <t>Loss</t>
        </is>
      </c>
      <c r="N77" s="6">
        <f>N76+K77</f>
        <v/>
      </c>
    </row>
    <row r="78">
      <c r="A78" s="2" t="inlineStr">
        <is>
          <t>2014-06</t>
        </is>
      </c>
      <c r="B78" s="2" t="inlineStr">
        <is>
          <t>ESM4</t>
        </is>
      </c>
      <c r="C78" s="2" t="n">
        <v>3</v>
      </c>
      <c r="D78" s="2" t="n">
        <v>21</v>
      </c>
      <c r="E78" s="3" t="n">
        <v>1924.25</v>
      </c>
      <c r="F78" s="3" t="n">
        <v>1913.75</v>
      </c>
      <c r="G78" s="3">
        <f>E78-F78</f>
        <v/>
      </c>
      <c r="H78" s="2" t="inlineStr">
        <is>
          <t>Long</t>
        </is>
      </c>
      <c r="I78" s="3" t="n">
        <v>1924.25</v>
      </c>
      <c r="J78" s="3" t="n">
        <v>1934.75</v>
      </c>
      <c r="K78" s="3">
        <f>IF(H78="Long",J78-I78,IF(H78="Short",I78-J78,0))</f>
        <v/>
      </c>
      <c r="L78" s="4" t="n">
        <v>30.95</v>
      </c>
      <c r="M78" s="2" t="inlineStr">
        <is>
          <t>Win</t>
        </is>
      </c>
      <c r="N78" s="3">
        <f>N77+K78</f>
        <v/>
      </c>
    </row>
    <row r="79">
      <c r="A79" s="2" t="inlineStr">
        <is>
          <t>2014-06</t>
        </is>
      </c>
      <c r="B79" s="2" t="inlineStr">
        <is>
          <t>ESM4</t>
        </is>
      </c>
      <c r="C79" s="2" t="n">
        <v>3</v>
      </c>
      <c r="D79" s="2" t="n">
        <v>21</v>
      </c>
      <c r="E79" s="3" t="n">
        <v>1924.25</v>
      </c>
      <c r="F79" s="3" t="n">
        <v>1913.75</v>
      </c>
      <c r="G79" s="3">
        <f>E79-F79</f>
        <v/>
      </c>
      <c r="H79" s="2" t="inlineStr">
        <is>
          <t>Long</t>
        </is>
      </c>
      <c r="I79" s="3" t="n">
        <v>1924.25</v>
      </c>
      <c r="J79" s="3" t="n">
        <v>1934.75</v>
      </c>
      <c r="K79" s="3">
        <f>IF(H79="Long",J79-I79,IF(H79="Short",I79-J79,0))</f>
        <v/>
      </c>
      <c r="L79" s="4" t="n">
        <v>0</v>
      </c>
      <c r="M79" s="2" t="inlineStr">
        <is>
          <t>Win</t>
        </is>
      </c>
      <c r="N79" s="3">
        <f>N78+K79</f>
        <v/>
      </c>
    </row>
    <row r="80">
      <c r="A80" s="5" t="inlineStr">
        <is>
          <t>2014-07</t>
        </is>
      </c>
      <c r="B80" s="5" t="inlineStr">
        <is>
          <t>ESU4</t>
        </is>
      </c>
      <c r="C80" s="5" t="n">
        <v>3</v>
      </c>
      <c r="D80" s="5" t="n">
        <v>24</v>
      </c>
      <c r="E80" s="6" t="n">
        <v>1978.25</v>
      </c>
      <c r="F80" s="6" t="n">
        <v>1953.5</v>
      </c>
      <c r="G80" s="6">
        <f>E80-F80</f>
        <v/>
      </c>
      <c r="H80" s="5" t="inlineStr">
        <is>
          <t>Short</t>
        </is>
      </c>
      <c r="I80" s="6" t="n">
        <v>1953.5</v>
      </c>
      <c r="J80" s="6" t="n">
        <v>1978.25</v>
      </c>
      <c r="K80" s="6">
        <f>IF(H80="Long",J80-I80,IF(H80="Short",I80-J80,0))</f>
        <v/>
      </c>
      <c r="L80" s="7" t="n">
        <v>100</v>
      </c>
      <c r="M80" s="5" t="inlineStr">
        <is>
          <t>Loss</t>
        </is>
      </c>
      <c r="N80" s="6">
        <f>N79+K80</f>
        <v/>
      </c>
    </row>
    <row r="81">
      <c r="A81" s="5" t="inlineStr">
        <is>
          <t>2014-07</t>
        </is>
      </c>
      <c r="B81" s="5" t="inlineStr">
        <is>
          <t>ESU4</t>
        </is>
      </c>
      <c r="C81" s="5" t="n">
        <v>3</v>
      </c>
      <c r="D81" s="5" t="n">
        <v>24</v>
      </c>
      <c r="E81" s="6" t="n">
        <v>1978.25</v>
      </c>
      <c r="F81" s="6" t="n">
        <v>1953.5</v>
      </c>
      <c r="G81" s="6">
        <f>E81-F81</f>
        <v/>
      </c>
      <c r="H81" s="5" t="inlineStr">
        <is>
          <t>Long</t>
        </is>
      </c>
      <c r="I81" s="6" t="n">
        <v>1978.25</v>
      </c>
      <c r="J81" s="6" t="n">
        <v>1953.5</v>
      </c>
      <c r="K81" s="6">
        <f>IF(H81="Long",J81-I81,IF(H81="Short",I81-J81,0))</f>
        <v/>
      </c>
      <c r="L81" s="7" t="n">
        <v>100</v>
      </c>
      <c r="M81" s="5" t="inlineStr">
        <is>
          <t>Loss</t>
        </is>
      </c>
      <c r="N81" s="6">
        <f>N80+K81</f>
        <v/>
      </c>
    </row>
    <row r="82">
      <c r="A82" s="5" t="inlineStr">
        <is>
          <t>2014-08</t>
        </is>
      </c>
      <c r="B82" s="5" t="inlineStr">
        <is>
          <t>ESU4</t>
        </is>
      </c>
      <c r="C82" s="5" t="n">
        <v>3</v>
      </c>
      <c r="D82" s="5" t="n">
        <v>22</v>
      </c>
      <c r="E82" s="6" t="n">
        <v>1937.5</v>
      </c>
      <c r="F82" s="6" t="n">
        <v>1910.25</v>
      </c>
      <c r="G82" s="6">
        <f>E82-F82</f>
        <v/>
      </c>
      <c r="H82" s="5" t="inlineStr">
        <is>
          <t>Short</t>
        </is>
      </c>
      <c r="I82" s="6" t="n">
        <v>1910.25</v>
      </c>
      <c r="J82" s="6" t="n">
        <v>1937.5</v>
      </c>
      <c r="K82" s="6">
        <f>IF(H82="Long",J82-I82,IF(H82="Short",I82-J82,0))</f>
        <v/>
      </c>
      <c r="L82" s="7" t="n">
        <v>100</v>
      </c>
      <c r="M82" s="5" t="inlineStr">
        <is>
          <t>Loss</t>
        </is>
      </c>
      <c r="N82" s="6">
        <f>N81+K82</f>
        <v/>
      </c>
    </row>
    <row r="83">
      <c r="A83" s="2" t="inlineStr">
        <is>
          <t>2014-08</t>
        </is>
      </c>
      <c r="B83" s="2" t="inlineStr">
        <is>
          <t>ESU4</t>
        </is>
      </c>
      <c r="C83" s="2" t="n">
        <v>3</v>
      </c>
      <c r="D83" s="2" t="n">
        <v>22</v>
      </c>
      <c r="E83" s="3" t="n">
        <v>1937.5</v>
      </c>
      <c r="F83" s="3" t="n">
        <v>1910.25</v>
      </c>
      <c r="G83" s="3">
        <f>E83-F83</f>
        <v/>
      </c>
      <c r="H83" s="2" t="inlineStr">
        <is>
          <t>Long</t>
        </is>
      </c>
      <c r="I83" s="3" t="n">
        <v>1937.5</v>
      </c>
      <c r="J83" s="3" t="n">
        <v>1964.75</v>
      </c>
      <c r="K83" s="3">
        <f>IF(H83="Long",J83-I83,IF(H83="Short",I83-J83,0))</f>
        <v/>
      </c>
      <c r="L83" s="4" t="n">
        <v>0.92</v>
      </c>
      <c r="M83" s="2" t="inlineStr">
        <is>
          <t>Win</t>
        </is>
      </c>
      <c r="N83" s="3">
        <f>N82+K83</f>
        <v/>
      </c>
    </row>
    <row r="84">
      <c r="A84" s="2" t="inlineStr">
        <is>
          <t>2014-09</t>
        </is>
      </c>
      <c r="B84" s="2" t="inlineStr">
        <is>
          <t>ESU4</t>
        </is>
      </c>
      <c r="C84" s="2" t="n">
        <v>3</v>
      </c>
      <c r="D84" s="2" t="n">
        <v>20</v>
      </c>
      <c r="E84" s="3" t="n">
        <v>2011</v>
      </c>
      <c r="F84" s="3" t="n">
        <v>1992.75</v>
      </c>
      <c r="G84" s="3">
        <f>E84-F84</f>
        <v/>
      </c>
      <c r="H84" s="2" t="inlineStr">
        <is>
          <t>Short</t>
        </is>
      </c>
      <c r="I84" s="3" t="n">
        <v>1992.75</v>
      </c>
      <c r="J84" s="3" t="n">
        <v>1974.5</v>
      </c>
      <c r="K84" s="3">
        <f>IF(H84="Long",J84-I84,IF(H84="Short",I84-J84,0))</f>
        <v/>
      </c>
      <c r="L84" s="4" t="n">
        <v>36.99</v>
      </c>
      <c r="M84" s="2" t="inlineStr">
        <is>
          <t>Win</t>
        </is>
      </c>
      <c r="N84" s="3">
        <f>N83+K84</f>
        <v/>
      </c>
    </row>
    <row r="85">
      <c r="A85" s="2" t="inlineStr">
        <is>
          <t>2014-09</t>
        </is>
      </c>
      <c r="B85" s="2" t="inlineStr">
        <is>
          <t>ESU4</t>
        </is>
      </c>
      <c r="C85" s="2" t="n">
        <v>3</v>
      </c>
      <c r="D85" s="2" t="n">
        <v>20</v>
      </c>
      <c r="E85" s="3" t="n">
        <v>2011</v>
      </c>
      <c r="F85" s="3" t="n">
        <v>1992.75</v>
      </c>
      <c r="G85" s="3">
        <f>E85-F85</f>
        <v/>
      </c>
      <c r="H85" s="2" t="inlineStr">
        <is>
          <t>Short</t>
        </is>
      </c>
      <c r="I85" s="3" t="n">
        <v>1992.75</v>
      </c>
      <c r="J85" s="3" t="n">
        <v>1974.5</v>
      </c>
      <c r="K85" s="3">
        <f>IF(H85="Long",J85-I85,IF(H85="Short",I85-J85,0))</f>
        <v/>
      </c>
      <c r="L85" s="4" t="n">
        <v>9.59</v>
      </c>
      <c r="M85" s="2" t="inlineStr">
        <is>
          <t>Win</t>
        </is>
      </c>
      <c r="N85" s="3">
        <f>N84+K85</f>
        <v/>
      </c>
    </row>
    <row r="86">
      <c r="A86" s="2" t="inlineStr">
        <is>
          <t>2014-10</t>
        </is>
      </c>
      <c r="B86" s="2" t="inlineStr">
        <is>
          <t>ESZ4</t>
        </is>
      </c>
      <c r="C86" s="2" t="n">
        <v>3</v>
      </c>
      <c r="D86" s="2" t="n">
        <v>24</v>
      </c>
      <c r="E86" s="3" t="n">
        <v>1967</v>
      </c>
      <c r="F86" s="3" t="n">
        <v>1918.25</v>
      </c>
      <c r="G86" s="3">
        <f>E86-F86</f>
        <v/>
      </c>
      <c r="H86" s="2" t="inlineStr">
        <is>
          <t>Short</t>
        </is>
      </c>
      <c r="I86" s="3" t="n">
        <v>1918.25</v>
      </c>
      <c r="J86" s="3" t="n">
        <v>1869.5</v>
      </c>
      <c r="K86" s="3">
        <f>IF(H86="Long",J86-I86,IF(H86="Short",I86-J86,0))</f>
        <v/>
      </c>
      <c r="L86" s="4" t="n">
        <v>26.67</v>
      </c>
      <c r="M86" s="2" t="inlineStr">
        <is>
          <t>Win</t>
        </is>
      </c>
      <c r="N86" s="3">
        <f>N85+K86</f>
        <v/>
      </c>
    </row>
    <row r="87">
      <c r="A87" s="5" t="inlineStr">
        <is>
          <t>2014-10</t>
        </is>
      </c>
      <c r="B87" s="5" t="inlineStr">
        <is>
          <t>ESZ4</t>
        </is>
      </c>
      <c r="C87" s="5" t="n">
        <v>3</v>
      </c>
      <c r="D87" s="5" t="n">
        <v>24</v>
      </c>
      <c r="E87" s="6" t="n">
        <v>1967</v>
      </c>
      <c r="F87" s="6" t="n">
        <v>1918.25</v>
      </c>
      <c r="G87" s="6">
        <f>E87-F87</f>
        <v/>
      </c>
      <c r="H87" s="5" t="inlineStr">
        <is>
          <t>Short</t>
        </is>
      </c>
      <c r="I87" s="6" t="n">
        <v>1918.25</v>
      </c>
      <c r="J87" s="6" t="n">
        <v>1967</v>
      </c>
      <c r="K87" s="6">
        <f>IF(H87="Long",J87-I87,IF(H87="Short",I87-J87,0))</f>
        <v/>
      </c>
      <c r="L87" s="7" t="n">
        <v>100</v>
      </c>
      <c r="M87" s="5" t="inlineStr">
        <is>
          <t>Loss</t>
        </is>
      </c>
      <c r="N87" s="6">
        <f>N86+K87</f>
        <v/>
      </c>
    </row>
    <row r="88">
      <c r="A88" s="2" t="inlineStr">
        <is>
          <t>2014-11</t>
        </is>
      </c>
      <c r="B88" s="2" t="inlineStr">
        <is>
          <t>ESZ4</t>
        </is>
      </c>
      <c r="C88" s="2" t="n">
        <v>3</v>
      </c>
      <c r="D88" s="2" t="n">
        <v>22</v>
      </c>
      <c r="E88" s="3" t="n">
        <v>2019.25</v>
      </c>
      <c r="F88" s="3" t="n">
        <v>1995.25</v>
      </c>
      <c r="G88" s="3">
        <f>E88-F88</f>
        <v/>
      </c>
      <c r="H88" s="2" t="inlineStr">
        <is>
          <t>Long</t>
        </is>
      </c>
      <c r="I88" s="3" t="n">
        <v>2019.25</v>
      </c>
      <c r="J88" s="3" t="n">
        <v>2043.25</v>
      </c>
      <c r="K88" s="3">
        <f>IF(H88="Long",J88-I88,IF(H88="Short",I88-J88,0))</f>
        <v/>
      </c>
      <c r="L88" s="4" t="n">
        <v>0</v>
      </c>
      <c r="M88" s="2" t="inlineStr">
        <is>
          <t>Win</t>
        </is>
      </c>
      <c r="N88" s="3">
        <f>N87+K88</f>
        <v/>
      </c>
    </row>
    <row r="89">
      <c r="A89" s="5" t="inlineStr">
        <is>
          <t>2014-12</t>
        </is>
      </c>
      <c r="B89" s="5" t="inlineStr">
        <is>
          <t>ESZ4</t>
        </is>
      </c>
      <c r="C89" s="5" t="n">
        <v>3</v>
      </c>
      <c r="D89" s="5" t="n">
        <v>23</v>
      </c>
      <c r="E89" s="6" t="n">
        <v>2076</v>
      </c>
      <c r="F89" s="6" t="n">
        <v>2048.25</v>
      </c>
      <c r="G89" s="6">
        <f>E89-F89</f>
        <v/>
      </c>
      <c r="H89" s="5" t="inlineStr">
        <is>
          <t>Long</t>
        </is>
      </c>
      <c r="I89" s="6" t="n">
        <v>2076</v>
      </c>
      <c r="J89" s="6" t="n">
        <v>2048.25</v>
      </c>
      <c r="K89" s="6">
        <f>IF(H89="Long",J89-I89,IF(H89="Short",I89-J89,0))</f>
        <v/>
      </c>
      <c r="L89" s="7" t="n">
        <v>100</v>
      </c>
      <c r="M89" s="5" t="inlineStr">
        <is>
          <t>Loss</t>
        </is>
      </c>
      <c r="N89" s="6">
        <f>N88+K89</f>
        <v/>
      </c>
    </row>
    <row r="90">
      <c r="A90" s="2" t="inlineStr">
        <is>
          <t>2014-12</t>
        </is>
      </c>
      <c r="B90" s="2" t="inlineStr">
        <is>
          <t>ESZ4</t>
        </is>
      </c>
      <c r="C90" s="2" t="n">
        <v>3</v>
      </c>
      <c r="D90" s="2" t="n">
        <v>23</v>
      </c>
      <c r="E90" s="3" t="n">
        <v>2076</v>
      </c>
      <c r="F90" s="3" t="n">
        <v>2048.25</v>
      </c>
      <c r="G90" s="3">
        <f>E90-F90</f>
        <v/>
      </c>
      <c r="H90" s="2" t="inlineStr">
        <is>
          <t>Short</t>
        </is>
      </c>
      <c r="I90" s="3" t="n">
        <v>2048.25</v>
      </c>
      <c r="J90" s="3" t="n">
        <v>2020.5</v>
      </c>
      <c r="K90" s="3">
        <f>IF(H90="Long",J90-I90,IF(H90="Short",I90-J90,0))</f>
        <v/>
      </c>
      <c r="L90" s="4" t="n">
        <v>29.73</v>
      </c>
      <c r="M90" s="2" t="inlineStr">
        <is>
          <t>Win</t>
        </is>
      </c>
      <c r="N90" s="3">
        <f>N89+K90</f>
        <v/>
      </c>
    </row>
    <row r="91">
      <c r="A91" s="2" t="inlineStr">
        <is>
          <t>2015-01</t>
        </is>
      </c>
      <c r="B91" s="2" t="inlineStr">
        <is>
          <t>ESH5</t>
        </is>
      </c>
      <c r="C91" s="2" t="n">
        <v>3</v>
      </c>
      <c r="D91" s="2" t="n">
        <v>23</v>
      </c>
      <c r="E91" s="3" t="n">
        <v>2067.25</v>
      </c>
      <c r="F91" s="3" t="n">
        <v>2038.75</v>
      </c>
      <c r="G91" s="3">
        <f>E91-F91</f>
        <v/>
      </c>
      <c r="H91" s="2" t="inlineStr">
        <is>
          <t>Short</t>
        </is>
      </c>
      <c r="I91" s="3" t="n">
        <v>2038.75</v>
      </c>
      <c r="J91" s="3" t="n">
        <v>2010.25</v>
      </c>
      <c r="K91" s="3">
        <f>IF(H91="Long",J91-I91,IF(H91="Short",I91-J91,0))</f>
        <v/>
      </c>
      <c r="L91" s="4" t="n">
        <v>0</v>
      </c>
      <c r="M91" s="2" t="inlineStr">
        <is>
          <t>Win</t>
        </is>
      </c>
      <c r="N91" s="3">
        <f>N90+K91</f>
        <v/>
      </c>
    </row>
    <row r="92">
      <c r="A92" s="2" t="inlineStr">
        <is>
          <t>2015-01</t>
        </is>
      </c>
      <c r="B92" s="2" t="inlineStr">
        <is>
          <t>ESH5</t>
        </is>
      </c>
      <c r="C92" s="2" t="n">
        <v>3</v>
      </c>
      <c r="D92" s="2" t="n">
        <v>23</v>
      </c>
      <c r="E92" s="3" t="n">
        <v>2067.25</v>
      </c>
      <c r="F92" s="3" t="n">
        <v>2038.75</v>
      </c>
      <c r="G92" s="3">
        <f>E92-F92</f>
        <v/>
      </c>
      <c r="H92" s="2" t="inlineStr">
        <is>
          <t>Short</t>
        </is>
      </c>
      <c r="I92" s="3" t="n">
        <v>2038.75</v>
      </c>
      <c r="J92" s="3" t="n">
        <v>2010.25</v>
      </c>
      <c r="K92" s="3">
        <f>IF(H92="Long",J92-I92,IF(H92="Short",I92-J92,0))</f>
        <v/>
      </c>
      <c r="L92" s="4" t="n">
        <v>81.58</v>
      </c>
      <c r="M92" s="2" t="inlineStr">
        <is>
          <t>Win</t>
        </is>
      </c>
      <c r="N92" s="3">
        <f>N91+K92</f>
        <v/>
      </c>
    </row>
    <row r="93">
      <c r="A93" s="2" t="inlineStr">
        <is>
          <t>2015-02</t>
        </is>
      </c>
      <c r="B93" s="2" t="inlineStr">
        <is>
          <t>ESH5</t>
        </is>
      </c>
      <c r="C93" s="2" t="n">
        <v>3</v>
      </c>
      <c r="D93" s="2" t="n">
        <v>21</v>
      </c>
      <c r="E93" s="3" t="n">
        <v>2044</v>
      </c>
      <c r="F93" s="3" t="n">
        <v>1973.75</v>
      </c>
      <c r="G93" s="3">
        <f>E93-F93</f>
        <v/>
      </c>
      <c r="H93" s="2" t="inlineStr">
        <is>
          <t>Long</t>
        </is>
      </c>
      <c r="I93" s="3" t="n">
        <v>2044</v>
      </c>
      <c r="J93" s="3" t="n">
        <v>2114.25</v>
      </c>
      <c r="K93" s="3">
        <f>IF(H93="Long",J93-I93,IF(H93="Short",I93-J93,0))</f>
        <v/>
      </c>
      <c r="L93" s="4" t="n">
        <v>10.68</v>
      </c>
      <c r="M93" s="2" t="inlineStr">
        <is>
          <t>Win</t>
        </is>
      </c>
      <c r="N93" s="3">
        <f>N92+K93</f>
        <v/>
      </c>
    </row>
    <row r="94">
      <c r="A94" s="2" t="inlineStr">
        <is>
          <t>2015-03</t>
        </is>
      </c>
      <c r="B94" s="2" t="inlineStr">
        <is>
          <t>ESH5</t>
        </is>
      </c>
      <c r="C94" s="2" t="n">
        <v>3</v>
      </c>
      <c r="D94" s="2" t="n">
        <v>24</v>
      </c>
      <c r="E94" s="3" t="n">
        <v>2115.5</v>
      </c>
      <c r="F94" s="3" t="n">
        <v>2095.5</v>
      </c>
      <c r="G94" s="3">
        <f>E94-F94</f>
        <v/>
      </c>
      <c r="H94" s="2" t="inlineStr">
        <is>
          <t>Short</t>
        </is>
      </c>
      <c r="I94" s="3" t="n">
        <v>2095.5</v>
      </c>
      <c r="J94" s="3" t="n">
        <v>2075.5</v>
      </c>
      <c r="K94" s="3">
        <f>IF(H94="Long",J94-I94,IF(H94="Short",I94-J94,0))</f>
        <v/>
      </c>
      <c r="L94" s="4" t="n">
        <v>0</v>
      </c>
      <c r="M94" s="2" t="inlineStr">
        <is>
          <t>Win</t>
        </is>
      </c>
      <c r="N94" s="3">
        <f>N93+K94</f>
        <v/>
      </c>
    </row>
    <row r="95">
      <c r="A95" s="2" t="inlineStr">
        <is>
          <t>2015-03</t>
        </is>
      </c>
      <c r="B95" s="2" t="inlineStr">
        <is>
          <t>ESH5</t>
        </is>
      </c>
      <c r="C95" s="2" t="n">
        <v>3</v>
      </c>
      <c r="D95" s="2" t="n">
        <v>24</v>
      </c>
      <c r="E95" s="3" t="n">
        <v>2115.5</v>
      </c>
      <c r="F95" s="3" t="n">
        <v>2095.5</v>
      </c>
      <c r="G95" s="3">
        <f>E95-F95</f>
        <v/>
      </c>
      <c r="H95" s="2" t="inlineStr">
        <is>
          <t>Short</t>
        </is>
      </c>
      <c r="I95" s="3" t="n">
        <v>2095.5</v>
      </c>
      <c r="J95" s="3" t="n">
        <v>2075.5</v>
      </c>
      <c r="K95" s="3">
        <f>IF(H95="Long",J95-I95,IF(H95="Short",I95-J95,0))</f>
        <v/>
      </c>
      <c r="L95" s="4" t="n">
        <v>21.25</v>
      </c>
      <c r="M95" s="2" t="inlineStr">
        <is>
          <t>Win</t>
        </is>
      </c>
      <c r="N95" s="3">
        <f>N94+K95</f>
        <v/>
      </c>
    </row>
    <row r="96">
      <c r="A96" s="2" t="inlineStr">
        <is>
          <t>2015-04</t>
        </is>
      </c>
      <c r="B96" s="2" t="inlineStr">
        <is>
          <t>ESM5</t>
        </is>
      </c>
      <c r="C96" s="2" t="n">
        <v>3</v>
      </c>
      <c r="D96" s="2" t="n">
        <v>23</v>
      </c>
      <c r="E96" s="3" t="n">
        <v>2064.75</v>
      </c>
      <c r="F96" s="3" t="n">
        <v>2033.5</v>
      </c>
      <c r="G96" s="3">
        <f>E96-F96</f>
        <v/>
      </c>
      <c r="H96" s="2" t="inlineStr">
        <is>
          <t>Long</t>
        </is>
      </c>
      <c r="I96" s="3" t="n">
        <v>2064.75</v>
      </c>
      <c r="J96" s="3" t="n">
        <v>2096</v>
      </c>
      <c r="K96" s="3">
        <f>IF(H96="Long",J96-I96,IF(H96="Short",I96-J96,0))</f>
        <v/>
      </c>
      <c r="L96" s="4" t="n">
        <v>0.8</v>
      </c>
      <c r="M96" s="2" t="inlineStr">
        <is>
          <t>Win</t>
        </is>
      </c>
      <c r="N96" s="3">
        <f>N95+K96</f>
        <v/>
      </c>
    </row>
    <row r="97">
      <c r="A97" s="2" t="inlineStr">
        <is>
          <t>2015-04</t>
        </is>
      </c>
      <c r="B97" s="2" t="inlineStr">
        <is>
          <t>ESM5</t>
        </is>
      </c>
      <c r="C97" s="2" t="n">
        <v>3</v>
      </c>
      <c r="D97" s="2" t="n">
        <v>23</v>
      </c>
      <c r="E97" s="3" t="n">
        <v>2064.75</v>
      </c>
      <c r="F97" s="3" t="n">
        <v>2033.5</v>
      </c>
      <c r="G97" s="3">
        <f>E97-F97</f>
        <v/>
      </c>
      <c r="H97" s="2" t="inlineStr">
        <is>
          <t>Long</t>
        </is>
      </c>
      <c r="I97" s="3" t="n">
        <v>2064.75</v>
      </c>
      <c r="J97" s="3" t="n">
        <v>2096</v>
      </c>
      <c r="K97" s="3">
        <f>IF(H97="Long",J97-I97,IF(H97="Short",I97-J97,0))</f>
        <v/>
      </c>
      <c r="L97" s="4" t="n">
        <v>0.8</v>
      </c>
      <c r="M97" s="2" t="inlineStr">
        <is>
          <t>Win</t>
        </is>
      </c>
      <c r="N97" s="3">
        <f>N96+K97</f>
        <v/>
      </c>
    </row>
    <row r="98">
      <c r="A98" s="5" t="inlineStr">
        <is>
          <t>2015-05</t>
        </is>
      </c>
      <c r="B98" s="5" t="inlineStr">
        <is>
          <t>ESM5</t>
        </is>
      </c>
      <c r="C98" s="5" t="n">
        <v>3</v>
      </c>
      <c r="D98" s="5" t="n">
        <v>23</v>
      </c>
      <c r="E98" s="6" t="n">
        <v>2115</v>
      </c>
      <c r="F98" s="6" t="n">
        <v>2081</v>
      </c>
      <c r="G98" s="6">
        <f>E98-F98</f>
        <v/>
      </c>
      <c r="H98" s="5" t="inlineStr">
        <is>
          <t>Short</t>
        </is>
      </c>
      <c r="I98" s="6" t="n">
        <v>2081</v>
      </c>
      <c r="J98" s="6" t="n">
        <v>2115</v>
      </c>
      <c r="K98" s="6">
        <f>IF(H98="Long",J98-I98,IF(H98="Short",I98-J98,0))</f>
        <v/>
      </c>
      <c r="L98" s="7" t="n">
        <v>100</v>
      </c>
      <c r="M98" s="5" t="inlineStr">
        <is>
          <t>Loss</t>
        </is>
      </c>
      <c r="N98" s="6">
        <f>N97+K98</f>
        <v/>
      </c>
    </row>
    <row r="99">
      <c r="A99" s="8" t="inlineStr">
        <is>
          <t>2015-05</t>
        </is>
      </c>
      <c r="B99" s="8" t="inlineStr">
        <is>
          <t>ESM5</t>
        </is>
      </c>
      <c r="C99" s="8" t="n">
        <v>3</v>
      </c>
      <c r="D99" s="8" t="n">
        <v>23</v>
      </c>
      <c r="E99" s="9" t="n">
        <v>2115</v>
      </c>
      <c r="F99" s="9" t="n">
        <v>2081</v>
      </c>
      <c r="G99" s="9">
        <f>E99-F99</f>
        <v/>
      </c>
      <c r="H99" s="8" t="inlineStr">
        <is>
          <t>Long</t>
        </is>
      </c>
      <c r="I99" s="9" t="n">
        <v>2115</v>
      </c>
      <c r="J99" s="9" t="n">
        <v>2107</v>
      </c>
      <c r="K99" s="9">
        <f>IF(H99="Long",J99-I99,IF(H99="Short",I99-J99,0))</f>
        <v/>
      </c>
      <c r="L99" s="10" t="n">
        <v>55.88</v>
      </c>
      <c r="M99" s="8" t="inlineStr">
        <is>
          <t>Period-Close</t>
        </is>
      </c>
      <c r="N99" s="9">
        <f>N98+K99</f>
        <v/>
      </c>
    </row>
    <row r="100">
      <c r="A100" s="2" t="inlineStr">
        <is>
          <t>2015-06</t>
        </is>
      </c>
      <c r="B100" s="2" t="inlineStr">
        <is>
          <t>ESM5</t>
        </is>
      </c>
      <c r="C100" s="2" t="n">
        <v>3</v>
      </c>
      <c r="D100" s="2" t="n">
        <v>23</v>
      </c>
      <c r="E100" s="3" t="n">
        <v>2120.75</v>
      </c>
      <c r="F100" s="3" t="n">
        <v>2094</v>
      </c>
      <c r="G100" s="3">
        <f>E100-F100</f>
        <v/>
      </c>
      <c r="H100" s="2" t="inlineStr">
        <is>
          <t>Short</t>
        </is>
      </c>
      <c r="I100" s="3" t="n">
        <v>2094</v>
      </c>
      <c r="J100" s="3" t="n">
        <v>2067.25</v>
      </c>
      <c r="K100" s="3">
        <f>IF(H100="Long",J100-I100,IF(H100="Short",I100-J100,0))</f>
        <v/>
      </c>
      <c r="L100" s="4" t="n">
        <v>77.56999999999999</v>
      </c>
      <c r="M100" s="2" t="inlineStr">
        <is>
          <t>Win</t>
        </is>
      </c>
      <c r="N100" s="3">
        <f>N99+K100</f>
        <v/>
      </c>
    </row>
    <row r="101">
      <c r="A101" s="5" t="inlineStr">
        <is>
          <t>2015-06</t>
        </is>
      </c>
      <c r="B101" s="5" t="inlineStr">
        <is>
          <t>ESM5</t>
        </is>
      </c>
      <c r="C101" s="5" t="n">
        <v>3</v>
      </c>
      <c r="D101" s="5" t="n">
        <v>23</v>
      </c>
      <c r="E101" s="6" t="n">
        <v>2120.75</v>
      </c>
      <c r="F101" s="6" t="n">
        <v>2094</v>
      </c>
      <c r="G101" s="6">
        <f>E101-F101</f>
        <v/>
      </c>
      <c r="H101" s="5" t="inlineStr">
        <is>
          <t>Short</t>
        </is>
      </c>
      <c r="I101" s="6" t="n">
        <v>2094</v>
      </c>
      <c r="J101" s="6" t="n">
        <v>2120.75</v>
      </c>
      <c r="K101" s="6">
        <f>IF(H101="Long",J101-I101,IF(H101="Short",I101-J101,0))</f>
        <v/>
      </c>
      <c r="L101" s="7" t="n">
        <v>100</v>
      </c>
      <c r="M101" s="5" t="inlineStr">
        <is>
          <t>Loss</t>
        </is>
      </c>
      <c r="N101" s="6">
        <f>N100+K101</f>
        <v/>
      </c>
    </row>
    <row r="102">
      <c r="A102" s="5" t="inlineStr">
        <is>
          <t>2015-07</t>
        </is>
      </c>
      <c r="B102" s="5" t="inlineStr">
        <is>
          <t>ESU5</t>
        </is>
      </c>
      <c r="C102" s="5" t="n">
        <v>3</v>
      </c>
      <c r="D102" s="5" t="n">
        <v>24</v>
      </c>
      <c r="E102" s="6" t="n">
        <v>2079</v>
      </c>
      <c r="F102" s="6" t="n">
        <v>2054.5</v>
      </c>
      <c r="G102" s="6">
        <f>E102-F102</f>
        <v/>
      </c>
      <c r="H102" s="5" t="inlineStr">
        <is>
          <t>Short</t>
        </is>
      </c>
      <c r="I102" s="6" t="n">
        <v>2054.5</v>
      </c>
      <c r="J102" s="6" t="n">
        <v>2079</v>
      </c>
      <c r="K102" s="6">
        <f>IF(H102="Long",J102-I102,IF(H102="Short",I102-J102,0))</f>
        <v/>
      </c>
      <c r="L102" s="7" t="n">
        <v>100</v>
      </c>
      <c r="M102" s="5" t="inlineStr">
        <is>
          <t>Loss</t>
        </is>
      </c>
      <c r="N102" s="6">
        <f>N101+K102</f>
        <v/>
      </c>
    </row>
    <row r="103">
      <c r="A103" s="2" t="inlineStr">
        <is>
          <t>2015-07</t>
        </is>
      </c>
      <c r="B103" s="2" t="inlineStr">
        <is>
          <t>ESU5</t>
        </is>
      </c>
      <c r="C103" s="2" t="n">
        <v>3</v>
      </c>
      <c r="D103" s="2" t="n">
        <v>24</v>
      </c>
      <c r="E103" s="3" t="n">
        <v>2079</v>
      </c>
      <c r="F103" s="3" t="n">
        <v>2054.5</v>
      </c>
      <c r="G103" s="3">
        <f>E103-F103</f>
        <v/>
      </c>
      <c r="H103" s="2" t="inlineStr">
        <is>
          <t>Long</t>
        </is>
      </c>
      <c r="I103" s="3" t="n">
        <v>2079</v>
      </c>
      <c r="J103" s="3" t="n">
        <v>2103.5</v>
      </c>
      <c r="K103" s="3">
        <f>IF(H103="Long",J103-I103,IF(H103="Short",I103-J103,0))</f>
        <v/>
      </c>
      <c r="L103" s="4" t="n">
        <v>0</v>
      </c>
      <c r="M103" s="2" t="inlineStr">
        <is>
          <t>Win</t>
        </is>
      </c>
      <c r="N103" s="3">
        <f>N102+K103</f>
        <v/>
      </c>
    </row>
    <row r="104">
      <c r="A104" s="2" t="inlineStr">
        <is>
          <t>2015-08</t>
        </is>
      </c>
      <c r="B104" s="2" t="inlineStr">
        <is>
          <t>ESU5</t>
        </is>
      </c>
      <c r="C104" s="2" t="n">
        <v>3</v>
      </c>
      <c r="D104" s="2" t="n">
        <v>23</v>
      </c>
      <c r="E104" s="3" t="n">
        <v>2102.5</v>
      </c>
      <c r="F104" s="3" t="n">
        <v>2080</v>
      </c>
      <c r="G104" s="3">
        <f>E104-F104</f>
        <v/>
      </c>
      <c r="H104" s="2" t="inlineStr">
        <is>
          <t>Short</t>
        </is>
      </c>
      <c r="I104" s="3" t="n">
        <v>2080</v>
      </c>
      <c r="J104" s="3" t="n">
        <v>2057.5</v>
      </c>
      <c r="K104" s="3">
        <f>IF(H104="Long",J104-I104,IF(H104="Short",I104-J104,0))</f>
        <v/>
      </c>
      <c r="L104" s="4" t="n">
        <v>96.67</v>
      </c>
      <c r="M104" s="2" t="inlineStr">
        <is>
          <t>Win</t>
        </is>
      </c>
      <c r="N104" s="3">
        <f>N103+K104</f>
        <v/>
      </c>
    </row>
    <row r="105">
      <c r="A105" s="5" t="inlineStr">
        <is>
          <t>2015-08</t>
        </is>
      </c>
      <c r="B105" s="5" t="inlineStr">
        <is>
          <t>ESU5</t>
        </is>
      </c>
      <c r="C105" s="5" t="n">
        <v>3</v>
      </c>
      <c r="D105" s="5" t="n">
        <v>23</v>
      </c>
      <c r="E105" s="6" t="n">
        <v>2102.5</v>
      </c>
      <c r="F105" s="6" t="n">
        <v>2080</v>
      </c>
      <c r="G105" s="6">
        <f>E105-F105</f>
        <v/>
      </c>
      <c r="H105" s="5" t="inlineStr">
        <is>
          <t>Short</t>
        </is>
      </c>
      <c r="I105" s="6" t="n">
        <v>2080</v>
      </c>
      <c r="J105" s="6" t="n">
        <v>2102.5</v>
      </c>
      <c r="K105" s="6">
        <f>IF(H105="Long",J105-I105,IF(H105="Short",I105-J105,0))</f>
        <v/>
      </c>
      <c r="L105" s="7" t="n">
        <v>100</v>
      </c>
      <c r="M105" s="5" t="inlineStr">
        <is>
          <t>Loss</t>
        </is>
      </c>
      <c r="N105" s="6">
        <f>N104+K105</f>
        <v/>
      </c>
    </row>
    <row r="106">
      <c r="A106" s="5" t="inlineStr">
        <is>
          <t>2015-09</t>
        </is>
      </c>
      <c r="B106" s="5" t="inlineStr">
        <is>
          <t>ESU5</t>
        </is>
      </c>
      <c r="C106" s="5" t="n">
        <v>3</v>
      </c>
      <c r="D106" s="5" t="n">
        <v>23</v>
      </c>
      <c r="E106" s="6" t="n">
        <v>1973.5</v>
      </c>
      <c r="F106" s="6" t="n">
        <v>1898.75</v>
      </c>
      <c r="G106" s="6">
        <f>E106-F106</f>
        <v/>
      </c>
      <c r="H106" s="5" t="inlineStr">
        <is>
          <t>Long</t>
        </is>
      </c>
      <c r="I106" s="6" t="n">
        <v>1973.5</v>
      </c>
      <c r="J106" s="6" t="n">
        <v>1898.75</v>
      </c>
      <c r="K106" s="6">
        <f>IF(H106="Long",J106-I106,IF(H106="Short",I106-J106,0))</f>
        <v/>
      </c>
      <c r="L106" s="7" t="n">
        <v>100</v>
      </c>
      <c r="M106" s="5" t="inlineStr">
        <is>
          <t>Loss</t>
        </is>
      </c>
      <c r="N106" s="6">
        <f>N105+K106</f>
        <v/>
      </c>
    </row>
    <row r="107">
      <c r="A107" s="8" t="inlineStr">
        <is>
          <t>2015-09</t>
        </is>
      </c>
      <c r="B107" s="8" t="inlineStr">
        <is>
          <t>ESU5</t>
        </is>
      </c>
      <c r="C107" s="8" t="n">
        <v>3</v>
      </c>
      <c r="D107" s="8" t="n">
        <v>23</v>
      </c>
      <c r="E107" s="9" t="n">
        <v>1973.5</v>
      </c>
      <c r="F107" s="9" t="n">
        <v>1898.75</v>
      </c>
      <c r="G107" s="9">
        <f>E107-F107</f>
        <v/>
      </c>
      <c r="H107" s="8" t="inlineStr">
        <is>
          <t>Short</t>
        </is>
      </c>
      <c r="I107" s="9" t="n">
        <v>1898.75</v>
      </c>
      <c r="J107" s="9" t="n">
        <v>1903.75</v>
      </c>
      <c r="K107" s="9">
        <f>IF(H107="Long",J107-I107,IF(H107="Short",I107-J107,0))</f>
        <v/>
      </c>
      <c r="L107" s="10" t="n">
        <v>15.72</v>
      </c>
      <c r="M107" s="8" t="inlineStr">
        <is>
          <t>Period-Close</t>
        </is>
      </c>
      <c r="N107" s="9">
        <f>N106+K107</f>
        <v/>
      </c>
    </row>
    <row r="108">
      <c r="A108" s="2" t="inlineStr">
        <is>
          <t>2015-10</t>
        </is>
      </c>
      <c r="B108" s="2" t="inlineStr">
        <is>
          <t>ESZ5</t>
        </is>
      </c>
      <c r="C108" s="2" t="n">
        <v>3</v>
      </c>
      <c r="D108" s="2" t="n">
        <v>23</v>
      </c>
      <c r="E108" s="3" t="n">
        <v>1943.75</v>
      </c>
      <c r="F108" s="3" t="n">
        <v>1883</v>
      </c>
      <c r="G108" s="3">
        <f>E108-F108</f>
        <v/>
      </c>
      <c r="H108" s="2" t="inlineStr">
        <is>
          <t>Long</t>
        </is>
      </c>
      <c r="I108" s="3" t="n">
        <v>1943.75</v>
      </c>
      <c r="J108" s="3" t="n">
        <v>2004.5</v>
      </c>
      <c r="K108" s="3">
        <f>IF(H108="Long",J108-I108,IF(H108="Short",I108-J108,0))</f>
        <v/>
      </c>
      <c r="L108" s="4" t="n">
        <v>0</v>
      </c>
      <c r="M108" s="2" t="inlineStr">
        <is>
          <t>Win</t>
        </is>
      </c>
      <c r="N108" s="3">
        <f>N107+K108</f>
        <v/>
      </c>
    </row>
    <row r="109">
      <c r="A109" s="2" t="inlineStr">
        <is>
          <t>2015-11</t>
        </is>
      </c>
      <c r="B109" s="2" t="inlineStr">
        <is>
          <t>ESZ5</t>
        </is>
      </c>
      <c r="C109" s="2" t="n">
        <v>3</v>
      </c>
      <c r="D109" s="2" t="n">
        <v>23</v>
      </c>
      <c r="E109" s="3" t="n">
        <v>2110.25</v>
      </c>
      <c r="F109" s="3" t="n">
        <v>2064.25</v>
      </c>
      <c r="G109" s="3">
        <f>E109-F109</f>
        <v/>
      </c>
      <c r="H109" s="2" t="inlineStr">
        <is>
          <t>Short</t>
        </is>
      </c>
      <c r="I109" s="3" t="n">
        <v>2064.25</v>
      </c>
      <c r="J109" s="3" t="n">
        <v>2018.25</v>
      </c>
      <c r="K109" s="3">
        <f>IF(H109="Long",J109-I109,IF(H109="Short",I109-J109,0))</f>
        <v/>
      </c>
      <c r="L109" s="4" t="n">
        <v>0</v>
      </c>
      <c r="M109" s="2" t="inlineStr">
        <is>
          <t>Win</t>
        </is>
      </c>
      <c r="N109" s="3">
        <f>N108+K109</f>
        <v/>
      </c>
    </row>
    <row r="110">
      <c r="A110" s="8" t="inlineStr">
        <is>
          <t>2015-11</t>
        </is>
      </c>
      <c r="B110" s="8" t="inlineStr">
        <is>
          <t>ESZ5</t>
        </is>
      </c>
      <c r="C110" s="8" t="n">
        <v>3</v>
      </c>
      <c r="D110" s="8" t="n">
        <v>23</v>
      </c>
      <c r="E110" s="9" t="n">
        <v>2110.25</v>
      </c>
      <c r="F110" s="9" t="n">
        <v>2064.25</v>
      </c>
      <c r="G110" s="9">
        <f>E110-F110</f>
        <v/>
      </c>
      <c r="H110" s="8" t="inlineStr">
        <is>
          <t>Short</t>
        </is>
      </c>
      <c r="I110" s="9" t="n">
        <v>2064.25</v>
      </c>
      <c r="J110" s="9" t="n">
        <v>2087.25</v>
      </c>
      <c r="K110" s="9">
        <f>IF(H110="Long",J110-I110,IF(H110="Short",I110-J110,0))</f>
        <v/>
      </c>
      <c r="L110" s="10" t="n">
        <v>73.91</v>
      </c>
      <c r="M110" s="8" t="inlineStr">
        <is>
          <t>Period-Close</t>
        </is>
      </c>
      <c r="N110" s="9">
        <f>N109+K110</f>
        <v/>
      </c>
    </row>
    <row r="111">
      <c r="A111" s="8" t="inlineStr">
        <is>
          <t>2015-12</t>
        </is>
      </c>
      <c r="B111" s="8" t="inlineStr">
        <is>
          <t>ESZ5</t>
        </is>
      </c>
      <c r="C111" s="8" t="n">
        <v>3</v>
      </c>
      <c r="D111" s="8" t="n">
        <v>23</v>
      </c>
      <c r="E111" s="9" t="n">
        <v>2105</v>
      </c>
      <c r="F111" s="9" t="n">
        <v>2040</v>
      </c>
      <c r="G111" s="9">
        <f>E111-F111</f>
        <v/>
      </c>
      <c r="H111" s="8" t="inlineStr">
        <is>
          <t>Short</t>
        </is>
      </c>
      <c r="I111" s="9" t="n">
        <v>2040</v>
      </c>
      <c r="J111" s="9" t="n">
        <v>2035.75</v>
      </c>
      <c r="K111" s="9">
        <f>IF(H111="Long",J111-I111,IF(H111="Short",I111-J111,0))</f>
        <v/>
      </c>
      <c r="L111" s="10" t="n">
        <v>53.85</v>
      </c>
      <c r="M111" s="8" t="inlineStr">
        <is>
          <t>Period-Close</t>
        </is>
      </c>
      <c r="N111" s="9">
        <f>N110+K111</f>
        <v/>
      </c>
    </row>
    <row r="112">
      <c r="A112" s="2" t="inlineStr">
        <is>
          <t>2016-01</t>
        </is>
      </c>
      <c r="B112" s="2" t="inlineStr">
        <is>
          <t>ESH6</t>
        </is>
      </c>
      <c r="C112" s="2" t="n">
        <v>3</v>
      </c>
      <c r="D112" s="2" t="n">
        <v>22</v>
      </c>
      <c r="E112" s="3" t="n">
        <v>2043.5</v>
      </c>
      <c r="F112" s="3" t="n">
        <v>1980.25</v>
      </c>
      <c r="G112" s="3">
        <f>E112-F112</f>
        <v/>
      </c>
      <c r="H112" s="2" t="inlineStr">
        <is>
          <t>Short</t>
        </is>
      </c>
      <c r="I112" s="3" t="n">
        <v>1980.25</v>
      </c>
      <c r="J112" s="3" t="n">
        <v>1917</v>
      </c>
      <c r="K112" s="3">
        <f>IF(H112="Long",J112-I112,IF(H112="Short",I112-J112,0))</f>
        <v/>
      </c>
      <c r="L112" s="4" t="n">
        <v>0</v>
      </c>
      <c r="M112" s="2" t="inlineStr">
        <is>
          <t>Win</t>
        </is>
      </c>
      <c r="N112" s="3">
        <f>N111+K112</f>
        <v/>
      </c>
    </row>
    <row r="113">
      <c r="A113" s="5" t="inlineStr">
        <is>
          <t>2016-02</t>
        </is>
      </c>
      <c r="B113" s="5" t="inlineStr">
        <is>
          <t>ESH6</t>
        </is>
      </c>
      <c r="C113" s="5" t="n">
        <v>3</v>
      </c>
      <c r="D113" s="5" t="n">
        <v>22</v>
      </c>
      <c r="E113" s="6" t="n">
        <v>1940</v>
      </c>
      <c r="F113" s="6" t="n">
        <v>1865</v>
      </c>
      <c r="G113" s="6">
        <f>E113-F113</f>
        <v/>
      </c>
      <c r="H113" s="5" t="inlineStr">
        <is>
          <t>Short</t>
        </is>
      </c>
      <c r="I113" s="6" t="n">
        <v>1865</v>
      </c>
      <c r="J113" s="6" t="n">
        <v>1940</v>
      </c>
      <c r="K113" s="6">
        <f>IF(H113="Long",J113-I113,IF(H113="Short",I113-J113,0))</f>
        <v/>
      </c>
      <c r="L113" s="7" t="n">
        <v>100</v>
      </c>
      <c r="M113" s="5" t="inlineStr">
        <is>
          <t>Loss</t>
        </is>
      </c>
      <c r="N113" s="6">
        <f>N112+K113</f>
        <v/>
      </c>
    </row>
    <row r="114">
      <c r="A114" s="8" t="inlineStr">
        <is>
          <t>2016-02</t>
        </is>
      </c>
      <c r="B114" s="8" t="inlineStr">
        <is>
          <t>ESH6</t>
        </is>
      </c>
      <c r="C114" s="8" t="n">
        <v>3</v>
      </c>
      <c r="D114" s="8" t="n">
        <v>22</v>
      </c>
      <c r="E114" s="9" t="n">
        <v>1940</v>
      </c>
      <c r="F114" s="9" t="n">
        <v>1865</v>
      </c>
      <c r="G114" s="9">
        <f>E114-F114</f>
        <v/>
      </c>
      <c r="H114" s="8" t="inlineStr">
        <is>
          <t>Long</t>
        </is>
      </c>
      <c r="I114" s="9" t="n">
        <v>1940</v>
      </c>
      <c r="J114" s="9" t="n">
        <v>1931.5</v>
      </c>
      <c r="K114" s="9">
        <f>IF(H114="Long",J114-I114,IF(H114="Short",I114-J114,0))</f>
        <v/>
      </c>
      <c r="L114" s="10" t="n">
        <v>18</v>
      </c>
      <c r="M114" s="8" t="inlineStr">
        <is>
          <t>Period-Close</t>
        </is>
      </c>
      <c r="N114" s="9">
        <f>N113+K114</f>
        <v/>
      </c>
    </row>
    <row r="115">
      <c r="A115" s="2" t="inlineStr">
        <is>
          <t>2016-03</t>
        </is>
      </c>
      <c r="B115" s="2" t="inlineStr">
        <is>
          <t>ESH6</t>
        </is>
      </c>
      <c r="C115" s="2" t="n">
        <v>3</v>
      </c>
      <c r="D115" s="2" t="n">
        <v>23</v>
      </c>
      <c r="E115" s="3" t="n">
        <v>1992.5</v>
      </c>
      <c r="F115" s="3" t="n">
        <v>1920.75</v>
      </c>
      <c r="G115" s="3">
        <f>E115-F115</f>
        <v/>
      </c>
      <c r="H115" s="2" t="inlineStr">
        <is>
          <t>Long</t>
        </is>
      </c>
      <c r="I115" s="3" t="n">
        <v>1992.5</v>
      </c>
      <c r="J115" s="3" t="n">
        <v>2064.25</v>
      </c>
      <c r="K115" s="3">
        <f>IF(H115="Long",J115-I115,IF(H115="Short",I115-J115,0))</f>
        <v/>
      </c>
      <c r="L115" s="4" t="n">
        <v>35.19</v>
      </c>
      <c r="M115" s="2" t="inlineStr">
        <is>
          <t>Win</t>
        </is>
      </c>
      <c r="N115" s="3">
        <f>N114+K115</f>
        <v/>
      </c>
    </row>
    <row r="116">
      <c r="A116" s="5" t="inlineStr">
        <is>
          <t>2016-04</t>
        </is>
      </c>
      <c r="B116" s="5" t="inlineStr">
        <is>
          <t>ESM6</t>
        </is>
      </c>
      <c r="C116" s="5" t="n">
        <v>3</v>
      </c>
      <c r="D116" s="5" t="n">
        <v>22</v>
      </c>
      <c r="E116" s="6" t="n">
        <v>2071.5</v>
      </c>
      <c r="F116" s="6" t="n">
        <v>2035.25</v>
      </c>
      <c r="G116" s="6">
        <f>E116-F116</f>
        <v/>
      </c>
      <c r="H116" s="5" t="inlineStr">
        <is>
          <t>Short</t>
        </is>
      </c>
      <c r="I116" s="6" t="n">
        <v>2035.25</v>
      </c>
      <c r="J116" s="6" t="n">
        <v>2071.5</v>
      </c>
      <c r="K116" s="6">
        <f>IF(H116="Long",J116-I116,IF(H116="Short",I116-J116,0))</f>
        <v/>
      </c>
      <c r="L116" s="7" t="n">
        <v>100</v>
      </c>
      <c r="M116" s="5" t="inlineStr">
        <is>
          <t>Loss</t>
        </is>
      </c>
      <c r="N116" s="6">
        <f>N115+K116</f>
        <v/>
      </c>
    </row>
    <row r="117">
      <c r="A117" s="8" t="inlineStr">
        <is>
          <t>2016-04</t>
        </is>
      </c>
      <c r="B117" s="8" t="inlineStr">
        <is>
          <t>ESM6</t>
        </is>
      </c>
      <c r="C117" s="8" t="n">
        <v>3</v>
      </c>
      <c r="D117" s="8" t="n">
        <v>22</v>
      </c>
      <c r="E117" s="9" t="n">
        <v>2071.5</v>
      </c>
      <c r="F117" s="9" t="n">
        <v>2035.25</v>
      </c>
      <c r="G117" s="9">
        <f>E117-F117</f>
        <v/>
      </c>
      <c r="H117" s="8" t="inlineStr">
        <is>
          <t>Long</t>
        </is>
      </c>
      <c r="I117" s="9" t="n">
        <v>2071.5</v>
      </c>
      <c r="J117" s="9" t="n">
        <v>2060.25</v>
      </c>
      <c r="K117" s="9">
        <f>IF(H117="Long",J117-I117,IF(H117="Short",I117-J117,0))</f>
        <v/>
      </c>
      <c r="L117" s="10" t="n">
        <v>71.03</v>
      </c>
      <c r="M117" s="8" t="inlineStr">
        <is>
          <t>Period-Close</t>
        </is>
      </c>
      <c r="N117" s="9">
        <f>N116+K117</f>
        <v/>
      </c>
    </row>
    <row r="118">
      <c r="A118" s="5" t="inlineStr">
        <is>
          <t>2016-05</t>
        </is>
      </c>
      <c r="B118" s="5" t="inlineStr">
        <is>
          <t>ESM6</t>
        </is>
      </c>
      <c r="C118" s="5" t="n">
        <v>3</v>
      </c>
      <c r="D118" s="5" t="n">
        <v>24</v>
      </c>
      <c r="E118" s="6" t="n">
        <v>2077.5</v>
      </c>
      <c r="F118" s="6" t="n">
        <v>2048</v>
      </c>
      <c r="G118" s="6">
        <f>E118-F118</f>
        <v/>
      </c>
      <c r="H118" s="5" t="inlineStr">
        <is>
          <t>Short</t>
        </is>
      </c>
      <c r="I118" s="6" t="n">
        <v>2048</v>
      </c>
      <c r="J118" s="6" t="n">
        <v>2077.5</v>
      </c>
      <c r="K118" s="6">
        <f>IF(H118="Long",J118-I118,IF(H118="Short",I118-J118,0))</f>
        <v/>
      </c>
      <c r="L118" s="7" t="n">
        <v>100</v>
      </c>
      <c r="M118" s="5" t="inlineStr">
        <is>
          <t>Loss</t>
        </is>
      </c>
      <c r="N118" s="6">
        <f>N117+K118</f>
        <v/>
      </c>
    </row>
    <row r="119">
      <c r="A119" s="5" t="inlineStr">
        <is>
          <t>2016-05</t>
        </is>
      </c>
      <c r="B119" s="5" t="inlineStr">
        <is>
          <t>ESM6</t>
        </is>
      </c>
      <c r="C119" s="5" t="n">
        <v>3</v>
      </c>
      <c r="D119" s="5" t="n">
        <v>24</v>
      </c>
      <c r="E119" s="6" t="n">
        <v>2077.5</v>
      </c>
      <c r="F119" s="6" t="n">
        <v>2048</v>
      </c>
      <c r="G119" s="6">
        <f>E119-F119</f>
        <v/>
      </c>
      <c r="H119" s="5" t="inlineStr">
        <is>
          <t>Short</t>
        </is>
      </c>
      <c r="I119" s="6" t="n">
        <v>2048</v>
      </c>
      <c r="J119" s="6" t="n">
        <v>2077.5</v>
      </c>
      <c r="K119" s="6">
        <f>IF(H119="Long",J119-I119,IF(H119="Short",I119-J119,0))</f>
        <v/>
      </c>
      <c r="L119" s="7" t="n">
        <v>100</v>
      </c>
      <c r="M119" s="5" t="inlineStr">
        <is>
          <t>Loss</t>
        </is>
      </c>
      <c r="N119" s="6">
        <f>N118+K119</f>
        <v/>
      </c>
    </row>
    <row r="120">
      <c r="A120" s="5" t="inlineStr">
        <is>
          <t>2016-06</t>
        </is>
      </c>
      <c r="B120" s="5" t="inlineStr">
        <is>
          <t>ESM6</t>
        </is>
      </c>
      <c r="C120" s="5" t="n">
        <v>3</v>
      </c>
      <c r="D120" s="5" t="n">
        <v>23</v>
      </c>
      <c r="E120" s="6" t="n">
        <v>2106</v>
      </c>
      <c r="F120" s="6" t="n">
        <v>2082.75</v>
      </c>
      <c r="G120" s="6">
        <f>E120-F120</f>
        <v/>
      </c>
      <c r="H120" s="5" t="inlineStr">
        <is>
          <t>Long</t>
        </is>
      </c>
      <c r="I120" s="6" t="n">
        <v>2106</v>
      </c>
      <c r="J120" s="6" t="n">
        <v>2082.75</v>
      </c>
      <c r="K120" s="6">
        <f>IF(H120="Long",J120-I120,IF(H120="Short",I120-J120,0))</f>
        <v/>
      </c>
      <c r="L120" s="7" t="n">
        <v>100</v>
      </c>
      <c r="M120" s="5" t="inlineStr">
        <is>
          <t>Loss</t>
        </is>
      </c>
      <c r="N120" s="6">
        <f>N119+K120</f>
        <v/>
      </c>
    </row>
    <row r="121">
      <c r="A121" s="2" t="inlineStr">
        <is>
          <t>2016-06</t>
        </is>
      </c>
      <c r="B121" s="2" t="inlineStr">
        <is>
          <t>ESM6</t>
        </is>
      </c>
      <c r="C121" s="2" t="n">
        <v>3</v>
      </c>
      <c r="D121" s="2" t="n">
        <v>23</v>
      </c>
      <c r="E121" s="3" t="n">
        <v>2106</v>
      </c>
      <c r="F121" s="3" t="n">
        <v>2082.75</v>
      </c>
      <c r="G121" s="3">
        <f>E121-F121</f>
        <v/>
      </c>
      <c r="H121" s="2" t="inlineStr">
        <is>
          <t>Short</t>
        </is>
      </c>
      <c r="I121" s="3" t="n">
        <v>2082.75</v>
      </c>
      <c r="J121" s="3" t="n">
        <v>2059.5</v>
      </c>
      <c r="K121" s="3">
        <f>IF(H121="Long",J121-I121,IF(H121="Short",I121-J121,0))</f>
        <v/>
      </c>
      <c r="L121" s="4" t="n">
        <v>27.96</v>
      </c>
      <c r="M121" s="2" t="inlineStr">
        <is>
          <t>Win</t>
        </is>
      </c>
      <c r="N121" s="3">
        <f>N120+K121</f>
        <v/>
      </c>
    </row>
    <row r="122">
      <c r="A122" s="5" t="inlineStr">
        <is>
          <t>2016-07</t>
        </is>
      </c>
      <c r="B122" s="5" t="inlineStr">
        <is>
          <t>ESU6</t>
        </is>
      </c>
      <c r="C122" s="5" t="n">
        <v>3</v>
      </c>
      <c r="D122" s="5" t="n">
        <v>23</v>
      </c>
      <c r="E122" s="6" t="n">
        <v>2104.75</v>
      </c>
      <c r="F122" s="6" t="n">
        <v>2081.5</v>
      </c>
      <c r="G122" s="6">
        <f>E122-F122</f>
        <v/>
      </c>
      <c r="H122" s="5" t="inlineStr">
        <is>
          <t>Short</t>
        </is>
      </c>
      <c r="I122" s="6" t="n">
        <v>2081.5</v>
      </c>
      <c r="J122" s="6" t="n">
        <v>2104.75</v>
      </c>
      <c r="K122" s="6">
        <f>IF(H122="Long",J122-I122,IF(H122="Short",I122-J122,0))</f>
        <v/>
      </c>
      <c r="L122" s="7" t="n">
        <v>100</v>
      </c>
      <c r="M122" s="5" t="inlineStr">
        <is>
          <t>Loss</t>
        </is>
      </c>
      <c r="N122" s="6">
        <f>N121+K122</f>
        <v/>
      </c>
    </row>
    <row r="123">
      <c r="A123" s="2" t="inlineStr">
        <is>
          <t>2016-07</t>
        </is>
      </c>
      <c r="B123" s="2" t="inlineStr">
        <is>
          <t>ESU6</t>
        </is>
      </c>
      <c r="C123" s="2" t="n">
        <v>3</v>
      </c>
      <c r="D123" s="2" t="n">
        <v>23</v>
      </c>
      <c r="E123" s="3" t="n">
        <v>2104.75</v>
      </c>
      <c r="F123" s="3" t="n">
        <v>2081.5</v>
      </c>
      <c r="G123" s="3">
        <f>E123-F123</f>
        <v/>
      </c>
      <c r="H123" s="2" t="inlineStr">
        <is>
          <t>Long</t>
        </is>
      </c>
      <c r="I123" s="3" t="n">
        <v>2104.75</v>
      </c>
      <c r="J123" s="3" t="n">
        <v>2128</v>
      </c>
      <c r="K123" s="3">
        <f>IF(H123="Long",J123-I123,IF(H123="Short",I123-J123,0))</f>
        <v/>
      </c>
      <c r="L123" s="4" t="n">
        <v>0</v>
      </c>
      <c r="M123" s="2" t="inlineStr">
        <is>
          <t>Win</t>
        </is>
      </c>
      <c r="N123" s="3">
        <f>N122+K123</f>
        <v/>
      </c>
    </row>
    <row r="124">
      <c r="A124" s="8" t="inlineStr">
        <is>
          <t>2016-08</t>
        </is>
      </c>
      <c r="B124" s="8" t="inlineStr">
        <is>
          <t>ESU6</t>
        </is>
      </c>
      <c r="C124" s="8" t="n">
        <v>3</v>
      </c>
      <c r="D124" s="8" t="n">
        <v>24</v>
      </c>
      <c r="E124" s="9" t="n">
        <v>2177.75</v>
      </c>
      <c r="F124" s="9" t="n">
        <v>2141.5</v>
      </c>
      <c r="G124" s="9">
        <f>E124-F124</f>
        <v/>
      </c>
      <c r="H124" s="8" t="inlineStr">
        <is>
          <t>Long</t>
        </is>
      </c>
      <c r="I124" s="9" t="n">
        <v>2177.75</v>
      </c>
      <c r="J124" s="9" t="n">
        <v>2169.25</v>
      </c>
      <c r="K124" s="9">
        <f>IF(H124="Long",J124-I124,IF(H124="Short",I124-J124,0))</f>
        <v/>
      </c>
      <c r="L124" s="10" t="n">
        <v>55.86</v>
      </c>
      <c r="M124" s="8" t="inlineStr">
        <is>
          <t>Period-Close</t>
        </is>
      </c>
      <c r="N124" s="9">
        <f>N123+K124</f>
        <v/>
      </c>
    </row>
    <row r="125">
      <c r="A125" s="5" t="inlineStr">
        <is>
          <t>2016-09</t>
        </is>
      </c>
      <c r="B125" s="5" t="inlineStr">
        <is>
          <t>ESU6</t>
        </is>
      </c>
      <c r="C125" s="5" t="n">
        <v>3</v>
      </c>
      <c r="D125" s="5" t="n">
        <v>23</v>
      </c>
      <c r="E125" s="6" t="n">
        <v>2183.75</v>
      </c>
      <c r="F125" s="6" t="n">
        <v>2154.75</v>
      </c>
      <c r="G125" s="6">
        <f>E125-F125</f>
        <v/>
      </c>
      <c r="H125" s="5" t="inlineStr">
        <is>
          <t>Long</t>
        </is>
      </c>
      <c r="I125" s="6" t="n">
        <v>2183.75</v>
      </c>
      <c r="J125" s="6" t="n">
        <v>2154.75</v>
      </c>
      <c r="K125" s="6">
        <f>IF(H125="Long",J125-I125,IF(H125="Short",I125-J125,0))</f>
        <v/>
      </c>
      <c r="L125" s="7" t="n">
        <v>100</v>
      </c>
      <c r="M125" s="5" t="inlineStr">
        <is>
          <t>Loss</t>
        </is>
      </c>
      <c r="N125" s="6">
        <f>N124+K125</f>
        <v/>
      </c>
    </row>
    <row r="126">
      <c r="A126" s="2" t="inlineStr">
        <is>
          <t>2016-09</t>
        </is>
      </c>
      <c r="B126" s="2" t="inlineStr">
        <is>
          <t>ESU6</t>
        </is>
      </c>
      <c r="C126" s="2" t="n">
        <v>3</v>
      </c>
      <c r="D126" s="2" t="n">
        <v>23</v>
      </c>
      <c r="E126" s="3" t="n">
        <v>2183.75</v>
      </c>
      <c r="F126" s="3" t="n">
        <v>2154.75</v>
      </c>
      <c r="G126" s="3">
        <f>E126-F126</f>
        <v/>
      </c>
      <c r="H126" s="2" t="inlineStr">
        <is>
          <t>Short</t>
        </is>
      </c>
      <c r="I126" s="3" t="n">
        <v>2154.75</v>
      </c>
      <c r="J126" s="3" t="n">
        <v>2125.75</v>
      </c>
      <c r="K126" s="3">
        <f>IF(H126="Long",J126-I126,IF(H126="Short",I126-J126,0))</f>
        <v/>
      </c>
      <c r="L126" s="4" t="n">
        <v>0</v>
      </c>
      <c r="M126" s="2" t="inlineStr">
        <is>
          <t>Win</t>
        </is>
      </c>
      <c r="N126" s="3">
        <f>N125+K126</f>
        <v/>
      </c>
    </row>
    <row r="127">
      <c r="A127" s="2" t="inlineStr">
        <is>
          <t>2016-10</t>
        </is>
      </c>
      <c r="B127" s="2" t="inlineStr">
        <is>
          <t>ESZ6</t>
        </is>
      </c>
      <c r="C127" s="2" t="n">
        <v>3</v>
      </c>
      <c r="D127" s="2" t="n">
        <v>23</v>
      </c>
      <c r="E127" s="3" t="n">
        <v>2164</v>
      </c>
      <c r="F127" s="3" t="n">
        <v>2136</v>
      </c>
      <c r="G127" s="3">
        <f>E127-F127</f>
        <v/>
      </c>
      <c r="H127" s="2" t="inlineStr">
        <is>
          <t>Short</t>
        </is>
      </c>
      <c r="I127" s="3" t="n">
        <v>2136</v>
      </c>
      <c r="J127" s="3" t="n">
        <v>2108</v>
      </c>
      <c r="K127" s="3">
        <f>IF(H127="Long",J127-I127,IF(H127="Short",I127-J127,0))</f>
        <v/>
      </c>
      <c r="L127" s="4" t="n">
        <v>16.96</v>
      </c>
      <c r="M127" s="2" t="inlineStr">
        <is>
          <t>Win</t>
        </is>
      </c>
      <c r="N127" s="3">
        <f>N126+K127</f>
        <v/>
      </c>
    </row>
    <row r="128">
      <c r="A128" s="8" t="inlineStr">
        <is>
          <t>2016-10</t>
        </is>
      </c>
      <c r="B128" s="8" t="inlineStr">
        <is>
          <t>ESZ6</t>
        </is>
      </c>
      <c r="C128" s="8" t="n">
        <v>3</v>
      </c>
      <c r="D128" s="8" t="n">
        <v>23</v>
      </c>
      <c r="E128" s="9" t="n">
        <v>2164</v>
      </c>
      <c r="F128" s="9" t="n">
        <v>2136</v>
      </c>
      <c r="G128" s="9">
        <f>E128-F128</f>
        <v/>
      </c>
      <c r="H128" s="8" t="inlineStr">
        <is>
          <t>Short</t>
        </is>
      </c>
      <c r="I128" s="9" t="n">
        <v>2136</v>
      </c>
      <c r="J128" s="9" t="n">
        <v>2122.75</v>
      </c>
      <c r="K128" s="9">
        <f>IF(H128="Long",J128-I128,IF(H128="Short",I128-J128,0))</f>
        <v/>
      </c>
      <c r="L128" s="10" t="n">
        <v>49.11</v>
      </c>
      <c r="M128" s="8" t="inlineStr">
        <is>
          <t>Period-Close</t>
        </is>
      </c>
      <c r="N128" s="9">
        <f>N127+K128</f>
        <v/>
      </c>
    </row>
    <row r="129">
      <c r="A129" s="5" t="inlineStr">
        <is>
          <t>2016-11</t>
        </is>
      </c>
      <c r="B129" s="5" t="inlineStr">
        <is>
          <t>ESZ6</t>
        </is>
      </c>
      <c r="C129" s="5" t="n">
        <v>3</v>
      </c>
      <c r="D129" s="5" t="n">
        <v>23</v>
      </c>
      <c r="E129" s="6" t="n">
        <v>2129.5</v>
      </c>
      <c r="F129" s="6" t="n">
        <v>2079.75</v>
      </c>
      <c r="G129" s="6">
        <f>E129-F129</f>
        <v/>
      </c>
      <c r="H129" s="5" t="inlineStr">
        <is>
          <t>Long</t>
        </is>
      </c>
      <c r="I129" s="6" t="n">
        <v>2129.5</v>
      </c>
      <c r="J129" s="6" t="n">
        <v>2079.75</v>
      </c>
      <c r="K129" s="6">
        <f>IF(H129="Long",J129-I129,IF(H129="Short",I129-J129,0))</f>
        <v/>
      </c>
      <c r="L129" s="7" t="n">
        <v>100</v>
      </c>
      <c r="M129" s="5" t="inlineStr">
        <is>
          <t>Loss</t>
        </is>
      </c>
      <c r="N129" s="6">
        <f>N128+K129</f>
        <v/>
      </c>
    </row>
    <row r="130">
      <c r="A130" s="2" t="inlineStr">
        <is>
          <t>2016-11</t>
        </is>
      </c>
      <c r="B130" s="2" t="inlineStr">
        <is>
          <t>ESZ6</t>
        </is>
      </c>
      <c r="C130" s="2" t="n">
        <v>3</v>
      </c>
      <c r="D130" s="2" t="n">
        <v>23</v>
      </c>
      <c r="E130" s="3" t="n">
        <v>2129.5</v>
      </c>
      <c r="F130" s="3" t="n">
        <v>2079.75</v>
      </c>
      <c r="G130" s="3">
        <f>E130-F130</f>
        <v/>
      </c>
      <c r="H130" s="2" t="inlineStr">
        <is>
          <t>Long</t>
        </is>
      </c>
      <c r="I130" s="3" t="n">
        <v>2129.5</v>
      </c>
      <c r="J130" s="3" t="n">
        <v>2179.25</v>
      </c>
      <c r="K130" s="3">
        <f>IF(H130="Long",J130-I130,IF(H130="Short",I130-J130,0))</f>
        <v/>
      </c>
      <c r="L130" s="4" t="n">
        <v>0</v>
      </c>
      <c r="M130" s="2" t="inlineStr">
        <is>
          <t>Win</t>
        </is>
      </c>
      <c r="N130" s="3">
        <f>N129+K130</f>
        <v/>
      </c>
    </row>
    <row r="131">
      <c r="A131" s="2" t="inlineStr">
        <is>
          <t>2016-12</t>
        </is>
      </c>
      <c r="B131" s="2" t="inlineStr">
        <is>
          <t>ESZ6</t>
        </is>
      </c>
      <c r="C131" s="2" t="n">
        <v>3</v>
      </c>
      <c r="D131" s="2" t="n">
        <v>22</v>
      </c>
      <c r="E131" s="3" t="n">
        <v>2203</v>
      </c>
      <c r="F131" s="3" t="n">
        <v>2179</v>
      </c>
      <c r="G131" s="3">
        <f>E131-F131</f>
        <v/>
      </c>
      <c r="H131" s="2" t="inlineStr">
        <is>
          <t>Long</t>
        </is>
      </c>
      <c r="I131" s="3" t="n">
        <v>2203</v>
      </c>
      <c r="J131" s="3" t="n">
        <v>2227</v>
      </c>
      <c r="K131" s="3">
        <f>IF(H131="Long",J131-I131,IF(H131="Short",I131-J131,0))</f>
        <v/>
      </c>
      <c r="L131" s="4" t="n">
        <v>11.46</v>
      </c>
      <c r="M131" s="2" t="inlineStr">
        <is>
          <t>Win</t>
        </is>
      </c>
      <c r="N131" s="3">
        <f>N130+K131</f>
        <v/>
      </c>
    </row>
    <row r="132">
      <c r="A132" s="2" t="inlineStr">
        <is>
          <t>2017-01</t>
        </is>
      </c>
      <c r="B132" s="2" t="inlineStr">
        <is>
          <t>ESH7</t>
        </is>
      </c>
      <c r="C132" s="2" t="n">
        <v>3</v>
      </c>
      <c r="D132" s="2" t="n">
        <v>23</v>
      </c>
      <c r="E132" s="3" t="n">
        <v>2267.25</v>
      </c>
      <c r="F132" s="3" t="n">
        <v>2239.5</v>
      </c>
      <c r="G132" s="3">
        <f>E132-F132</f>
        <v/>
      </c>
      <c r="H132" s="2" t="inlineStr">
        <is>
          <t>Long</t>
        </is>
      </c>
      <c r="I132" s="3" t="n">
        <v>2267.25</v>
      </c>
      <c r="J132" s="3" t="n">
        <v>2295</v>
      </c>
      <c r="K132" s="3">
        <f>IF(H132="Long",J132-I132,IF(H132="Short",I132-J132,0))</f>
        <v/>
      </c>
      <c r="L132" s="4" t="n">
        <v>67.56999999999999</v>
      </c>
      <c r="M132" s="2" t="inlineStr">
        <is>
          <t>Win</t>
        </is>
      </c>
      <c r="N132" s="3">
        <f>N131+K132</f>
        <v/>
      </c>
    </row>
    <row r="133">
      <c r="A133" s="8" t="inlineStr">
        <is>
          <t>2017-01</t>
        </is>
      </c>
      <c r="B133" s="8" t="inlineStr">
        <is>
          <t>ESH7</t>
        </is>
      </c>
      <c r="C133" s="8" t="n">
        <v>3</v>
      </c>
      <c r="D133" s="8" t="n">
        <v>23</v>
      </c>
      <c r="E133" s="9" t="n">
        <v>2267.25</v>
      </c>
      <c r="F133" s="9" t="n">
        <v>2239.5</v>
      </c>
      <c r="G133" s="9">
        <f>E133-F133</f>
        <v/>
      </c>
      <c r="H133" s="8" t="inlineStr">
        <is>
          <t>Long</t>
        </is>
      </c>
      <c r="I133" s="9" t="n">
        <v>2267.25</v>
      </c>
      <c r="J133" s="9" t="n">
        <v>2276.25</v>
      </c>
      <c r="K133" s="9">
        <f>IF(H133="Long",J133-I133,IF(H133="Short",I133-J133,0))</f>
        <v/>
      </c>
      <c r="L133" s="10" t="n">
        <v>18.02</v>
      </c>
      <c r="M133" s="8" t="inlineStr">
        <is>
          <t>Period-Close</t>
        </is>
      </c>
      <c r="N133" s="9">
        <f>N132+K133</f>
        <v/>
      </c>
    </row>
    <row r="134">
      <c r="A134" s="2" t="inlineStr">
        <is>
          <t>2017-02</t>
        </is>
      </c>
      <c r="B134" s="2" t="inlineStr">
        <is>
          <t>ESH7</t>
        </is>
      </c>
      <c r="C134" s="2" t="n">
        <v>3</v>
      </c>
      <c r="D134" s="2" t="n">
        <v>21</v>
      </c>
      <c r="E134" s="3" t="n">
        <v>2294</v>
      </c>
      <c r="F134" s="3" t="n">
        <v>2264.5</v>
      </c>
      <c r="G134" s="3">
        <f>E134-F134</f>
        <v/>
      </c>
      <c r="H134" s="2" t="inlineStr">
        <is>
          <t>Long</t>
        </is>
      </c>
      <c r="I134" s="3" t="n">
        <v>2294</v>
      </c>
      <c r="J134" s="3" t="n">
        <v>2323.5</v>
      </c>
      <c r="K134" s="3">
        <f>IF(H134="Long",J134-I134,IF(H134="Short",I134-J134,0))</f>
        <v/>
      </c>
      <c r="L134" s="4" t="n">
        <v>0</v>
      </c>
      <c r="M134" s="2" t="inlineStr">
        <is>
          <t>Win</t>
        </is>
      </c>
      <c r="N134" s="3">
        <f>N133+K134</f>
        <v/>
      </c>
    </row>
    <row r="135">
      <c r="A135" s="2" t="inlineStr">
        <is>
          <t>2017-03</t>
        </is>
      </c>
      <c r="B135" s="2" t="inlineStr">
        <is>
          <t>ESH7</t>
        </is>
      </c>
      <c r="C135" s="2" t="n">
        <v>3</v>
      </c>
      <c r="D135" s="2" t="n">
        <v>24</v>
      </c>
      <c r="E135" s="3" t="n">
        <v>2401</v>
      </c>
      <c r="F135" s="3" t="n">
        <v>2364.5</v>
      </c>
      <c r="G135" s="3">
        <f>E135-F135</f>
        <v/>
      </c>
      <c r="H135" s="2" t="inlineStr">
        <is>
          <t>Short</t>
        </is>
      </c>
      <c r="I135" s="3" t="n">
        <v>2364.5</v>
      </c>
      <c r="J135" s="3" t="n">
        <v>2328</v>
      </c>
      <c r="K135" s="3">
        <f>IF(H135="Long",J135-I135,IF(H135="Short",I135-J135,0))</f>
        <v/>
      </c>
      <c r="L135" s="4" t="n">
        <v>66.44</v>
      </c>
      <c r="M135" s="2" t="inlineStr">
        <is>
          <t>Win</t>
        </is>
      </c>
      <c r="N135" s="3">
        <f>N134+K135</f>
        <v/>
      </c>
    </row>
    <row r="136">
      <c r="A136" s="8" t="inlineStr">
        <is>
          <t>2017-03</t>
        </is>
      </c>
      <c r="B136" s="8" t="inlineStr">
        <is>
          <t>ESH7</t>
        </is>
      </c>
      <c r="C136" s="8" t="n">
        <v>3</v>
      </c>
      <c r="D136" s="8" t="n">
        <v>24</v>
      </c>
      <c r="E136" s="9" t="n">
        <v>2401</v>
      </c>
      <c r="F136" s="9" t="n">
        <v>2364.5</v>
      </c>
      <c r="G136" s="9">
        <f>E136-F136</f>
        <v/>
      </c>
      <c r="H136" s="8" t="inlineStr">
        <is>
          <t>Short</t>
        </is>
      </c>
      <c r="I136" s="9" t="n">
        <v>2364.5</v>
      </c>
      <c r="J136" s="9" t="n">
        <v>2357.5</v>
      </c>
      <c r="K136" s="9">
        <f>IF(H136="Long",J136-I136,IF(H136="Short",I136-J136,0))</f>
        <v/>
      </c>
      <c r="L136" s="10" t="n">
        <v>6.16</v>
      </c>
      <c r="M136" s="8" t="inlineStr">
        <is>
          <t>Period-Close</t>
        </is>
      </c>
      <c r="N136" s="9">
        <f>N135+K136</f>
        <v/>
      </c>
    </row>
    <row r="137">
      <c r="A137" s="5" t="inlineStr">
        <is>
          <t>2017-04</t>
        </is>
      </c>
      <c r="B137" s="5" t="inlineStr">
        <is>
          <t>ESM7</t>
        </is>
      </c>
      <c r="C137" s="5" t="n">
        <v>3</v>
      </c>
      <c r="D137" s="5" t="n">
        <v>21</v>
      </c>
      <c r="E137" s="6" t="n">
        <v>2363.25</v>
      </c>
      <c r="F137" s="6" t="n">
        <v>2340</v>
      </c>
      <c r="G137" s="6">
        <f>E137-F137</f>
        <v/>
      </c>
      <c r="H137" s="5" t="inlineStr">
        <is>
          <t>Short</t>
        </is>
      </c>
      <c r="I137" s="6" t="n">
        <v>2340</v>
      </c>
      <c r="J137" s="6" t="n">
        <v>2363.25</v>
      </c>
      <c r="K137" s="6">
        <f>IF(H137="Long",J137-I137,IF(H137="Short",I137-J137,0))</f>
        <v/>
      </c>
      <c r="L137" s="7" t="n">
        <v>100</v>
      </c>
      <c r="M137" s="5" t="inlineStr">
        <is>
          <t>Loss</t>
        </is>
      </c>
      <c r="N137" s="6">
        <f>N136+K137</f>
        <v/>
      </c>
    </row>
    <row r="138">
      <c r="A138" s="5" t="inlineStr">
        <is>
          <t>2017-05</t>
        </is>
      </c>
      <c r="B138" s="5" t="inlineStr">
        <is>
          <t>ESM7</t>
        </is>
      </c>
      <c r="C138" s="5" t="n">
        <v>3</v>
      </c>
      <c r="D138" s="5" t="n">
        <v>24</v>
      </c>
      <c r="E138" s="6" t="n">
        <v>2390.75</v>
      </c>
      <c r="F138" s="6" t="n">
        <v>2375.5</v>
      </c>
      <c r="G138" s="6">
        <f>E138-F138</f>
        <v/>
      </c>
      <c r="H138" s="5" t="inlineStr">
        <is>
          <t>Long</t>
        </is>
      </c>
      <c r="I138" s="6" t="n">
        <v>2390.75</v>
      </c>
      <c r="J138" s="6" t="n">
        <v>2375.5</v>
      </c>
      <c r="K138" s="6">
        <f>IF(H138="Long",J138-I138,IF(H138="Short",I138-J138,0))</f>
        <v/>
      </c>
      <c r="L138" s="7" t="n">
        <v>100</v>
      </c>
      <c r="M138" s="5" t="inlineStr">
        <is>
          <t>Loss</t>
        </is>
      </c>
      <c r="N138" s="6">
        <f>N137+K138</f>
        <v/>
      </c>
    </row>
    <row r="139">
      <c r="A139" s="2" t="inlineStr">
        <is>
          <t>2017-05</t>
        </is>
      </c>
      <c r="B139" s="2" t="inlineStr">
        <is>
          <t>ESM7</t>
        </is>
      </c>
      <c r="C139" s="2" t="n">
        <v>3</v>
      </c>
      <c r="D139" s="2" t="n">
        <v>24</v>
      </c>
      <c r="E139" s="3" t="n">
        <v>2390.75</v>
      </c>
      <c r="F139" s="3" t="n">
        <v>2375.5</v>
      </c>
      <c r="G139" s="3">
        <f>E139-F139</f>
        <v/>
      </c>
      <c r="H139" s="2" t="inlineStr">
        <is>
          <t>Short</t>
        </is>
      </c>
      <c r="I139" s="3" t="n">
        <v>2375.5</v>
      </c>
      <c r="J139" s="3" t="n">
        <v>2360.25</v>
      </c>
      <c r="K139" s="3">
        <f>IF(H139="Long",J139-I139,IF(H139="Short",I139-J139,0))</f>
        <v/>
      </c>
      <c r="L139" s="4" t="n">
        <v>0</v>
      </c>
      <c r="M139" s="2" t="inlineStr">
        <is>
          <t>Win</t>
        </is>
      </c>
      <c r="N139" s="3">
        <f>N138+K139</f>
        <v/>
      </c>
    </row>
    <row r="140">
      <c r="A140" s="5" t="inlineStr">
        <is>
          <t>2017-06</t>
        </is>
      </c>
      <c r="B140" s="5" t="inlineStr">
        <is>
          <t>ESM7</t>
        </is>
      </c>
      <c r="C140" s="5" t="n">
        <v>3</v>
      </c>
      <c r="D140" s="5" t="n">
        <v>23</v>
      </c>
      <c r="E140" s="6" t="n">
        <v>2439.75</v>
      </c>
      <c r="F140" s="6" t="n">
        <v>2410.5</v>
      </c>
      <c r="G140" s="6">
        <f>E140-F140</f>
        <v/>
      </c>
      <c r="H140" s="5" t="inlineStr">
        <is>
          <t>Long</t>
        </is>
      </c>
      <c r="I140" s="6" t="n">
        <v>2439.75</v>
      </c>
      <c r="J140" s="6" t="n">
        <v>2410.5</v>
      </c>
      <c r="K140" s="6">
        <f>IF(H140="Long",J140-I140,IF(H140="Short",I140-J140,0))</f>
        <v/>
      </c>
      <c r="L140" s="7" t="n">
        <v>100</v>
      </c>
      <c r="M140" s="5" t="inlineStr">
        <is>
          <t>Loss</t>
        </is>
      </c>
      <c r="N140" s="6">
        <f>N139+K140</f>
        <v/>
      </c>
    </row>
    <row r="141">
      <c r="A141" s="5" t="inlineStr">
        <is>
          <t>2017-07</t>
        </is>
      </c>
      <c r="B141" s="5" t="inlineStr">
        <is>
          <t>ESU7</t>
        </is>
      </c>
      <c r="C141" s="5" t="n">
        <v>3</v>
      </c>
      <c r="D141" s="5" t="n">
        <v>23</v>
      </c>
      <c r="E141" s="6" t="n">
        <v>2436.5</v>
      </c>
      <c r="F141" s="6" t="n">
        <v>2421.25</v>
      </c>
      <c r="G141" s="6">
        <f>E141-F141</f>
        <v/>
      </c>
      <c r="H141" s="5" t="inlineStr">
        <is>
          <t>Short</t>
        </is>
      </c>
      <c r="I141" s="6" t="n">
        <v>2421.25</v>
      </c>
      <c r="J141" s="6" t="n">
        <v>2436.5</v>
      </c>
      <c r="K141" s="6">
        <f>IF(H141="Long",J141-I141,IF(H141="Short",I141-J141,0))</f>
        <v/>
      </c>
      <c r="L141" s="7" t="n">
        <v>100</v>
      </c>
      <c r="M141" s="5" t="inlineStr">
        <is>
          <t>Loss</t>
        </is>
      </c>
      <c r="N141" s="6">
        <f>N140+K141</f>
        <v/>
      </c>
    </row>
    <row r="142">
      <c r="A142" s="2" t="inlineStr">
        <is>
          <t>2017-07</t>
        </is>
      </c>
      <c r="B142" s="2" t="inlineStr">
        <is>
          <t>ESU7</t>
        </is>
      </c>
      <c r="C142" s="2" t="n">
        <v>3</v>
      </c>
      <c r="D142" s="2" t="n">
        <v>23</v>
      </c>
      <c r="E142" s="3" t="n">
        <v>2436.5</v>
      </c>
      <c r="F142" s="3" t="n">
        <v>2421.25</v>
      </c>
      <c r="G142" s="3">
        <f>E142-F142</f>
        <v/>
      </c>
      <c r="H142" s="2" t="inlineStr">
        <is>
          <t>Long</t>
        </is>
      </c>
      <c r="I142" s="3" t="n">
        <v>2436.5</v>
      </c>
      <c r="J142" s="3" t="n">
        <v>2451.75</v>
      </c>
      <c r="K142" s="3">
        <f>IF(H142="Long",J142-I142,IF(H142="Short",I142-J142,0))</f>
        <v/>
      </c>
      <c r="L142" s="4" t="n">
        <v>0</v>
      </c>
      <c r="M142" s="2" t="inlineStr">
        <is>
          <t>Win</t>
        </is>
      </c>
      <c r="N142" s="3">
        <f>N141+K142</f>
        <v/>
      </c>
    </row>
    <row r="143">
      <c r="A143" s="2" t="inlineStr">
        <is>
          <t>2017-08</t>
        </is>
      </c>
      <c r="B143" s="2" t="inlineStr">
        <is>
          <t>ESU7</t>
        </is>
      </c>
      <c r="C143" s="2" t="n">
        <v>3</v>
      </c>
      <c r="D143" s="2" t="n">
        <v>24</v>
      </c>
      <c r="E143" s="3" t="n">
        <v>2477.25</v>
      </c>
      <c r="F143" s="3" t="n">
        <v>2463.25</v>
      </c>
      <c r="G143" s="3">
        <f>E143-F143</f>
        <v/>
      </c>
      <c r="H143" s="2" t="inlineStr">
        <is>
          <t>Short</t>
        </is>
      </c>
      <c r="I143" s="3" t="n">
        <v>2463.25</v>
      </c>
      <c r="J143" s="3" t="n">
        <v>2449.25</v>
      </c>
      <c r="K143" s="3">
        <f>IF(H143="Long",J143-I143,IF(H143="Short",I143-J143,0))</f>
        <v/>
      </c>
      <c r="L143" s="4" t="n">
        <v>0</v>
      </c>
      <c r="M143" s="2" t="inlineStr">
        <is>
          <t>Win</t>
        </is>
      </c>
      <c r="N143" s="3">
        <f>N142+K143</f>
        <v/>
      </c>
    </row>
    <row r="144">
      <c r="A144" s="2" t="inlineStr">
        <is>
          <t>2017-08</t>
        </is>
      </c>
      <c r="B144" s="2" t="inlineStr">
        <is>
          <t>ESU7</t>
        </is>
      </c>
      <c r="C144" s="2" t="n">
        <v>3</v>
      </c>
      <c r="D144" s="2" t="n">
        <v>24</v>
      </c>
      <c r="E144" s="3" t="n">
        <v>2477.25</v>
      </c>
      <c r="F144" s="3" t="n">
        <v>2463.25</v>
      </c>
      <c r="G144" s="3">
        <f>E144-F144</f>
        <v/>
      </c>
      <c r="H144" s="2" t="inlineStr">
        <is>
          <t>Short</t>
        </is>
      </c>
      <c r="I144" s="3" t="n">
        <v>2463.25</v>
      </c>
      <c r="J144" s="3" t="n">
        <v>2449.25</v>
      </c>
      <c r="K144" s="3">
        <f>IF(H144="Long",J144-I144,IF(H144="Short",I144-J144,0))</f>
        <v/>
      </c>
      <c r="L144" s="4" t="n">
        <v>37.5</v>
      </c>
      <c r="M144" s="2" t="inlineStr">
        <is>
          <t>Win</t>
        </is>
      </c>
      <c r="N144" s="3">
        <f>N143+K144</f>
        <v/>
      </c>
    </row>
    <row r="145">
      <c r="A145" s="5" t="inlineStr">
        <is>
          <t>2017-09</t>
        </is>
      </c>
      <c r="B145" s="5" t="inlineStr">
        <is>
          <t>ESU7</t>
        </is>
      </c>
      <c r="C145" s="5" t="n">
        <v>3</v>
      </c>
      <c r="D145" s="5" t="n">
        <v>22</v>
      </c>
      <c r="E145" s="6" t="n">
        <v>2479.75</v>
      </c>
      <c r="F145" s="6" t="n">
        <v>2460.25</v>
      </c>
      <c r="G145" s="6">
        <f>E145-F145</f>
        <v/>
      </c>
      <c r="H145" s="5" t="inlineStr">
        <is>
          <t>Short</t>
        </is>
      </c>
      <c r="I145" s="6" t="n">
        <v>2460.25</v>
      </c>
      <c r="J145" s="6" t="n">
        <v>2479.75</v>
      </c>
      <c r="K145" s="6">
        <f>IF(H145="Long",J145-I145,IF(H145="Short",I145-J145,0))</f>
        <v/>
      </c>
      <c r="L145" s="7" t="n">
        <v>100</v>
      </c>
      <c r="M145" s="5" t="inlineStr">
        <is>
          <t>Loss</t>
        </is>
      </c>
      <c r="N145" s="6">
        <f>N144+K145</f>
        <v/>
      </c>
    </row>
    <row r="146">
      <c r="A146" s="2" t="inlineStr">
        <is>
          <t>2017-09</t>
        </is>
      </c>
      <c r="B146" s="2" t="inlineStr">
        <is>
          <t>ESU7</t>
        </is>
      </c>
      <c r="C146" s="2" t="n">
        <v>3</v>
      </c>
      <c r="D146" s="2" t="n">
        <v>22</v>
      </c>
      <c r="E146" s="3" t="n">
        <v>2479.75</v>
      </c>
      <c r="F146" s="3" t="n">
        <v>2460.25</v>
      </c>
      <c r="G146" s="3">
        <f>E146-F146</f>
        <v/>
      </c>
      <c r="H146" s="2" t="inlineStr">
        <is>
          <t>Long</t>
        </is>
      </c>
      <c r="I146" s="3" t="n">
        <v>2479.75</v>
      </c>
      <c r="J146" s="3" t="n">
        <v>2499.25</v>
      </c>
      <c r="K146" s="3">
        <f>IF(H146="Long",J146-I146,IF(H146="Short",I146-J146,0))</f>
        <v/>
      </c>
      <c r="L146" s="4" t="n">
        <v>0</v>
      </c>
      <c r="M146" s="2" t="inlineStr">
        <is>
          <t>Win</t>
        </is>
      </c>
      <c r="N146" s="3">
        <f>N145+K146</f>
        <v/>
      </c>
    </row>
    <row r="147">
      <c r="A147" s="2" t="inlineStr">
        <is>
          <t>2017-10</t>
        </is>
      </c>
      <c r="B147" s="2" t="inlineStr">
        <is>
          <t>ESZ7</t>
        </is>
      </c>
      <c r="C147" s="2" t="n">
        <v>3</v>
      </c>
      <c r="D147" s="2" t="n">
        <v>24</v>
      </c>
      <c r="E147" s="3" t="n">
        <v>2533.5</v>
      </c>
      <c r="F147" s="3" t="n">
        <v>2517</v>
      </c>
      <c r="G147" s="3">
        <f>E147-F147</f>
        <v/>
      </c>
      <c r="H147" s="2" t="inlineStr">
        <is>
          <t>Long</t>
        </is>
      </c>
      <c r="I147" s="3" t="n">
        <v>2533.5</v>
      </c>
      <c r="J147" s="3" t="n">
        <v>2550</v>
      </c>
      <c r="K147" s="3">
        <f>IF(H147="Long",J147-I147,IF(H147="Short",I147-J147,0))</f>
        <v/>
      </c>
      <c r="L147" s="4" t="n">
        <v>0</v>
      </c>
      <c r="M147" s="2" t="inlineStr">
        <is>
          <t>Win</t>
        </is>
      </c>
      <c r="N147" s="3">
        <f>N146+K147</f>
        <v/>
      </c>
    </row>
    <row r="148">
      <c r="A148" s="5" t="inlineStr">
        <is>
          <t>2017-11</t>
        </is>
      </c>
      <c r="B148" s="5" t="inlineStr">
        <is>
          <t>ESZ7</t>
        </is>
      </c>
      <c r="C148" s="5" t="n">
        <v>3</v>
      </c>
      <c r="D148" s="5" t="n">
        <v>23</v>
      </c>
      <c r="E148" s="6" t="n">
        <v>2585.5</v>
      </c>
      <c r="F148" s="6" t="n">
        <v>2562.25</v>
      </c>
      <c r="G148" s="6">
        <f>E148-F148</f>
        <v/>
      </c>
      <c r="H148" s="5" t="inlineStr">
        <is>
          <t>Long</t>
        </is>
      </c>
      <c r="I148" s="6" t="n">
        <v>2585.5</v>
      </c>
      <c r="J148" s="6" t="n">
        <v>2562.25</v>
      </c>
      <c r="K148" s="6">
        <f>IF(H148="Long",J148-I148,IF(H148="Short",I148-J148,0))</f>
        <v/>
      </c>
      <c r="L148" s="7" t="n">
        <v>100</v>
      </c>
      <c r="M148" s="5" t="inlineStr">
        <is>
          <t>Loss</t>
        </is>
      </c>
      <c r="N148" s="6">
        <f>N147+K148</f>
        <v/>
      </c>
    </row>
    <row r="149">
      <c r="A149" s="2" t="inlineStr">
        <is>
          <t>2017-11</t>
        </is>
      </c>
      <c r="B149" s="2" t="inlineStr">
        <is>
          <t>ESZ7</t>
        </is>
      </c>
      <c r="C149" s="2" t="n">
        <v>3</v>
      </c>
      <c r="D149" s="2" t="n">
        <v>23</v>
      </c>
      <c r="E149" s="3" t="n">
        <v>2585.5</v>
      </c>
      <c r="F149" s="3" t="n">
        <v>2562.25</v>
      </c>
      <c r="G149" s="3">
        <f>E149-F149</f>
        <v/>
      </c>
      <c r="H149" s="2" t="inlineStr">
        <is>
          <t>Long</t>
        </is>
      </c>
      <c r="I149" s="3" t="n">
        <v>2585.5</v>
      </c>
      <c r="J149" s="3" t="n">
        <v>2608.75</v>
      </c>
      <c r="K149" s="3">
        <f>IF(H149="Long",J149-I149,IF(H149="Short",I149-J149,0))</f>
        <v/>
      </c>
      <c r="L149" s="4" t="n">
        <v>0</v>
      </c>
      <c r="M149" s="2" t="inlineStr">
        <is>
          <t>Win</t>
        </is>
      </c>
      <c r="N149" s="3">
        <f>N148+K149</f>
        <v/>
      </c>
    </row>
    <row r="150">
      <c r="A150" s="8" t="inlineStr">
        <is>
          <t>2017-12</t>
        </is>
      </c>
      <c r="B150" s="8" t="inlineStr">
        <is>
          <t>ESZ7</t>
        </is>
      </c>
      <c r="C150" s="8" t="n">
        <v>3</v>
      </c>
      <c r="D150" s="8" t="n">
        <v>21</v>
      </c>
      <c r="E150" s="9" t="n">
        <v>2665.25</v>
      </c>
      <c r="F150" s="9" t="n">
        <v>2605</v>
      </c>
      <c r="G150" s="9">
        <f>E150-F150</f>
        <v/>
      </c>
      <c r="H150" s="8" t="inlineStr">
        <is>
          <t>Long</t>
        </is>
      </c>
      <c r="I150" s="9" t="n">
        <v>2665.25</v>
      </c>
      <c r="J150" s="9" t="n">
        <v>2668.25</v>
      </c>
      <c r="K150" s="9">
        <f>IF(H150="Long",J150-I150,IF(H150="Short",I150-J150,0))</f>
        <v/>
      </c>
      <c r="L150" s="10" t="n">
        <v>22.41</v>
      </c>
      <c r="M150" s="8" t="inlineStr">
        <is>
          <t>Period-Close</t>
        </is>
      </c>
      <c r="N150" s="9">
        <f>N149+K150</f>
        <v/>
      </c>
    </row>
    <row r="151">
      <c r="A151" s="2" t="inlineStr">
        <is>
          <t>2018-01</t>
        </is>
      </c>
      <c r="B151" s="2" t="inlineStr">
        <is>
          <t>ESH8</t>
        </is>
      </c>
      <c r="C151" s="2" t="n">
        <v>3</v>
      </c>
      <c r="D151" s="2" t="n">
        <v>24</v>
      </c>
      <c r="E151" s="3" t="n">
        <v>2714.25</v>
      </c>
      <c r="F151" s="3" t="n">
        <v>2674.5</v>
      </c>
      <c r="G151" s="3">
        <f>E151-F151</f>
        <v/>
      </c>
      <c r="H151" s="2" t="inlineStr">
        <is>
          <t>Long</t>
        </is>
      </c>
      <c r="I151" s="3" t="n">
        <v>2714.25</v>
      </c>
      <c r="J151" s="3" t="n">
        <v>2754</v>
      </c>
      <c r="K151" s="3">
        <f>IF(H151="Long",J151-I151,IF(H151="Short",I151-J151,0))</f>
        <v/>
      </c>
      <c r="L151" s="4" t="n">
        <v>0</v>
      </c>
      <c r="M151" s="2" t="inlineStr">
        <is>
          <t>Win</t>
        </is>
      </c>
      <c r="N151" s="3">
        <f>N150+K151</f>
        <v/>
      </c>
    </row>
    <row r="152">
      <c r="A152" s="2" t="inlineStr">
        <is>
          <t>2018-02</t>
        </is>
      </c>
      <c r="B152" s="2" t="inlineStr">
        <is>
          <t>ESH8</t>
        </is>
      </c>
      <c r="C152" s="2" t="n">
        <v>3</v>
      </c>
      <c r="D152" s="2" t="n">
        <v>21</v>
      </c>
      <c r="E152" s="3" t="n">
        <v>2837.25</v>
      </c>
      <c r="F152" s="3" t="n">
        <v>2733</v>
      </c>
      <c r="G152" s="3">
        <f>E152-F152</f>
        <v/>
      </c>
      <c r="H152" s="2" t="inlineStr">
        <is>
          <t>Short</t>
        </is>
      </c>
      <c r="I152" s="3" t="n">
        <v>2733</v>
      </c>
      <c r="J152" s="3" t="n">
        <v>2628.75</v>
      </c>
      <c r="K152" s="3">
        <f>IF(H152="Long",J152-I152,IF(H152="Short",I152-J152,0))</f>
        <v/>
      </c>
      <c r="L152" s="4" t="n">
        <v>0</v>
      </c>
      <c r="M152" s="2" t="inlineStr">
        <is>
          <t>Win</t>
        </is>
      </c>
      <c r="N152" s="3">
        <f>N151+K152</f>
        <v/>
      </c>
    </row>
    <row r="153">
      <c r="A153" s="8" t="inlineStr">
        <is>
          <t>2018-02</t>
        </is>
      </c>
      <c r="B153" s="8" t="inlineStr">
        <is>
          <t>ESH8</t>
        </is>
      </c>
      <c r="C153" s="8" t="n">
        <v>3</v>
      </c>
      <c r="D153" s="8" t="n">
        <v>21</v>
      </c>
      <c r="E153" s="9" t="n">
        <v>2837.25</v>
      </c>
      <c r="F153" s="9" t="n">
        <v>2733</v>
      </c>
      <c r="G153" s="9">
        <f>E153-F153</f>
        <v/>
      </c>
      <c r="H153" s="8" t="inlineStr">
        <is>
          <t>Short</t>
        </is>
      </c>
      <c r="I153" s="9" t="n">
        <v>2733</v>
      </c>
      <c r="J153" s="9" t="n">
        <v>2719.25</v>
      </c>
      <c r="K153" s="9">
        <f>IF(H153="Long",J153-I153,IF(H153="Short",I153-J153,0))</f>
        <v/>
      </c>
      <c r="L153" s="10" t="n">
        <v>54.44</v>
      </c>
      <c r="M153" s="8" t="inlineStr">
        <is>
          <t>Period-Close</t>
        </is>
      </c>
      <c r="N153" s="9">
        <f>N152+K153</f>
        <v/>
      </c>
    </row>
    <row r="154">
      <c r="A154" s="5" t="inlineStr">
        <is>
          <t>2018-03</t>
        </is>
      </c>
      <c r="B154" s="5" t="inlineStr">
        <is>
          <t>ESH8</t>
        </is>
      </c>
      <c r="C154" s="5" t="n">
        <v>3</v>
      </c>
      <c r="D154" s="5" t="n">
        <v>22</v>
      </c>
      <c r="E154" s="6" t="n">
        <v>2731</v>
      </c>
      <c r="F154" s="6" t="n">
        <v>2647</v>
      </c>
      <c r="G154" s="6">
        <f>E154-F154</f>
        <v/>
      </c>
      <c r="H154" s="5" t="inlineStr">
        <is>
          <t>Long</t>
        </is>
      </c>
      <c r="I154" s="6" t="n">
        <v>2731</v>
      </c>
      <c r="J154" s="6" t="n">
        <v>2647</v>
      </c>
      <c r="K154" s="6">
        <f>IF(H154="Long",J154-I154,IF(H154="Short",I154-J154,0))</f>
        <v/>
      </c>
      <c r="L154" s="7" t="n">
        <v>100</v>
      </c>
      <c r="M154" s="5" t="inlineStr">
        <is>
          <t>Loss</t>
        </is>
      </c>
      <c r="N154" s="6">
        <f>N153+K154</f>
        <v/>
      </c>
    </row>
    <row r="155">
      <c r="A155" s="8" t="inlineStr">
        <is>
          <t>2018-03</t>
        </is>
      </c>
      <c r="B155" s="8" t="inlineStr">
        <is>
          <t>ESH8</t>
        </is>
      </c>
      <c r="C155" s="8" t="n">
        <v>3</v>
      </c>
      <c r="D155" s="8" t="n">
        <v>22</v>
      </c>
      <c r="E155" s="9" t="n">
        <v>2731</v>
      </c>
      <c r="F155" s="9" t="n">
        <v>2647</v>
      </c>
      <c r="G155" s="9">
        <f>E155-F155</f>
        <v/>
      </c>
      <c r="H155" s="8" t="inlineStr">
        <is>
          <t>Short</t>
        </is>
      </c>
      <c r="I155" s="9" t="n">
        <v>2647</v>
      </c>
      <c r="J155" s="9" t="n">
        <v>2637.5</v>
      </c>
      <c r="K155" s="9">
        <f>IF(H155="Long",J155-I155,IF(H155="Short",I155-J155,0))</f>
        <v/>
      </c>
      <c r="L155" s="10" t="n">
        <v>38.99</v>
      </c>
      <c r="M155" s="8" t="inlineStr">
        <is>
          <t>Period-Close</t>
        </is>
      </c>
      <c r="N155" s="9">
        <f>N154+K155</f>
        <v/>
      </c>
    </row>
    <row r="156">
      <c r="A156" s="8" t="inlineStr">
        <is>
          <t>2018-04</t>
        </is>
      </c>
      <c r="B156" s="8" t="inlineStr">
        <is>
          <t>ESM8</t>
        </is>
      </c>
      <c r="C156" s="8" t="n">
        <v>3</v>
      </c>
      <c r="D156" s="8" t="n">
        <v>23</v>
      </c>
      <c r="E156" s="9" t="n">
        <v>2641.5</v>
      </c>
      <c r="F156" s="9" t="n">
        <v>2552</v>
      </c>
      <c r="G156" s="9">
        <f>E156-F156</f>
        <v/>
      </c>
      <c r="H156" s="8" t="inlineStr">
        <is>
          <t>Long</t>
        </is>
      </c>
      <c r="I156" s="9" t="n">
        <v>2641.5</v>
      </c>
      <c r="J156" s="9" t="n">
        <v>2648.25</v>
      </c>
      <c r="K156" s="9">
        <f>IF(H156="Long",J156-I156,IF(H156="Short",I156-J156,0))</f>
        <v/>
      </c>
      <c r="L156" s="10" t="n">
        <v>63.69</v>
      </c>
      <c r="M156" s="8" t="inlineStr">
        <is>
          <t>Period-Close</t>
        </is>
      </c>
      <c r="N156" s="9">
        <f>N155+K156</f>
        <v/>
      </c>
    </row>
    <row r="157">
      <c r="A157" s="2" t="inlineStr">
        <is>
          <t>2018-05</t>
        </is>
      </c>
      <c r="B157" s="2" t="inlineStr">
        <is>
          <t>ESM8</t>
        </is>
      </c>
      <c r="C157" s="2" t="n">
        <v>3</v>
      </c>
      <c r="D157" s="2" t="n">
        <v>24</v>
      </c>
      <c r="E157" s="3" t="n">
        <v>2658.5</v>
      </c>
      <c r="F157" s="3" t="n">
        <v>2591.25</v>
      </c>
      <c r="G157" s="3">
        <f>E157-F157</f>
        <v/>
      </c>
      <c r="H157" s="2" t="inlineStr">
        <is>
          <t>Long</t>
        </is>
      </c>
      <c r="I157" s="3" t="n">
        <v>2658.5</v>
      </c>
      <c r="J157" s="3" t="n">
        <v>2725.75</v>
      </c>
      <c r="K157" s="3">
        <f>IF(H157="Long",J157-I157,IF(H157="Short",I157-J157,0))</f>
        <v/>
      </c>
      <c r="L157" s="4" t="n">
        <v>9.289999999999999</v>
      </c>
      <c r="M157" s="2" t="inlineStr">
        <is>
          <t>Win</t>
        </is>
      </c>
      <c r="N157" s="3">
        <f>N156+K157</f>
        <v/>
      </c>
    </row>
    <row r="158">
      <c r="A158" s="2" t="inlineStr">
        <is>
          <t>2018-06</t>
        </is>
      </c>
      <c r="B158" s="2" t="inlineStr">
        <is>
          <t>ESM8</t>
        </is>
      </c>
      <c r="C158" s="2" t="n">
        <v>3</v>
      </c>
      <c r="D158" s="2" t="n">
        <v>22</v>
      </c>
      <c r="E158" s="3" t="n">
        <v>2749.25</v>
      </c>
      <c r="F158" s="3" t="n">
        <v>2707</v>
      </c>
      <c r="G158" s="3">
        <f>E158-F158</f>
        <v/>
      </c>
      <c r="H158" s="2" t="inlineStr">
        <is>
          <t>Long</t>
        </is>
      </c>
      <c r="I158" s="3" t="n">
        <v>2749.25</v>
      </c>
      <c r="J158" s="3" t="n">
        <v>2791.5</v>
      </c>
      <c r="K158" s="3">
        <f>IF(H158="Long",J158-I158,IF(H158="Short",I158-J158,0))</f>
        <v/>
      </c>
      <c r="L158" s="4" t="n">
        <v>2.96</v>
      </c>
      <c r="M158" s="2" t="inlineStr">
        <is>
          <t>Win</t>
        </is>
      </c>
      <c r="N158" s="3">
        <f>N157+K158</f>
        <v/>
      </c>
    </row>
    <row r="159">
      <c r="A159" s="5" t="inlineStr">
        <is>
          <t>2018-06</t>
        </is>
      </c>
      <c r="B159" s="5" t="inlineStr">
        <is>
          <t>ESM8</t>
        </is>
      </c>
      <c r="C159" s="5" t="n">
        <v>3</v>
      </c>
      <c r="D159" s="5" t="n">
        <v>22</v>
      </c>
      <c r="E159" s="6" t="n">
        <v>2749.25</v>
      </c>
      <c r="F159" s="6" t="n">
        <v>2707</v>
      </c>
      <c r="G159" s="6">
        <f>E159-F159</f>
        <v/>
      </c>
      <c r="H159" s="5" t="inlineStr">
        <is>
          <t>Long</t>
        </is>
      </c>
      <c r="I159" s="6" t="n">
        <v>2749.25</v>
      </c>
      <c r="J159" s="6" t="n">
        <v>2707</v>
      </c>
      <c r="K159" s="6">
        <f>IF(H159="Long",J159-I159,IF(H159="Short",I159-J159,0))</f>
        <v/>
      </c>
      <c r="L159" s="7" t="n">
        <v>100</v>
      </c>
      <c r="M159" s="5" t="inlineStr">
        <is>
          <t>Loss</t>
        </is>
      </c>
      <c r="N159" s="6">
        <f>N158+K159</f>
        <v/>
      </c>
    </row>
    <row r="160">
      <c r="A160" s="2" t="inlineStr">
        <is>
          <t>2018-07</t>
        </is>
      </c>
      <c r="B160" s="2" t="inlineStr">
        <is>
          <t>ESU8</t>
        </is>
      </c>
      <c r="C160" s="2" t="n">
        <v>3</v>
      </c>
      <c r="D160" s="2" t="n">
        <v>24</v>
      </c>
      <c r="E160" s="3" t="n">
        <v>2741.5</v>
      </c>
      <c r="F160" s="3" t="n">
        <v>2698.5</v>
      </c>
      <c r="G160" s="3">
        <f>E160-F160</f>
        <v/>
      </c>
      <c r="H160" s="2" t="inlineStr">
        <is>
          <t>Long</t>
        </is>
      </c>
      <c r="I160" s="3" t="n">
        <v>2741.5</v>
      </c>
      <c r="J160" s="3" t="n">
        <v>2784.5</v>
      </c>
      <c r="K160" s="3">
        <f>IF(H160="Long",J160-I160,IF(H160="Short",I160-J160,0))</f>
        <v/>
      </c>
      <c r="L160" s="4" t="n">
        <v>0</v>
      </c>
      <c r="M160" s="2" t="inlineStr">
        <is>
          <t>Win</t>
        </is>
      </c>
      <c r="N160" s="3">
        <f>N159+K160</f>
        <v/>
      </c>
    </row>
    <row r="161">
      <c r="A161" s="2" t="inlineStr">
        <is>
          <t>2018-08</t>
        </is>
      </c>
      <c r="B161" s="2" t="inlineStr">
        <is>
          <t>ESU8</t>
        </is>
      </c>
      <c r="C161" s="2" t="n">
        <v>3</v>
      </c>
      <c r="D161" s="2" t="n">
        <v>24</v>
      </c>
      <c r="E161" s="3" t="n">
        <v>2841.5</v>
      </c>
      <c r="F161" s="3" t="n">
        <v>2791</v>
      </c>
      <c r="G161" s="3">
        <f>E161-F161</f>
        <v/>
      </c>
      <c r="H161" s="2" t="inlineStr">
        <is>
          <t>Long</t>
        </is>
      </c>
      <c r="I161" s="3" t="n">
        <v>2841.5</v>
      </c>
      <c r="J161" s="3" t="n">
        <v>2892</v>
      </c>
      <c r="K161" s="3">
        <f>IF(H161="Long",J161-I161,IF(H161="Short",I161-J161,0))</f>
        <v/>
      </c>
      <c r="L161" s="4" t="n">
        <v>76.23999999999999</v>
      </c>
      <c r="M161" s="2" t="inlineStr">
        <is>
          <t>Win</t>
        </is>
      </c>
      <c r="N161" s="3">
        <f>N160+K161</f>
        <v/>
      </c>
    </row>
    <row r="162">
      <c r="A162" s="5" t="inlineStr">
        <is>
          <t>2018-09</t>
        </is>
      </c>
      <c r="B162" s="5" t="inlineStr">
        <is>
          <t>ESU8</t>
        </is>
      </c>
      <c r="C162" s="5" t="n">
        <v>3</v>
      </c>
      <c r="D162" s="5" t="n">
        <v>22</v>
      </c>
      <c r="E162" s="6" t="n">
        <v>2912.5</v>
      </c>
      <c r="F162" s="6" t="n">
        <v>2885.5</v>
      </c>
      <c r="G162" s="6">
        <f>E162-F162</f>
        <v/>
      </c>
      <c r="H162" s="5" t="inlineStr">
        <is>
          <t>Short</t>
        </is>
      </c>
      <c r="I162" s="6" t="n">
        <v>2885.5</v>
      </c>
      <c r="J162" s="6" t="n">
        <v>2912.5</v>
      </c>
      <c r="K162" s="6">
        <f>IF(H162="Long",J162-I162,IF(H162="Short",I162-J162,0))</f>
        <v/>
      </c>
      <c r="L162" s="7" t="n">
        <v>100</v>
      </c>
      <c r="M162" s="5" t="inlineStr">
        <is>
          <t>Loss</t>
        </is>
      </c>
      <c r="N162" s="6">
        <f>N161+K162</f>
        <v/>
      </c>
    </row>
    <row r="163">
      <c r="A163" s="5" t="inlineStr">
        <is>
          <t>2018-09</t>
        </is>
      </c>
      <c r="B163" s="5" t="inlineStr">
        <is>
          <t>ESU8</t>
        </is>
      </c>
      <c r="C163" s="5" t="n">
        <v>3</v>
      </c>
      <c r="D163" s="5" t="n">
        <v>22</v>
      </c>
      <c r="E163" s="6" t="n">
        <v>2912.5</v>
      </c>
      <c r="F163" s="6" t="n">
        <v>2885.5</v>
      </c>
      <c r="G163" s="6">
        <f>E163-F163</f>
        <v/>
      </c>
      <c r="H163" s="5" t="inlineStr">
        <is>
          <t>Short</t>
        </is>
      </c>
      <c r="I163" s="6" t="n">
        <v>2885.5</v>
      </c>
      <c r="J163" s="6" t="n">
        <v>2912.5</v>
      </c>
      <c r="K163" s="6">
        <f>IF(H163="Long",J163-I163,IF(H163="Short",I163-J163,0))</f>
        <v/>
      </c>
      <c r="L163" s="7" t="n">
        <v>100</v>
      </c>
      <c r="M163" s="5" t="inlineStr">
        <is>
          <t>Loss</t>
        </is>
      </c>
      <c r="N163" s="6">
        <f>N162+K163</f>
        <v/>
      </c>
    </row>
    <row r="164">
      <c r="A164" s="2" t="inlineStr">
        <is>
          <t>2018-10</t>
        </is>
      </c>
      <c r="B164" s="2" t="inlineStr">
        <is>
          <t>ESZ8</t>
        </is>
      </c>
      <c r="C164" s="2" t="n">
        <v>3</v>
      </c>
      <c r="D164" s="2" t="n">
        <v>24</v>
      </c>
      <c r="E164" s="3" t="n">
        <v>2944.75</v>
      </c>
      <c r="F164" s="3" t="n">
        <v>2917.5</v>
      </c>
      <c r="G164" s="3">
        <f>E164-F164</f>
        <v/>
      </c>
      <c r="H164" s="2" t="inlineStr">
        <is>
          <t>Short</t>
        </is>
      </c>
      <c r="I164" s="3" t="n">
        <v>2917.5</v>
      </c>
      <c r="J164" s="3" t="n">
        <v>2890.25</v>
      </c>
      <c r="K164" s="3">
        <f>IF(H164="Long",J164-I164,IF(H164="Short",I164-J164,0))</f>
        <v/>
      </c>
      <c r="L164" s="4" t="n">
        <v>0</v>
      </c>
      <c r="M164" s="2" t="inlineStr">
        <is>
          <t>Win</t>
        </is>
      </c>
      <c r="N164" s="3">
        <f>N163+K164</f>
        <v/>
      </c>
    </row>
    <row r="165">
      <c r="A165" s="5" t="inlineStr">
        <is>
          <t>2018-11</t>
        </is>
      </c>
      <c r="B165" s="5" t="inlineStr">
        <is>
          <t>ESZ8</t>
        </is>
      </c>
      <c r="C165" s="5" t="n">
        <v>3</v>
      </c>
      <c r="D165" s="5" t="n">
        <v>23</v>
      </c>
      <c r="E165" s="6" t="n">
        <v>2766.25</v>
      </c>
      <c r="F165" s="6" t="n">
        <v>2699.5</v>
      </c>
      <c r="G165" s="6">
        <f>E165-F165</f>
        <v/>
      </c>
      <c r="H165" s="5" t="inlineStr">
        <is>
          <t>Long</t>
        </is>
      </c>
      <c r="I165" s="6" t="n">
        <v>2766.25</v>
      </c>
      <c r="J165" s="6" t="n">
        <v>2699.5</v>
      </c>
      <c r="K165" s="6">
        <f>IF(H165="Long",J165-I165,IF(H165="Short",I165-J165,0))</f>
        <v/>
      </c>
      <c r="L165" s="7" t="n">
        <v>100</v>
      </c>
      <c r="M165" s="5" t="inlineStr">
        <is>
          <t>Loss</t>
        </is>
      </c>
      <c r="N165" s="6">
        <f>N164+K165</f>
        <v/>
      </c>
    </row>
    <row r="166">
      <c r="A166" s="2" t="inlineStr">
        <is>
          <t>2018-11</t>
        </is>
      </c>
      <c r="B166" s="2" t="inlineStr">
        <is>
          <t>ESZ8</t>
        </is>
      </c>
      <c r="C166" s="2" t="n">
        <v>3</v>
      </c>
      <c r="D166" s="2" t="n">
        <v>23</v>
      </c>
      <c r="E166" s="3" t="n">
        <v>2766.25</v>
      </c>
      <c r="F166" s="3" t="n">
        <v>2699.5</v>
      </c>
      <c r="G166" s="3">
        <f>E166-F166</f>
        <v/>
      </c>
      <c r="H166" s="2" t="inlineStr">
        <is>
          <t>Short</t>
        </is>
      </c>
      <c r="I166" s="3" t="n">
        <v>2699.5</v>
      </c>
      <c r="J166" s="3" t="n">
        <v>2632.75</v>
      </c>
      <c r="K166" s="3">
        <f>IF(H166="Long",J166-I166,IF(H166="Short",I166-J166,0))</f>
        <v/>
      </c>
      <c r="L166" s="4" t="n">
        <v>73.78</v>
      </c>
      <c r="M166" s="2" t="inlineStr">
        <is>
          <t>Win</t>
        </is>
      </c>
      <c r="N166" s="3">
        <f>N165+K166</f>
        <v/>
      </c>
    </row>
    <row r="167">
      <c r="A167" s="2" t="inlineStr">
        <is>
          <t>2018-12</t>
        </is>
      </c>
      <c r="B167" s="2" t="inlineStr">
        <is>
          <t>ESZ8</t>
        </is>
      </c>
      <c r="C167" s="2" t="n">
        <v>3</v>
      </c>
      <c r="D167" s="2" t="n">
        <v>23</v>
      </c>
      <c r="E167" s="3" t="n">
        <v>2814</v>
      </c>
      <c r="F167" s="3" t="n">
        <v>2696</v>
      </c>
      <c r="G167" s="3">
        <f>E167-F167</f>
        <v/>
      </c>
      <c r="H167" s="2" t="inlineStr">
        <is>
          <t>Short</t>
        </is>
      </c>
      <c r="I167" s="3" t="n">
        <v>2696</v>
      </c>
      <c r="J167" s="3" t="n">
        <v>2578</v>
      </c>
      <c r="K167" s="3">
        <f>IF(H167="Long",J167-I167,IF(H167="Short",I167-J167,0))</f>
        <v/>
      </c>
      <c r="L167" s="4" t="n">
        <v>11.65</v>
      </c>
      <c r="M167" s="2" t="inlineStr">
        <is>
          <t>Win</t>
        </is>
      </c>
      <c r="N167" s="3">
        <f>N166+K167</f>
        <v/>
      </c>
    </row>
    <row r="168">
      <c r="A168" s="2" t="inlineStr">
        <is>
          <t>2019-01</t>
        </is>
      </c>
      <c r="B168" s="2" t="inlineStr">
        <is>
          <t>ESH9</t>
        </is>
      </c>
      <c r="C168" s="2" t="n">
        <v>3</v>
      </c>
      <c r="D168" s="2" t="n">
        <v>24</v>
      </c>
      <c r="E168" s="3" t="n">
        <v>2521.25</v>
      </c>
      <c r="F168" s="3" t="n">
        <v>2443.25</v>
      </c>
      <c r="G168" s="3">
        <f>E168-F168</f>
        <v/>
      </c>
      <c r="H168" s="2" t="inlineStr">
        <is>
          <t>Long</t>
        </is>
      </c>
      <c r="I168" s="3" t="n">
        <v>2521.25</v>
      </c>
      <c r="J168" s="3" t="n">
        <v>2599.25</v>
      </c>
      <c r="K168" s="3">
        <f>IF(H168="Long",J168-I168,IF(H168="Short",I168-J168,0))</f>
        <v/>
      </c>
      <c r="L168" s="4" t="n">
        <v>0</v>
      </c>
      <c r="M168" s="2" t="inlineStr">
        <is>
          <t>Win</t>
        </is>
      </c>
      <c r="N168" s="3">
        <f>N167+K168</f>
        <v/>
      </c>
    </row>
    <row r="169">
      <c r="A169" s="5" t="inlineStr">
        <is>
          <t>2019-02</t>
        </is>
      </c>
      <c r="B169" s="5" t="inlineStr">
        <is>
          <t>ESH9</t>
        </is>
      </c>
      <c r="C169" s="5" t="n">
        <v>3</v>
      </c>
      <c r="D169" s="5" t="n">
        <v>21</v>
      </c>
      <c r="E169" s="6" t="n">
        <v>2725</v>
      </c>
      <c r="F169" s="6" t="n">
        <v>2695.5</v>
      </c>
      <c r="G169" s="6">
        <f>E169-F169</f>
        <v/>
      </c>
      <c r="H169" s="5" t="inlineStr">
        <is>
          <t>Long</t>
        </is>
      </c>
      <c r="I169" s="6" t="n">
        <v>2725</v>
      </c>
      <c r="J169" s="6" t="n">
        <v>2695.5</v>
      </c>
      <c r="K169" s="6">
        <f>IF(H169="Long",J169-I169,IF(H169="Short",I169-J169,0))</f>
        <v/>
      </c>
      <c r="L169" s="7" t="n">
        <v>100</v>
      </c>
      <c r="M169" s="5" t="inlineStr">
        <is>
          <t>Loss</t>
        </is>
      </c>
      <c r="N169" s="6">
        <f>N168+K169</f>
        <v/>
      </c>
    </row>
    <row r="170">
      <c r="A170" s="2" t="inlineStr">
        <is>
          <t>2019-02</t>
        </is>
      </c>
      <c r="B170" s="2" t="inlineStr">
        <is>
          <t>ESH9</t>
        </is>
      </c>
      <c r="C170" s="2" t="n">
        <v>3</v>
      </c>
      <c r="D170" s="2" t="n">
        <v>21</v>
      </c>
      <c r="E170" s="3" t="n">
        <v>2725</v>
      </c>
      <c r="F170" s="3" t="n">
        <v>2695.5</v>
      </c>
      <c r="G170" s="3">
        <f>E170-F170</f>
        <v/>
      </c>
      <c r="H170" s="2" t="inlineStr">
        <is>
          <t>Long</t>
        </is>
      </c>
      <c r="I170" s="3" t="n">
        <v>2725</v>
      </c>
      <c r="J170" s="3" t="n">
        <v>2754.5</v>
      </c>
      <c r="K170" s="3">
        <f>IF(H170="Long",J170-I170,IF(H170="Short",I170-J170,0))</f>
        <v/>
      </c>
      <c r="L170" s="4" t="n">
        <v>0</v>
      </c>
      <c r="M170" s="2" t="inlineStr">
        <is>
          <t>Win</t>
        </is>
      </c>
      <c r="N170" s="3">
        <f>N169+K170</f>
        <v/>
      </c>
    </row>
    <row r="171">
      <c r="A171" s="5" t="inlineStr">
        <is>
          <t>2019-03</t>
        </is>
      </c>
      <c r="B171" s="5" t="inlineStr">
        <is>
          <t>ESH9</t>
        </is>
      </c>
      <c r="C171" s="5" t="n">
        <v>3</v>
      </c>
      <c r="D171" s="5" t="n">
        <v>23</v>
      </c>
      <c r="E171" s="6" t="n">
        <v>2819.75</v>
      </c>
      <c r="F171" s="6" t="n">
        <v>2767.5</v>
      </c>
      <c r="G171" s="6">
        <f>E171-F171</f>
        <v/>
      </c>
      <c r="H171" s="5" t="inlineStr">
        <is>
          <t>Short</t>
        </is>
      </c>
      <c r="I171" s="6" t="n">
        <v>2767.5</v>
      </c>
      <c r="J171" s="6" t="n">
        <v>2819.75</v>
      </c>
      <c r="K171" s="6">
        <f>IF(H171="Long",J171-I171,IF(H171="Short",I171-J171,0))</f>
        <v/>
      </c>
      <c r="L171" s="7" t="n">
        <v>100</v>
      </c>
      <c r="M171" s="5" t="inlineStr">
        <is>
          <t>Loss</t>
        </is>
      </c>
      <c r="N171" s="6">
        <f>N170+K171</f>
        <v/>
      </c>
    </row>
    <row r="172">
      <c r="A172" s="8" t="inlineStr">
        <is>
          <t>2019-03</t>
        </is>
      </c>
      <c r="B172" s="8" t="inlineStr">
        <is>
          <t>ESH9</t>
        </is>
      </c>
      <c r="C172" s="8" t="n">
        <v>3</v>
      </c>
      <c r="D172" s="8" t="n">
        <v>23</v>
      </c>
      <c r="E172" s="9" t="n">
        <v>2819.75</v>
      </c>
      <c r="F172" s="9" t="n">
        <v>2767.5</v>
      </c>
      <c r="G172" s="9">
        <f>E172-F172</f>
        <v/>
      </c>
      <c r="H172" s="8" t="inlineStr">
        <is>
          <t>Long</t>
        </is>
      </c>
      <c r="I172" s="9" t="n">
        <v>2819.75</v>
      </c>
      <c r="J172" s="9" t="n">
        <v>2852.5</v>
      </c>
      <c r="K172" s="9">
        <f>IF(H172="Long",J172-I172,IF(H172="Short",I172-J172,0))</f>
        <v/>
      </c>
      <c r="L172" s="10" t="n">
        <v>57.89</v>
      </c>
      <c r="M172" s="8" t="inlineStr">
        <is>
          <t>Period-Close</t>
        </is>
      </c>
      <c r="N172" s="9">
        <f>N171+K172</f>
        <v/>
      </c>
    </row>
    <row r="173">
      <c r="A173" s="2" t="inlineStr">
        <is>
          <t>2019-04</t>
        </is>
      </c>
      <c r="B173" s="2" t="inlineStr">
        <is>
          <t>ESM9</t>
        </is>
      </c>
      <c r="C173" s="2" t="n">
        <v>3</v>
      </c>
      <c r="D173" s="2" t="n">
        <v>22</v>
      </c>
      <c r="E173" s="3" t="n">
        <v>2889.25</v>
      </c>
      <c r="F173" s="3" t="n">
        <v>2852.25</v>
      </c>
      <c r="G173" s="3">
        <f>E173-F173</f>
        <v/>
      </c>
      <c r="H173" s="2" t="inlineStr">
        <is>
          <t>Long</t>
        </is>
      </c>
      <c r="I173" s="3" t="n">
        <v>2889.25</v>
      </c>
      <c r="J173" s="3" t="n">
        <v>2926.25</v>
      </c>
      <c r="K173" s="3">
        <f>IF(H173="Long",J173-I173,IF(H173="Short",I173-J173,0))</f>
        <v/>
      </c>
      <c r="L173" s="4" t="n">
        <v>32.43</v>
      </c>
      <c r="M173" s="2" t="inlineStr">
        <is>
          <t>Win</t>
        </is>
      </c>
      <c r="N173" s="3">
        <f>N172+K173</f>
        <v/>
      </c>
    </row>
    <row r="174">
      <c r="A174" s="2" t="inlineStr">
        <is>
          <t>2019-05</t>
        </is>
      </c>
      <c r="B174" s="2" t="inlineStr">
        <is>
          <t>ESM9</t>
        </is>
      </c>
      <c r="C174" s="2" t="n">
        <v>3</v>
      </c>
      <c r="D174" s="2" t="n">
        <v>24</v>
      </c>
      <c r="E174" s="3" t="n">
        <v>2961.25</v>
      </c>
      <c r="F174" s="3" t="n">
        <v>2901</v>
      </c>
      <c r="G174" s="3">
        <f>E174-F174</f>
        <v/>
      </c>
      <c r="H174" s="2" t="inlineStr">
        <is>
          <t>Short</t>
        </is>
      </c>
      <c r="I174" s="3" t="n">
        <v>2901</v>
      </c>
      <c r="J174" s="3" t="n">
        <v>2840.75</v>
      </c>
      <c r="K174" s="3">
        <f>IF(H174="Long",J174-I174,IF(H174="Short",I174-J174,0))</f>
        <v/>
      </c>
      <c r="L174" s="4" t="n">
        <v>61.83</v>
      </c>
      <c r="M174" s="2" t="inlineStr">
        <is>
          <t>Win</t>
        </is>
      </c>
      <c r="N174" s="3">
        <f>N173+K174</f>
        <v/>
      </c>
    </row>
    <row r="175">
      <c r="A175" s="2" t="inlineStr">
        <is>
          <t>2019-06</t>
        </is>
      </c>
      <c r="B175" s="2" t="inlineStr">
        <is>
          <t>ESM9</t>
        </is>
      </c>
      <c r="C175" s="2" t="n">
        <v>3</v>
      </c>
      <c r="D175" s="2" t="n">
        <v>22</v>
      </c>
      <c r="E175" s="3" t="n">
        <v>2813.5</v>
      </c>
      <c r="F175" s="3" t="n">
        <v>2728.75</v>
      </c>
      <c r="G175" s="3">
        <f>E175-F175</f>
        <v/>
      </c>
      <c r="H175" s="2" t="inlineStr">
        <is>
          <t>Long</t>
        </is>
      </c>
      <c r="I175" s="3" t="n">
        <v>2813.5</v>
      </c>
      <c r="J175" s="3" t="n">
        <v>2898.25</v>
      </c>
      <c r="K175" s="3">
        <f>IF(H175="Long",J175-I175,IF(H175="Short",I175-J175,0))</f>
        <v/>
      </c>
      <c r="L175" s="4" t="n">
        <v>0</v>
      </c>
      <c r="M175" s="2" t="inlineStr">
        <is>
          <t>Win</t>
        </is>
      </c>
      <c r="N175" s="3">
        <f>N174+K175</f>
        <v/>
      </c>
    </row>
    <row r="176">
      <c r="A176" s="8" t="inlineStr">
        <is>
          <t>2019-07</t>
        </is>
      </c>
      <c r="B176" s="8" t="inlineStr">
        <is>
          <t>ESU9</t>
        </is>
      </c>
      <c r="C176" s="8" t="n">
        <v>3</v>
      </c>
      <c r="D176" s="8" t="n">
        <v>24</v>
      </c>
      <c r="E176" s="9" t="n">
        <v>3006</v>
      </c>
      <c r="F176" s="9" t="n">
        <v>2955.5</v>
      </c>
      <c r="G176" s="9">
        <f>E176-F176</f>
        <v/>
      </c>
      <c r="H176" s="8" t="inlineStr">
        <is>
          <t>Long</t>
        </is>
      </c>
      <c r="I176" s="9" t="n">
        <v>3006</v>
      </c>
      <c r="J176" s="9" t="n">
        <v>2973.25</v>
      </c>
      <c r="K176" s="9">
        <f>IF(H176="Long",J176-I176,IF(H176="Short",I176-J176,0))</f>
        <v/>
      </c>
      <c r="L176" s="10" t="n">
        <v>95.05</v>
      </c>
      <c r="M176" s="8" t="inlineStr">
        <is>
          <t>Period-Close</t>
        </is>
      </c>
      <c r="N176" s="9">
        <f>N175+K176</f>
        <v/>
      </c>
    </row>
    <row r="177">
      <c r="A177" s="2" t="inlineStr">
        <is>
          <t>2019-08</t>
        </is>
      </c>
      <c r="B177" s="2" t="inlineStr">
        <is>
          <t>ESU9</t>
        </is>
      </c>
      <c r="C177" s="2" t="n">
        <v>3</v>
      </c>
      <c r="D177" s="2" t="n">
        <v>23</v>
      </c>
      <c r="E177" s="3" t="n">
        <v>3014.25</v>
      </c>
      <c r="F177" s="3" t="n">
        <v>2913.5</v>
      </c>
      <c r="G177" s="3">
        <f>E177-F177</f>
        <v/>
      </c>
      <c r="H177" s="2" t="inlineStr">
        <is>
          <t>Short</t>
        </is>
      </c>
      <c r="I177" s="3" t="n">
        <v>2913.5</v>
      </c>
      <c r="J177" s="3" t="n">
        <v>2812.75</v>
      </c>
      <c r="K177" s="3">
        <f>IF(H177="Long",J177-I177,IF(H177="Short",I177-J177,0))</f>
        <v/>
      </c>
      <c r="L177" s="4" t="n">
        <v>0</v>
      </c>
      <c r="M177" s="2" t="inlineStr">
        <is>
          <t>Win</t>
        </is>
      </c>
      <c r="N177" s="3">
        <f>N176+K177</f>
        <v/>
      </c>
    </row>
    <row r="178">
      <c r="A178" s="2" t="inlineStr">
        <is>
          <t>2019-08</t>
        </is>
      </c>
      <c r="B178" s="2" t="inlineStr">
        <is>
          <t>ESU9</t>
        </is>
      </c>
      <c r="C178" s="2" t="n">
        <v>3</v>
      </c>
      <c r="D178" s="2" t="n">
        <v>23</v>
      </c>
      <c r="E178" s="3" t="n">
        <v>3014.25</v>
      </c>
      <c r="F178" s="3" t="n">
        <v>2913.5</v>
      </c>
      <c r="G178" s="3">
        <f>E178-F178</f>
        <v/>
      </c>
      <c r="H178" s="2" t="inlineStr">
        <is>
          <t>Short</t>
        </is>
      </c>
      <c r="I178" s="3" t="n">
        <v>2913.5</v>
      </c>
      <c r="J178" s="3" t="n">
        <v>2812.75</v>
      </c>
      <c r="K178" s="3">
        <f>IF(H178="Long",J178-I178,IF(H178="Short",I178-J178,0))</f>
        <v/>
      </c>
      <c r="L178" s="4" t="n">
        <v>30.52</v>
      </c>
      <c r="M178" s="2" t="inlineStr">
        <is>
          <t>Win</t>
        </is>
      </c>
      <c r="N178" s="3">
        <f>N177+K178</f>
        <v/>
      </c>
    </row>
    <row r="179">
      <c r="A179" s="2" t="inlineStr">
        <is>
          <t>2019-09</t>
        </is>
      </c>
      <c r="B179" s="2" t="inlineStr">
        <is>
          <t>ESU9</t>
        </is>
      </c>
      <c r="C179" s="2" t="n">
        <v>3</v>
      </c>
      <c r="D179" s="2" t="n">
        <v>23</v>
      </c>
      <c r="E179" s="3" t="n">
        <v>2926.5</v>
      </c>
      <c r="F179" s="3" t="n">
        <v>2889</v>
      </c>
      <c r="G179" s="3">
        <f>E179-F179</f>
        <v/>
      </c>
      <c r="H179" s="2" t="inlineStr">
        <is>
          <t>Long</t>
        </is>
      </c>
      <c r="I179" s="3" t="n">
        <v>2926.5</v>
      </c>
      <c r="J179" s="3" t="n">
        <v>2964</v>
      </c>
      <c r="K179" s="3">
        <f>IF(H179="Long",J179-I179,IF(H179="Short",I179-J179,0))</f>
        <v/>
      </c>
      <c r="L179" s="4" t="n">
        <v>0</v>
      </c>
      <c r="M179" s="2" t="inlineStr">
        <is>
          <t>Win</t>
        </is>
      </c>
      <c r="N179" s="3">
        <f>N178+K179</f>
        <v/>
      </c>
    </row>
    <row r="180">
      <c r="A180" s="8" t="inlineStr">
        <is>
          <t>2019-10</t>
        </is>
      </c>
      <c r="B180" s="8" t="inlineStr">
        <is>
          <t>ESZ9</t>
        </is>
      </c>
      <c r="C180" s="8" t="n">
        <v>3</v>
      </c>
      <c r="D180" s="8" t="n">
        <v>24</v>
      </c>
      <c r="E180" s="9" t="n">
        <v>2994.5</v>
      </c>
      <c r="F180" s="9" t="n">
        <v>2855</v>
      </c>
      <c r="G180" s="9">
        <f>E180-F180</f>
        <v/>
      </c>
      <c r="H180" s="8" t="inlineStr">
        <is>
          <t>Long</t>
        </is>
      </c>
      <c r="I180" s="9" t="n">
        <v>2994.5</v>
      </c>
      <c r="J180" s="9" t="n">
        <v>3034.25</v>
      </c>
      <c r="K180" s="9">
        <f>IF(H180="Long",J180-I180,IF(H180="Short",I180-J180,0))</f>
        <v/>
      </c>
      <c r="L180" s="10" t="n">
        <v>13.98</v>
      </c>
      <c r="M180" s="8" t="inlineStr">
        <is>
          <t>Period-Close</t>
        </is>
      </c>
      <c r="N180" s="9">
        <f>N179+K180</f>
        <v/>
      </c>
    </row>
    <row r="181">
      <c r="A181" s="2" t="inlineStr">
        <is>
          <t>2019-11</t>
        </is>
      </c>
      <c r="B181" s="2" t="inlineStr">
        <is>
          <t>ESZ9</t>
        </is>
      </c>
      <c r="C181" s="2" t="n">
        <v>3</v>
      </c>
      <c r="D181" s="2" t="n">
        <v>22</v>
      </c>
      <c r="E181" s="3" t="n">
        <v>3085.75</v>
      </c>
      <c r="F181" s="3" t="n">
        <v>3034.25</v>
      </c>
      <c r="G181" s="3">
        <f>E181-F181</f>
        <v/>
      </c>
      <c r="H181" s="2" t="inlineStr">
        <is>
          <t>Long</t>
        </is>
      </c>
      <c r="I181" s="3" t="n">
        <v>3085.75</v>
      </c>
      <c r="J181" s="3" t="n">
        <v>3137.25</v>
      </c>
      <c r="K181" s="3">
        <f>IF(H181="Long",J181-I181,IF(H181="Short",I181-J181,0))</f>
        <v/>
      </c>
      <c r="L181" s="4" t="n">
        <v>25.73</v>
      </c>
      <c r="M181" s="2" t="inlineStr">
        <is>
          <t>Win</t>
        </is>
      </c>
      <c r="N181" s="3">
        <f>N180+K181</f>
        <v/>
      </c>
    </row>
    <row r="182">
      <c r="A182" s="2" t="inlineStr">
        <is>
          <t>2019-12</t>
        </is>
      </c>
      <c r="B182" s="2" t="inlineStr">
        <is>
          <t>ESZ9</t>
        </is>
      </c>
      <c r="C182" s="2" t="n">
        <v>3</v>
      </c>
      <c r="D182" s="2" t="n">
        <v>24</v>
      </c>
      <c r="E182" s="3" t="n">
        <v>3158</v>
      </c>
      <c r="F182" s="3" t="n">
        <v>3069.5</v>
      </c>
      <c r="G182" s="3">
        <f>E182-F182</f>
        <v/>
      </c>
      <c r="H182" s="2" t="inlineStr">
        <is>
          <t>Long</t>
        </is>
      </c>
      <c r="I182" s="3" t="n">
        <v>3158</v>
      </c>
      <c r="J182" s="3" t="n">
        <v>3246.5</v>
      </c>
      <c r="K182" s="3">
        <f>IF(H182="Long",J182-I182,IF(H182="Short",I182-J182,0))</f>
        <v/>
      </c>
      <c r="L182" s="4" t="n">
        <v>0</v>
      </c>
      <c r="M182" s="2" t="inlineStr">
        <is>
          <t>Win</t>
        </is>
      </c>
      <c r="N182" s="3">
        <f>N181+K182</f>
        <v/>
      </c>
    </row>
    <row r="183">
      <c r="A183" s="5" t="inlineStr">
        <is>
          <t>2020-01</t>
        </is>
      </c>
      <c r="B183" s="5" t="inlineStr">
        <is>
          <t>ESH0</t>
        </is>
      </c>
      <c r="C183" s="5" t="n">
        <v>3</v>
      </c>
      <c r="D183" s="5" t="n">
        <v>24</v>
      </c>
      <c r="E183" s="6" t="n">
        <v>3263.5</v>
      </c>
      <c r="F183" s="6" t="n">
        <v>3206.75</v>
      </c>
      <c r="G183" s="6">
        <f>E183-F183</f>
        <v/>
      </c>
      <c r="H183" s="5" t="inlineStr">
        <is>
          <t>Short</t>
        </is>
      </c>
      <c r="I183" s="6" t="n">
        <v>3206.75</v>
      </c>
      <c r="J183" s="6" t="n">
        <v>3263.5</v>
      </c>
      <c r="K183" s="6">
        <f>IF(H183="Long",J183-I183,IF(H183="Short",I183-J183,0))</f>
        <v/>
      </c>
      <c r="L183" s="7" t="n">
        <v>100</v>
      </c>
      <c r="M183" s="5" t="inlineStr">
        <is>
          <t>Loss</t>
        </is>
      </c>
      <c r="N183" s="6">
        <f>N182+K183</f>
        <v/>
      </c>
    </row>
    <row r="184">
      <c r="A184" s="2" t="inlineStr">
        <is>
          <t>2020-01</t>
        </is>
      </c>
      <c r="B184" s="2" t="inlineStr">
        <is>
          <t>ESH0</t>
        </is>
      </c>
      <c r="C184" s="2" t="n">
        <v>3</v>
      </c>
      <c r="D184" s="2" t="n">
        <v>24</v>
      </c>
      <c r="E184" s="3" t="n">
        <v>3263.5</v>
      </c>
      <c r="F184" s="3" t="n">
        <v>3206.75</v>
      </c>
      <c r="G184" s="3">
        <f>E184-F184</f>
        <v/>
      </c>
      <c r="H184" s="2" t="inlineStr">
        <is>
          <t>Long</t>
        </is>
      </c>
      <c r="I184" s="3" t="n">
        <v>3263.5</v>
      </c>
      <c r="J184" s="3" t="n">
        <v>3320.25</v>
      </c>
      <c r="K184" s="3">
        <f>IF(H184="Long",J184-I184,IF(H184="Short",I184-J184,0))</f>
        <v/>
      </c>
      <c r="L184" s="4" t="n">
        <v>4.85</v>
      </c>
      <c r="M184" s="2" t="inlineStr">
        <is>
          <t>Win</t>
        </is>
      </c>
      <c r="N184" s="3">
        <f>N183+K184</f>
        <v/>
      </c>
    </row>
    <row r="185">
      <c r="A185" s="2" t="inlineStr">
        <is>
          <t>2020-02</t>
        </is>
      </c>
      <c r="B185" s="2" t="inlineStr">
        <is>
          <t>ESH0</t>
        </is>
      </c>
      <c r="C185" s="2" t="n">
        <v>3</v>
      </c>
      <c r="D185" s="2" t="n">
        <v>21</v>
      </c>
      <c r="E185" s="3" t="n">
        <v>3305.25</v>
      </c>
      <c r="F185" s="3" t="n">
        <v>3222</v>
      </c>
      <c r="G185" s="3">
        <f>E185-F185</f>
        <v/>
      </c>
      <c r="H185" s="2" t="inlineStr">
        <is>
          <t>Long</t>
        </is>
      </c>
      <c r="I185" s="3" t="n">
        <v>3305.25</v>
      </c>
      <c r="J185" s="3" t="n">
        <v>3388.5</v>
      </c>
      <c r="K185" s="3">
        <f>IF(H185="Long",J185-I185,IF(H185="Short",I185-J185,0))</f>
        <v/>
      </c>
      <c r="L185" s="4" t="n">
        <v>2.1</v>
      </c>
      <c r="M185" s="2" t="inlineStr">
        <is>
          <t>Win</t>
        </is>
      </c>
      <c r="N185" s="3">
        <f>N184+K185</f>
        <v/>
      </c>
    </row>
    <row r="186">
      <c r="A186" s="5" t="inlineStr">
        <is>
          <t>2020-02</t>
        </is>
      </c>
      <c r="B186" s="5" t="inlineStr">
        <is>
          <t>ESH0</t>
        </is>
      </c>
      <c r="C186" s="5" t="n">
        <v>3</v>
      </c>
      <c r="D186" s="5" t="n">
        <v>21</v>
      </c>
      <c r="E186" s="6" t="n">
        <v>3305.25</v>
      </c>
      <c r="F186" s="6" t="n">
        <v>3222</v>
      </c>
      <c r="G186" s="6">
        <f>E186-F186</f>
        <v/>
      </c>
      <c r="H186" s="5" t="inlineStr">
        <is>
          <t>Long</t>
        </is>
      </c>
      <c r="I186" s="6" t="n">
        <v>3305.25</v>
      </c>
      <c r="J186" s="6" t="n">
        <v>3222</v>
      </c>
      <c r="K186" s="6">
        <f>IF(H186="Long",J186-I186,IF(H186="Short",I186-J186,0))</f>
        <v/>
      </c>
      <c r="L186" s="7" t="n">
        <v>100</v>
      </c>
      <c r="M186" s="5" t="inlineStr">
        <is>
          <t>Loss</t>
        </is>
      </c>
      <c r="N186" s="6">
        <f>N185+K186</f>
        <v/>
      </c>
    </row>
    <row r="187">
      <c r="A187" s="2" t="inlineStr">
        <is>
          <t>2020-03</t>
        </is>
      </c>
      <c r="B187" s="2" t="inlineStr">
        <is>
          <t>ESH0</t>
        </is>
      </c>
      <c r="C187" s="2" t="n">
        <v>3</v>
      </c>
      <c r="D187" s="2" t="n">
        <v>24</v>
      </c>
      <c r="E187" s="3" t="n">
        <v>3137</v>
      </c>
      <c r="F187" s="3" t="n">
        <v>2889.25</v>
      </c>
      <c r="G187" s="3">
        <f>E187-F187</f>
        <v/>
      </c>
      <c r="H187" s="2" t="inlineStr">
        <is>
          <t>Short</t>
        </is>
      </c>
      <c r="I187" s="3" t="n">
        <v>2889.25</v>
      </c>
      <c r="J187" s="3" t="n">
        <v>2641.5</v>
      </c>
      <c r="K187" s="3">
        <f>IF(H187="Long",J187-I187,IF(H187="Short",I187-J187,0))</f>
        <v/>
      </c>
      <c r="L187" s="4" t="n">
        <v>0</v>
      </c>
      <c r="M187" s="2" t="inlineStr">
        <is>
          <t>Win</t>
        </is>
      </c>
      <c r="N187" s="3">
        <f>N186+K187</f>
        <v/>
      </c>
    </row>
    <row r="188">
      <c r="A188" s="2" t="inlineStr">
        <is>
          <t>2020-04</t>
        </is>
      </c>
      <c r="B188" s="2" t="inlineStr">
        <is>
          <t>ESM0</t>
        </is>
      </c>
      <c r="C188" s="2" t="n">
        <v>3</v>
      </c>
      <c r="D188" s="2" t="n">
        <v>22</v>
      </c>
      <c r="E188" s="3" t="n">
        <v>2547.25</v>
      </c>
      <c r="F188" s="3" t="n">
        <v>2424.75</v>
      </c>
      <c r="G188" s="3">
        <f>E188-F188</f>
        <v/>
      </c>
      <c r="H188" s="2" t="inlineStr">
        <is>
          <t>Long</t>
        </is>
      </c>
      <c r="I188" s="3" t="n">
        <v>2547.25</v>
      </c>
      <c r="J188" s="3" t="n">
        <v>2669.75</v>
      </c>
      <c r="K188" s="3">
        <f>IF(H188="Long",J188-I188,IF(H188="Short",I188-J188,0))</f>
        <v/>
      </c>
      <c r="L188" s="4" t="n">
        <v>0</v>
      </c>
      <c r="M188" s="2" t="inlineStr">
        <is>
          <t>Win</t>
        </is>
      </c>
      <c r="N188" s="3">
        <f>N187+K188</f>
        <v/>
      </c>
    </row>
    <row r="189">
      <c r="A189" s="5" t="inlineStr">
        <is>
          <t>2020-05</t>
        </is>
      </c>
      <c r="B189" s="5" t="inlineStr">
        <is>
          <t>ESM0</t>
        </is>
      </c>
      <c r="C189" s="5" t="n">
        <v>3</v>
      </c>
      <c r="D189" s="5" t="n">
        <v>23</v>
      </c>
      <c r="E189" s="6" t="n">
        <v>2879.75</v>
      </c>
      <c r="F189" s="6" t="n">
        <v>2771</v>
      </c>
      <c r="G189" s="6">
        <f>E189-F189</f>
        <v/>
      </c>
      <c r="H189" s="5" t="inlineStr">
        <is>
          <t>Long</t>
        </is>
      </c>
      <c r="I189" s="6" t="n">
        <v>2879.75</v>
      </c>
      <c r="J189" s="6" t="n">
        <v>2771</v>
      </c>
      <c r="K189" s="6">
        <f>IF(H189="Long",J189-I189,IF(H189="Short",I189-J189,0))</f>
        <v/>
      </c>
      <c r="L189" s="7" t="n">
        <v>100</v>
      </c>
      <c r="M189" s="5" t="inlineStr">
        <is>
          <t>Loss</t>
        </is>
      </c>
      <c r="N189" s="6">
        <f>N188+K189</f>
        <v/>
      </c>
    </row>
    <row r="190">
      <c r="A190" s="2" t="inlineStr">
        <is>
          <t>2020-05</t>
        </is>
      </c>
      <c r="B190" s="2" t="inlineStr">
        <is>
          <t>ESM0</t>
        </is>
      </c>
      <c r="C190" s="2" t="n">
        <v>3</v>
      </c>
      <c r="D190" s="2" t="n">
        <v>23</v>
      </c>
      <c r="E190" s="3" t="n">
        <v>2879.75</v>
      </c>
      <c r="F190" s="3" t="n">
        <v>2771</v>
      </c>
      <c r="G190" s="3">
        <f>E190-F190</f>
        <v/>
      </c>
      <c r="H190" s="2" t="inlineStr">
        <is>
          <t>Long</t>
        </is>
      </c>
      <c r="I190" s="3" t="n">
        <v>2879.75</v>
      </c>
      <c r="J190" s="3" t="n">
        <v>2988.5</v>
      </c>
      <c r="K190" s="3">
        <f>IF(H190="Long",J190-I190,IF(H190="Short",I190-J190,0))</f>
        <v/>
      </c>
      <c r="L190" s="4" t="n">
        <v>0</v>
      </c>
      <c r="M190" s="2" t="inlineStr">
        <is>
          <t>Win</t>
        </is>
      </c>
      <c r="N190" s="3">
        <f>N189+K190</f>
        <v/>
      </c>
    </row>
    <row r="191">
      <c r="A191" s="5" t="inlineStr">
        <is>
          <t>2020-06</t>
        </is>
      </c>
      <c r="B191" s="5" t="inlineStr">
        <is>
          <t>ESM0</t>
        </is>
      </c>
      <c r="C191" s="5" t="n">
        <v>3</v>
      </c>
      <c r="D191" s="5" t="n">
        <v>23</v>
      </c>
      <c r="E191" s="6" t="n">
        <v>3129.5</v>
      </c>
      <c r="F191" s="6" t="n">
        <v>3020.5</v>
      </c>
      <c r="G191" s="6">
        <f>E191-F191</f>
        <v/>
      </c>
      <c r="H191" s="5" t="inlineStr">
        <is>
          <t>Long</t>
        </is>
      </c>
      <c r="I191" s="6" t="n">
        <v>3129.5</v>
      </c>
      <c r="J191" s="6" t="n">
        <v>3020.5</v>
      </c>
      <c r="K191" s="6">
        <f>IF(H191="Long",J191-I191,IF(H191="Short",I191-J191,0))</f>
        <v/>
      </c>
      <c r="L191" s="7" t="n">
        <v>100</v>
      </c>
      <c r="M191" s="5" t="inlineStr">
        <is>
          <t>Loss</t>
        </is>
      </c>
      <c r="N191" s="6">
        <f>N190+K191</f>
        <v/>
      </c>
    </row>
    <row r="192">
      <c r="A192" s="5" t="inlineStr">
        <is>
          <t>2020-06</t>
        </is>
      </c>
      <c r="B192" s="5" t="inlineStr">
        <is>
          <t>ESM0</t>
        </is>
      </c>
      <c r="C192" s="5" t="n">
        <v>3</v>
      </c>
      <c r="D192" s="5" t="n">
        <v>23</v>
      </c>
      <c r="E192" s="6" t="n">
        <v>3129.5</v>
      </c>
      <c r="F192" s="6" t="n">
        <v>3020.5</v>
      </c>
      <c r="G192" s="6">
        <f>E192-F192</f>
        <v/>
      </c>
      <c r="H192" s="5" t="inlineStr">
        <is>
          <t>Short</t>
        </is>
      </c>
      <c r="I192" s="6" t="n">
        <v>3020.5</v>
      </c>
      <c r="J192" s="6" t="n">
        <v>3129.5</v>
      </c>
      <c r="K192" s="6">
        <f>IF(H192="Long",J192-I192,IF(H192="Short",I192-J192,0))</f>
        <v/>
      </c>
      <c r="L192" s="7" t="n">
        <v>100</v>
      </c>
      <c r="M192" s="5" t="inlineStr">
        <is>
          <t>Loss</t>
        </is>
      </c>
      <c r="N192" s="6">
        <f>N191+K192</f>
        <v/>
      </c>
    </row>
    <row r="193">
      <c r="A193" s="2" t="inlineStr">
        <is>
          <t>2020-07</t>
        </is>
      </c>
      <c r="B193" s="2" t="inlineStr">
        <is>
          <t>ESU0</t>
        </is>
      </c>
      <c r="C193" s="2" t="n">
        <v>3</v>
      </c>
      <c r="D193" s="2" t="n">
        <v>24</v>
      </c>
      <c r="E193" s="3" t="n">
        <v>3156.5</v>
      </c>
      <c r="F193" s="3" t="n">
        <v>3062.75</v>
      </c>
      <c r="G193" s="3">
        <f>E193-F193</f>
        <v/>
      </c>
      <c r="H193" s="2" t="inlineStr">
        <is>
          <t>Long</t>
        </is>
      </c>
      <c r="I193" s="3" t="n">
        <v>3156.5</v>
      </c>
      <c r="J193" s="3" t="n">
        <v>3250.25</v>
      </c>
      <c r="K193" s="3">
        <f>IF(H193="Long",J193-I193,IF(H193="Short",I193-J193,0))</f>
        <v/>
      </c>
      <c r="L193" s="4" t="n">
        <v>54.67</v>
      </c>
      <c r="M193" s="2" t="inlineStr">
        <is>
          <t>Win</t>
        </is>
      </c>
      <c r="N193" s="3">
        <f>N192+K193</f>
        <v/>
      </c>
    </row>
    <row r="194">
      <c r="A194" s="2" t="inlineStr">
        <is>
          <t>2020-08</t>
        </is>
      </c>
      <c r="B194" s="2" t="inlineStr">
        <is>
          <t>ESU0</t>
        </is>
      </c>
      <c r="C194" s="2" t="n">
        <v>3</v>
      </c>
      <c r="D194" s="2" t="n">
        <v>23</v>
      </c>
      <c r="E194" s="3" t="n">
        <v>3300.75</v>
      </c>
      <c r="F194" s="3" t="n">
        <v>3254.75</v>
      </c>
      <c r="G194" s="3">
        <f>E194-F194</f>
        <v/>
      </c>
      <c r="H194" s="2" t="inlineStr">
        <is>
          <t>Long</t>
        </is>
      </c>
      <c r="I194" s="3" t="n">
        <v>3300.75</v>
      </c>
      <c r="J194" s="3" t="n">
        <v>3346.75</v>
      </c>
      <c r="K194" s="3">
        <f>IF(H194="Long",J194-I194,IF(H194="Short",I194-J194,0))</f>
        <v/>
      </c>
      <c r="L194" s="4" t="n">
        <v>0.54</v>
      </c>
      <c r="M194" s="2" t="inlineStr">
        <is>
          <t>Win</t>
        </is>
      </c>
      <c r="N194" s="3">
        <f>N193+K194</f>
        <v/>
      </c>
    </row>
    <row r="195">
      <c r="A195" s="2" t="inlineStr">
        <is>
          <t>2020-09</t>
        </is>
      </c>
      <c r="B195" s="2" t="inlineStr">
        <is>
          <t>ESU0</t>
        </is>
      </c>
      <c r="C195" s="2" t="n">
        <v>3</v>
      </c>
      <c r="D195" s="2" t="n">
        <v>23</v>
      </c>
      <c r="E195" s="3" t="n">
        <v>3587</v>
      </c>
      <c r="F195" s="3" t="n">
        <v>3424.5</v>
      </c>
      <c r="G195" s="3">
        <f>E195-F195</f>
        <v/>
      </c>
      <c r="H195" s="2" t="inlineStr">
        <is>
          <t>Short</t>
        </is>
      </c>
      <c r="I195" s="3" t="n">
        <v>3424.5</v>
      </c>
      <c r="J195" s="3" t="n">
        <v>3262</v>
      </c>
      <c r="K195" s="3">
        <f>IF(H195="Long",J195-I195,IF(H195="Short",I195-J195,0))</f>
        <v/>
      </c>
      <c r="L195" s="4" t="n">
        <v>13.85</v>
      </c>
      <c r="M195" s="2" t="inlineStr">
        <is>
          <t>Win</t>
        </is>
      </c>
      <c r="N195" s="3">
        <f>N194+K195</f>
        <v/>
      </c>
    </row>
    <row r="196">
      <c r="A196" s="2" t="inlineStr">
        <is>
          <t>2020-10</t>
        </is>
      </c>
      <c r="B196" s="2" t="inlineStr">
        <is>
          <t>ESZ0</t>
        </is>
      </c>
      <c r="C196" s="2" t="n">
        <v>3</v>
      </c>
      <c r="D196" s="2" t="n">
        <v>23</v>
      </c>
      <c r="E196" s="3" t="n">
        <v>3388</v>
      </c>
      <c r="F196" s="3" t="n">
        <v>3300.25</v>
      </c>
      <c r="G196" s="3">
        <f>E196-F196</f>
        <v/>
      </c>
      <c r="H196" s="2" t="inlineStr">
        <is>
          <t>Long</t>
        </is>
      </c>
      <c r="I196" s="3" t="n">
        <v>3388</v>
      </c>
      <c r="J196" s="3" t="n">
        <v>3475.75</v>
      </c>
      <c r="K196" s="3">
        <f>IF(H196="Long",J196-I196,IF(H196="Short",I196-J196,0))</f>
        <v/>
      </c>
      <c r="L196" s="4" t="n">
        <v>65.53</v>
      </c>
      <c r="M196" s="2" t="inlineStr">
        <is>
          <t>Win</t>
        </is>
      </c>
      <c r="N196" s="3">
        <f>N195+K196</f>
        <v/>
      </c>
    </row>
    <row r="197">
      <c r="A197" s="5" t="inlineStr">
        <is>
          <t>2020-10</t>
        </is>
      </c>
      <c r="B197" s="5" t="inlineStr">
        <is>
          <t>ESZ0</t>
        </is>
      </c>
      <c r="C197" s="5" t="n">
        <v>3</v>
      </c>
      <c r="D197" s="5" t="n">
        <v>23</v>
      </c>
      <c r="E197" s="6" t="n">
        <v>3388</v>
      </c>
      <c r="F197" s="6" t="n">
        <v>3300.25</v>
      </c>
      <c r="G197" s="6">
        <f>E197-F197</f>
        <v/>
      </c>
      <c r="H197" s="5" t="inlineStr">
        <is>
          <t>Long</t>
        </is>
      </c>
      <c r="I197" s="6" t="n">
        <v>3388</v>
      </c>
      <c r="J197" s="6" t="n">
        <v>3300.25</v>
      </c>
      <c r="K197" s="6">
        <f>IF(H197="Long",J197-I197,IF(H197="Short",I197-J197,0))</f>
        <v/>
      </c>
      <c r="L197" s="7" t="n">
        <v>100</v>
      </c>
      <c r="M197" s="5" t="inlineStr">
        <is>
          <t>Loss</t>
        </is>
      </c>
      <c r="N197" s="6">
        <f>N196+K197</f>
        <v/>
      </c>
    </row>
    <row r="198">
      <c r="A198" s="2" t="inlineStr">
        <is>
          <t>2020-11</t>
        </is>
      </c>
      <c r="B198" s="2" t="inlineStr">
        <is>
          <t>ESZ0</t>
        </is>
      </c>
      <c r="C198" s="2" t="n">
        <v>3</v>
      </c>
      <c r="D198" s="2" t="n">
        <v>23</v>
      </c>
      <c r="E198" s="3" t="n">
        <v>3395</v>
      </c>
      <c r="F198" s="3" t="n">
        <v>3243.25</v>
      </c>
      <c r="G198" s="3">
        <f>E198-F198</f>
        <v/>
      </c>
      <c r="H198" s="2" t="inlineStr">
        <is>
          <t>Long</t>
        </is>
      </c>
      <c r="I198" s="3" t="n">
        <v>3395</v>
      </c>
      <c r="J198" s="3" t="n">
        <v>3546.75</v>
      </c>
      <c r="K198" s="3">
        <f>IF(H198="Long",J198-I198,IF(H198="Short",I198-J198,0))</f>
        <v/>
      </c>
      <c r="L198" s="4" t="n">
        <v>0</v>
      </c>
      <c r="M198" s="2" t="inlineStr">
        <is>
          <t>Win</t>
        </is>
      </c>
      <c r="N198" s="3">
        <f>N197+K198</f>
        <v/>
      </c>
    </row>
    <row r="199">
      <c r="A199" s="5" t="inlineStr">
        <is>
          <t>2020-12</t>
        </is>
      </c>
      <c r="B199" s="5" t="inlineStr">
        <is>
          <t>ESZ0</t>
        </is>
      </c>
      <c r="C199" s="5" t="n">
        <v>3</v>
      </c>
      <c r="D199" s="5" t="n">
        <v>23</v>
      </c>
      <c r="E199" s="6" t="n">
        <v>3682</v>
      </c>
      <c r="F199" s="6" t="n">
        <v>3637.75</v>
      </c>
      <c r="G199" s="6">
        <f>E199-F199</f>
        <v/>
      </c>
      <c r="H199" s="5" t="inlineStr">
        <is>
          <t>Long</t>
        </is>
      </c>
      <c r="I199" s="6" t="n">
        <v>3682</v>
      </c>
      <c r="J199" s="6" t="n">
        <v>3637.75</v>
      </c>
      <c r="K199" s="6">
        <f>IF(H199="Long",J199-I199,IF(H199="Short",I199-J199,0))</f>
        <v/>
      </c>
      <c r="L199" s="7" t="n">
        <v>100</v>
      </c>
      <c r="M199" s="5" t="inlineStr">
        <is>
          <t>Loss</t>
        </is>
      </c>
      <c r="N199" s="6">
        <f>N198+K199</f>
        <v/>
      </c>
    </row>
    <row r="200">
      <c r="A200" s="5" t="inlineStr">
        <is>
          <t>2020-12</t>
        </is>
      </c>
      <c r="B200" s="5" t="inlineStr">
        <is>
          <t>ESZ0</t>
        </is>
      </c>
      <c r="C200" s="5" t="n">
        <v>3</v>
      </c>
      <c r="D200" s="5" t="n">
        <v>23</v>
      </c>
      <c r="E200" s="6" t="n">
        <v>3682</v>
      </c>
      <c r="F200" s="6" t="n">
        <v>3637.75</v>
      </c>
      <c r="G200" s="6">
        <f>E200-F200</f>
        <v/>
      </c>
      <c r="H200" s="5" t="inlineStr">
        <is>
          <t>Long</t>
        </is>
      </c>
      <c r="I200" s="6" t="n">
        <v>3682</v>
      </c>
      <c r="J200" s="6" t="n">
        <v>3637.75</v>
      </c>
      <c r="K200" s="6">
        <f>IF(H200="Long",J200-I200,IF(H200="Short",I200-J200,0))</f>
        <v/>
      </c>
      <c r="L200" s="7" t="n">
        <v>100</v>
      </c>
      <c r="M200" s="5" t="inlineStr">
        <is>
          <t>Loss</t>
        </is>
      </c>
      <c r="N200" s="6">
        <f>N199+K200</f>
        <v/>
      </c>
    </row>
    <row r="201">
      <c r="A201" s="8" t="inlineStr">
        <is>
          <t>2021-01</t>
        </is>
      </c>
      <c r="B201" s="8" t="inlineStr">
        <is>
          <t>ESH1</t>
        </is>
      </c>
      <c r="C201" s="8" t="n">
        <v>3</v>
      </c>
      <c r="D201" s="8" t="n">
        <v>22</v>
      </c>
      <c r="E201" s="9" t="n">
        <v>3773.25</v>
      </c>
      <c r="F201" s="9" t="n">
        <v>3652.5</v>
      </c>
      <c r="G201" s="9">
        <f>E201-F201</f>
        <v/>
      </c>
      <c r="H201" s="8" t="inlineStr">
        <is>
          <t>Long</t>
        </is>
      </c>
      <c r="I201" s="9" t="n">
        <v>3773.25</v>
      </c>
      <c r="J201" s="9" t="n">
        <v>3677.25</v>
      </c>
      <c r="K201" s="9">
        <f>IF(H201="Long",J201-I201,IF(H201="Short",I201-J201,0))</f>
        <v/>
      </c>
      <c r="L201" s="10" t="n">
        <v>96.69</v>
      </c>
      <c r="M201" s="8" t="inlineStr">
        <is>
          <t>Period-Close</t>
        </is>
      </c>
      <c r="N201" s="9">
        <f>N200+K201</f>
        <v/>
      </c>
    </row>
    <row r="202">
      <c r="A202" s="8" t="inlineStr">
        <is>
          <t>2021-02</t>
        </is>
      </c>
      <c r="B202" s="8" t="inlineStr">
        <is>
          <t>ESH1</t>
        </is>
      </c>
      <c r="C202" s="8" t="n">
        <v>3</v>
      </c>
      <c r="D202" s="8" t="n">
        <v>21</v>
      </c>
      <c r="E202" s="9" t="n">
        <v>3843.5</v>
      </c>
      <c r="F202" s="9" t="n">
        <v>3676.25</v>
      </c>
      <c r="G202" s="9">
        <f>E202-F202</f>
        <v/>
      </c>
      <c r="H202" s="8" t="inlineStr">
        <is>
          <t>Long</t>
        </is>
      </c>
      <c r="I202" s="9" t="n">
        <v>3843.5</v>
      </c>
      <c r="J202" s="9" t="n">
        <v>3836.25</v>
      </c>
      <c r="K202" s="9">
        <f>IF(H202="Long",J202-I202,IF(H202="Short",I202-J202,0))</f>
        <v/>
      </c>
      <c r="L202" s="10" t="n">
        <v>34.98</v>
      </c>
      <c r="M202" s="8" t="inlineStr">
        <is>
          <t>Period-Close</t>
        </is>
      </c>
      <c r="N202" s="9">
        <f>N201+K202</f>
        <v/>
      </c>
    </row>
    <row r="203">
      <c r="A203" s="5" t="inlineStr">
        <is>
          <t>2021-03</t>
        </is>
      </c>
      <c r="B203" s="5" t="inlineStr">
        <is>
          <t>ESH1</t>
        </is>
      </c>
      <c r="C203" s="5" t="n">
        <v>3</v>
      </c>
      <c r="D203" s="5" t="n">
        <v>24</v>
      </c>
      <c r="E203" s="6" t="n">
        <v>3912</v>
      </c>
      <c r="F203" s="6" t="n">
        <v>3795.25</v>
      </c>
      <c r="G203" s="6">
        <f>E203-F203</f>
        <v/>
      </c>
      <c r="H203" s="5" t="inlineStr">
        <is>
          <t>Short</t>
        </is>
      </c>
      <c r="I203" s="6" t="n">
        <v>3795.25</v>
      </c>
      <c r="J203" s="6" t="n">
        <v>3912</v>
      </c>
      <c r="K203" s="6">
        <f>IF(H203="Long",J203-I203,IF(H203="Short",I203-J203,0))</f>
        <v/>
      </c>
      <c r="L203" s="7" t="n">
        <v>100</v>
      </c>
      <c r="M203" s="5" t="inlineStr">
        <is>
          <t>Loss</t>
        </is>
      </c>
      <c r="N203" s="6">
        <f>N202+K203</f>
        <v/>
      </c>
    </row>
    <row r="204">
      <c r="A204" s="8" t="inlineStr">
        <is>
          <t>2021-03</t>
        </is>
      </c>
      <c r="B204" s="8" t="inlineStr">
        <is>
          <t>ESH1</t>
        </is>
      </c>
      <c r="C204" s="8" t="n">
        <v>3</v>
      </c>
      <c r="D204" s="8" t="n">
        <v>24</v>
      </c>
      <c r="E204" s="9" t="n">
        <v>3912</v>
      </c>
      <c r="F204" s="9" t="n">
        <v>3795.25</v>
      </c>
      <c r="G204" s="9">
        <f>E204-F204</f>
        <v/>
      </c>
      <c r="H204" s="8" t="inlineStr">
        <is>
          <t>Long</t>
        </is>
      </c>
      <c r="I204" s="9" t="n">
        <v>3912</v>
      </c>
      <c r="J204" s="9" t="n">
        <v>3970.75</v>
      </c>
      <c r="K204" s="9">
        <f>IF(H204="Long",J204-I204,IF(H204="Short",I204-J204,0))</f>
        <v/>
      </c>
      <c r="L204" s="10" t="n">
        <v>58.89</v>
      </c>
      <c r="M204" s="8" t="inlineStr">
        <is>
          <t>Period-Close</t>
        </is>
      </c>
      <c r="N204" s="9">
        <f>N203+K204</f>
        <v/>
      </c>
    </row>
    <row r="205">
      <c r="A205" s="2" t="inlineStr">
        <is>
          <t>2021-04</t>
        </is>
      </c>
      <c r="B205" s="2" t="inlineStr">
        <is>
          <t>ESM1</t>
        </is>
      </c>
      <c r="C205" s="2" t="n">
        <v>3</v>
      </c>
      <c r="D205" s="2" t="n">
        <v>23</v>
      </c>
      <c r="E205" s="3" t="n">
        <v>4038</v>
      </c>
      <c r="F205" s="3" t="n">
        <v>3964.5</v>
      </c>
      <c r="G205" s="3">
        <f>E205-F205</f>
        <v/>
      </c>
      <c r="H205" s="2" t="inlineStr">
        <is>
          <t>Long</t>
        </is>
      </c>
      <c r="I205" s="3" t="n">
        <v>4038</v>
      </c>
      <c r="J205" s="3" t="n">
        <v>4111.5</v>
      </c>
      <c r="K205" s="3">
        <f>IF(H205="Long",J205-I205,IF(H205="Short",I205-J205,0))</f>
        <v/>
      </c>
      <c r="L205" s="4" t="n">
        <v>0</v>
      </c>
      <c r="M205" s="2" t="inlineStr">
        <is>
          <t>Win</t>
        </is>
      </c>
      <c r="N205" s="3">
        <f>N204+K205</f>
        <v/>
      </c>
    </row>
    <row r="206">
      <c r="A206" s="5" t="inlineStr">
        <is>
          <t>2021-05</t>
        </is>
      </c>
      <c r="B206" s="5" t="inlineStr">
        <is>
          <t>ESM1</t>
        </is>
      </c>
      <c r="C206" s="5" t="n">
        <v>3</v>
      </c>
      <c r="D206" s="5" t="n">
        <v>23</v>
      </c>
      <c r="E206" s="6" t="n">
        <v>4202.5</v>
      </c>
      <c r="F206" s="6" t="n">
        <v>4120.5</v>
      </c>
      <c r="G206" s="6">
        <f>E206-F206</f>
        <v/>
      </c>
      <c r="H206" s="5" t="inlineStr">
        <is>
          <t>Long</t>
        </is>
      </c>
      <c r="I206" s="6" t="n">
        <v>4202.5</v>
      </c>
      <c r="J206" s="6" t="n">
        <v>4120.5</v>
      </c>
      <c r="K206" s="6">
        <f>IF(H206="Long",J206-I206,IF(H206="Short",I206-J206,0))</f>
        <v/>
      </c>
      <c r="L206" s="7" t="n">
        <v>100</v>
      </c>
      <c r="M206" s="5" t="inlineStr">
        <is>
          <t>Loss</t>
        </is>
      </c>
      <c r="N206" s="6">
        <f>N205+K206</f>
        <v/>
      </c>
    </row>
    <row r="207">
      <c r="A207" s="2" t="inlineStr">
        <is>
          <t>2021-05</t>
        </is>
      </c>
      <c r="B207" s="2" t="inlineStr">
        <is>
          <t>ESM1</t>
        </is>
      </c>
      <c r="C207" s="2" t="n">
        <v>3</v>
      </c>
      <c r="D207" s="2" t="n">
        <v>23</v>
      </c>
      <c r="E207" s="3" t="n">
        <v>4202.5</v>
      </c>
      <c r="F207" s="3" t="n">
        <v>4120.5</v>
      </c>
      <c r="G207" s="3">
        <f>E207-F207</f>
        <v/>
      </c>
      <c r="H207" s="2" t="inlineStr">
        <is>
          <t>Short</t>
        </is>
      </c>
      <c r="I207" s="3" t="n">
        <v>4120.5</v>
      </c>
      <c r="J207" s="3" t="n">
        <v>4038.5</v>
      </c>
      <c r="K207" s="3">
        <f>IF(H207="Long",J207-I207,IF(H207="Short",I207-J207,0))</f>
        <v/>
      </c>
      <c r="L207" s="4" t="n">
        <v>7.62</v>
      </c>
      <c r="M207" s="2" t="inlineStr">
        <is>
          <t>Win</t>
        </is>
      </c>
      <c r="N207" s="3">
        <f>N206+K207</f>
        <v/>
      </c>
    </row>
    <row r="208">
      <c r="A208" s="5" t="inlineStr">
        <is>
          <t>2021-06</t>
        </is>
      </c>
      <c r="B208" s="5" t="inlineStr">
        <is>
          <t>ESM1</t>
        </is>
      </c>
      <c r="C208" s="5" t="n">
        <v>3</v>
      </c>
      <c r="D208" s="5" t="n">
        <v>23</v>
      </c>
      <c r="E208" s="6" t="n">
        <v>4230</v>
      </c>
      <c r="F208" s="6" t="n">
        <v>4165.25</v>
      </c>
      <c r="G208" s="6">
        <f>E208-F208</f>
        <v/>
      </c>
      <c r="H208" s="5" t="inlineStr">
        <is>
          <t>Long</t>
        </is>
      </c>
      <c r="I208" s="6" t="n">
        <v>4230</v>
      </c>
      <c r="J208" s="6" t="n">
        <v>4165.25</v>
      </c>
      <c r="K208" s="6">
        <f>IF(H208="Long",J208-I208,IF(H208="Short",I208-J208,0))</f>
        <v/>
      </c>
      <c r="L208" s="7" t="n">
        <v>100</v>
      </c>
      <c r="M208" s="5" t="inlineStr">
        <is>
          <t>Loss</t>
        </is>
      </c>
      <c r="N208" s="6">
        <f>N207+K208</f>
        <v/>
      </c>
    </row>
    <row r="209">
      <c r="A209" s="5" t="inlineStr">
        <is>
          <t>2021-06</t>
        </is>
      </c>
      <c r="B209" s="5" t="inlineStr">
        <is>
          <t>ESM1</t>
        </is>
      </c>
      <c r="C209" s="5" t="n">
        <v>3</v>
      </c>
      <c r="D209" s="5" t="n">
        <v>23</v>
      </c>
      <c r="E209" s="6" t="n">
        <v>4230</v>
      </c>
      <c r="F209" s="6" t="n">
        <v>4165.25</v>
      </c>
      <c r="G209" s="6">
        <f>E209-F209</f>
        <v/>
      </c>
      <c r="H209" s="5" t="inlineStr">
        <is>
          <t>Short</t>
        </is>
      </c>
      <c r="I209" s="6" t="n">
        <v>4165.25</v>
      </c>
      <c r="J209" s="6" t="n">
        <v>4230</v>
      </c>
      <c r="K209" s="6">
        <f>IF(H209="Long",J209-I209,IF(H209="Short",I209-J209,0))</f>
        <v/>
      </c>
      <c r="L209" s="7" t="n">
        <v>100</v>
      </c>
      <c r="M209" s="5" t="inlineStr">
        <is>
          <t>Loss</t>
        </is>
      </c>
      <c r="N209" s="6">
        <f>N208+K209</f>
        <v/>
      </c>
    </row>
    <row r="210">
      <c r="A210" s="5" t="inlineStr">
        <is>
          <t>2021-07</t>
        </is>
      </c>
      <c r="B210" s="5" t="inlineStr">
        <is>
          <t>ESU1</t>
        </is>
      </c>
      <c r="C210" s="5" t="n">
        <v>3</v>
      </c>
      <c r="D210" s="5" t="n">
        <v>23</v>
      </c>
      <c r="E210" s="6" t="n">
        <v>4347</v>
      </c>
      <c r="F210" s="6" t="n">
        <v>4286</v>
      </c>
      <c r="G210" s="6">
        <f>E210-F210</f>
        <v/>
      </c>
      <c r="H210" s="5" t="inlineStr">
        <is>
          <t>Long</t>
        </is>
      </c>
      <c r="I210" s="6" t="n">
        <v>4347</v>
      </c>
      <c r="J210" s="6" t="n">
        <v>4286</v>
      </c>
      <c r="K210" s="6">
        <f>IF(H210="Long",J210-I210,IF(H210="Short",I210-J210,0))</f>
        <v/>
      </c>
      <c r="L210" s="7" t="n">
        <v>100</v>
      </c>
      <c r="M210" s="5" t="inlineStr">
        <is>
          <t>Loss</t>
        </is>
      </c>
      <c r="N210" s="6">
        <f>N209+K210</f>
        <v/>
      </c>
    </row>
    <row r="211">
      <c r="A211" s="5" t="inlineStr">
        <is>
          <t>2021-07</t>
        </is>
      </c>
      <c r="B211" s="5" t="inlineStr">
        <is>
          <t>ESU1</t>
        </is>
      </c>
      <c r="C211" s="5" t="n">
        <v>3</v>
      </c>
      <c r="D211" s="5" t="n">
        <v>23</v>
      </c>
      <c r="E211" s="6" t="n">
        <v>4347</v>
      </c>
      <c r="F211" s="6" t="n">
        <v>4286</v>
      </c>
      <c r="G211" s="6">
        <f>E211-F211</f>
        <v/>
      </c>
      <c r="H211" s="5" t="inlineStr">
        <is>
          <t>Long</t>
        </is>
      </c>
      <c r="I211" s="6" t="n">
        <v>4347</v>
      </c>
      <c r="J211" s="6" t="n">
        <v>4286</v>
      </c>
      <c r="K211" s="6">
        <f>IF(H211="Long",J211-I211,IF(H211="Short",I211-J211,0))</f>
        <v/>
      </c>
      <c r="L211" s="7" t="n">
        <v>100</v>
      </c>
      <c r="M211" s="5" t="inlineStr">
        <is>
          <t>Loss</t>
        </is>
      </c>
      <c r="N211" s="6">
        <f>N210+K211</f>
        <v/>
      </c>
    </row>
    <row r="212">
      <c r="A212" s="2" t="inlineStr">
        <is>
          <t>2021-08</t>
        </is>
      </c>
      <c r="B212" s="2" t="inlineStr">
        <is>
          <t>ESU1</t>
        </is>
      </c>
      <c r="C212" s="2" t="n">
        <v>3</v>
      </c>
      <c r="D212" s="2" t="n">
        <v>24</v>
      </c>
      <c r="E212" s="3" t="n">
        <v>4419.75</v>
      </c>
      <c r="F212" s="3" t="n">
        <v>4365.25</v>
      </c>
      <c r="G212" s="3">
        <f>E212-F212</f>
        <v/>
      </c>
      <c r="H212" s="2" t="inlineStr">
        <is>
          <t>Long</t>
        </is>
      </c>
      <c r="I212" s="3" t="n">
        <v>4419.75</v>
      </c>
      <c r="J212" s="3" t="n">
        <v>4474.25</v>
      </c>
      <c r="K212" s="3">
        <f>IF(H212="Long",J212-I212,IF(H212="Short",I212-J212,0))</f>
        <v/>
      </c>
      <c r="L212" s="4" t="n">
        <v>13.76</v>
      </c>
      <c r="M212" s="2" t="inlineStr">
        <is>
          <t>Win</t>
        </is>
      </c>
      <c r="N212" s="3">
        <f>N211+K212</f>
        <v/>
      </c>
    </row>
    <row r="213">
      <c r="A213" s="5" t="inlineStr">
        <is>
          <t>2021-08</t>
        </is>
      </c>
      <c r="B213" s="5" t="inlineStr">
        <is>
          <t>ESU1</t>
        </is>
      </c>
      <c r="C213" s="5" t="n">
        <v>3</v>
      </c>
      <c r="D213" s="5" t="n">
        <v>24</v>
      </c>
      <c r="E213" s="6" t="n">
        <v>4419.75</v>
      </c>
      <c r="F213" s="6" t="n">
        <v>4365.25</v>
      </c>
      <c r="G213" s="6">
        <f>E213-F213</f>
        <v/>
      </c>
      <c r="H213" s="5" t="inlineStr">
        <is>
          <t>Long</t>
        </is>
      </c>
      <c r="I213" s="6" t="n">
        <v>4419.75</v>
      </c>
      <c r="J213" s="6" t="n">
        <v>4365.25</v>
      </c>
      <c r="K213" s="6">
        <f>IF(H213="Long",J213-I213,IF(H213="Short",I213-J213,0))</f>
        <v/>
      </c>
      <c r="L213" s="7" t="n">
        <v>100</v>
      </c>
      <c r="M213" s="5" t="inlineStr">
        <is>
          <t>Loss</t>
        </is>
      </c>
      <c r="N213" s="6">
        <f>N212+K213</f>
        <v/>
      </c>
    </row>
    <row r="214">
      <c r="A214" s="2" t="inlineStr">
        <is>
          <t>2021-09</t>
        </is>
      </c>
      <c r="B214" s="2" t="inlineStr">
        <is>
          <t>ESU1</t>
        </is>
      </c>
      <c r="C214" s="2" t="n">
        <v>3</v>
      </c>
      <c r="D214" s="2" t="n">
        <v>23</v>
      </c>
      <c r="E214" s="3" t="n">
        <v>4549.5</v>
      </c>
      <c r="F214" s="3" t="n">
        <v>4516</v>
      </c>
      <c r="G214" s="3">
        <f>E214-F214</f>
        <v/>
      </c>
      <c r="H214" s="2" t="inlineStr">
        <is>
          <t>Short</t>
        </is>
      </c>
      <c r="I214" s="3" t="n">
        <v>4516</v>
      </c>
      <c r="J214" s="3" t="n">
        <v>4482.5</v>
      </c>
      <c r="K214" s="3">
        <f>IF(H214="Long",J214-I214,IF(H214="Short",I214-J214,0))</f>
        <v/>
      </c>
      <c r="L214" s="4" t="n">
        <v>40.3</v>
      </c>
      <c r="M214" s="2" t="inlineStr">
        <is>
          <t>Win</t>
        </is>
      </c>
      <c r="N214" s="3">
        <f>N213+K214</f>
        <v/>
      </c>
    </row>
    <row r="215">
      <c r="A215" s="2" t="inlineStr">
        <is>
          <t>2021-10</t>
        </is>
      </c>
      <c r="B215" s="2" t="inlineStr">
        <is>
          <t>ESZ1</t>
        </is>
      </c>
      <c r="C215" s="2" t="n">
        <v>3</v>
      </c>
      <c r="D215" s="2" t="n">
        <v>23</v>
      </c>
      <c r="E215" s="3" t="n">
        <v>4365.75</v>
      </c>
      <c r="F215" s="3" t="n">
        <v>4260</v>
      </c>
      <c r="G215" s="3">
        <f>E215-F215</f>
        <v/>
      </c>
      <c r="H215" s="2" t="inlineStr">
        <is>
          <t>Long</t>
        </is>
      </c>
      <c r="I215" s="3" t="n">
        <v>4365.75</v>
      </c>
      <c r="J215" s="3" t="n">
        <v>4471.5</v>
      </c>
      <c r="K215" s="3">
        <f>IF(H215="Long",J215-I215,IF(H215="Short",I215-J215,0))</f>
        <v/>
      </c>
      <c r="L215" s="4" t="n">
        <v>45.86</v>
      </c>
      <c r="M215" s="2" t="inlineStr">
        <is>
          <t>Win</t>
        </is>
      </c>
      <c r="N215" s="3">
        <f>N214+K215</f>
        <v/>
      </c>
    </row>
    <row r="216">
      <c r="A216" s="2" t="inlineStr">
        <is>
          <t>2021-11</t>
        </is>
      </c>
      <c r="B216" s="2" t="inlineStr">
        <is>
          <t>ESZ1</t>
        </is>
      </c>
      <c r="C216" s="2" t="n">
        <v>3</v>
      </c>
      <c r="D216" s="2" t="n">
        <v>23</v>
      </c>
      <c r="E216" s="3" t="n">
        <v>4660.5</v>
      </c>
      <c r="F216" s="3" t="n">
        <v>4586.5</v>
      </c>
      <c r="G216" s="3">
        <f>E216-F216</f>
        <v/>
      </c>
      <c r="H216" s="2" t="inlineStr">
        <is>
          <t>Long</t>
        </is>
      </c>
      <c r="I216" s="3" t="n">
        <v>4660.5</v>
      </c>
      <c r="J216" s="3" t="n">
        <v>4734.5</v>
      </c>
      <c r="K216" s="3">
        <f>IF(H216="Long",J216-I216,IF(H216="Short",I216-J216,0))</f>
        <v/>
      </c>
      <c r="L216" s="4" t="n">
        <v>47.64</v>
      </c>
      <c r="M216" s="2" t="inlineStr">
        <is>
          <t>Win</t>
        </is>
      </c>
      <c r="N216" s="3">
        <f>N215+K216</f>
        <v/>
      </c>
    </row>
    <row r="217">
      <c r="A217" s="5" t="inlineStr">
        <is>
          <t>2021-11</t>
        </is>
      </c>
      <c r="B217" s="5" t="inlineStr">
        <is>
          <t>ESZ1</t>
        </is>
      </c>
      <c r="C217" s="5" t="n">
        <v>3</v>
      </c>
      <c r="D217" s="5" t="n">
        <v>23</v>
      </c>
      <c r="E217" s="6" t="n">
        <v>4660.5</v>
      </c>
      <c r="F217" s="6" t="n">
        <v>4586.5</v>
      </c>
      <c r="G217" s="6">
        <f>E217-F217</f>
        <v/>
      </c>
      <c r="H217" s="5" t="inlineStr">
        <is>
          <t>Long</t>
        </is>
      </c>
      <c r="I217" s="6" t="n">
        <v>4660.5</v>
      </c>
      <c r="J217" s="6" t="n">
        <v>4586.5</v>
      </c>
      <c r="K217" s="6">
        <f>IF(H217="Long",J217-I217,IF(H217="Short",I217-J217,0))</f>
        <v/>
      </c>
      <c r="L217" s="7" t="n">
        <v>100</v>
      </c>
      <c r="M217" s="5" t="inlineStr">
        <is>
          <t>Loss</t>
        </is>
      </c>
      <c r="N217" s="6">
        <f>N216+K217</f>
        <v/>
      </c>
    </row>
    <row r="218">
      <c r="A218" s="8" t="inlineStr">
        <is>
          <t>2021-12</t>
        </is>
      </c>
      <c r="B218" s="8" t="inlineStr">
        <is>
          <t>ESZ1</t>
        </is>
      </c>
      <c r="C218" s="8" t="n">
        <v>3</v>
      </c>
      <c r="D218" s="8" t="n">
        <v>23</v>
      </c>
      <c r="E218" s="9" t="n">
        <v>4650.75</v>
      </c>
      <c r="F218" s="9" t="n">
        <v>4492</v>
      </c>
      <c r="G218" s="9">
        <f>E218-F218</f>
        <v/>
      </c>
      <c r="H218" s="8" t="inlineStr">
        <is>
          <t>Long</t>
        </is>
      </c>
      <c r="I218" s="9" t="n">
        <v>4650.75</v>
      </c>
      <c r="J218" s="9" t="n">
        <v>4761.5</v>
      </c>
      <c r="K218" s="9">
        <f>IF(H218="Long",J218-I218,IF(H218="Short",I218-J218,0))</f>
        <v/>
      </c>
      <c r="L218" s="10" t="n">
        <v>82.2</v>
      </c>
      <c r="M218" s="8" t="inlineStr">
        <is>
          <t>Period-Close</t>
        </is>
      </c>
      <c r="N218" s="9">
        <f>N217+K218</f>
        <v/>
      </c>
    </row>
    <row r="219">
      <c r="A219" s="2" t="inlineStr">
        <is>
          <t>2022-01</t>
        </is>
      </c>
      <c r="B219" s="2" t="inlineStr">
        <is>
          <t>ESH2</t>
        </is>
      </c>
      <c r="C219" s="2" t="n">
        <v>3</v>
      </c>
      <c r="D219" s="2" t="n">
        <v>23</v>
      </c>
      <c r="E219" s="3" t="n">
        <v>4808.25</v>
      </c>
      <c r="F219" s="3" t="n">
        <v>4747.5</v>
      </c>
      <c r="G219" s="3">
        <f>E219-F219</f>
        <v/>
      </c>
      <c r="H219" s="2" t="inlineStr">
        <is>
          <t>Short</t>
        </is>
      </c>
      <c r="I219" s="3" t="n">
        <v>4747.5</v>
      </c>
      <c r="J219" s="3" t="n">
        <v>4686.75</v>
      </c>
      <c r="K219" s="3">
        <f>IF(H219="Long",J219-I219,IF(H219="Short",I219-J219,0))</f>
        <v/>
      </c>
      <c r="L219" s="4" t="n">
        <v>0</v>
      </c>
      <c r="M219" s="2" t="inlineStr">
        <is>
          <t>Win</t>
        </is>
      </c>
      <c r="N219" s="3">
        <f>N218+K219</f>
        <v/>
      </c>
    </row>
    <row r="220">
      <c r="A220" s="2" t="inlineStr">
        <is>
          <t>2022-02</t>
        </is>
      </c>
      <c r="B220" s="2" t="inlineStr">
        <is>
          <t>ESH2</t>
        </is>
      </c>
      <c r="C220" s="2" t="n">
        <v>3</v>
      </c>
      <c r="D220" s="2" t="n">
        <v>21</v>
      </c>
      <c r="E220" s="3" t="n">
        <v>4586</v>
      </c>
      <c r="F220" s="3" t="n">
        <v>4462</v>
      </c>
      <c r="G220" s="3">
        <f>E220-F220</f>
        <v/>
      </c>
      <c r="H220" s="2" t="inlineStr">
        <is>
          <t>Short</t>
        </is>
      </c>
      <c r="I220" s="3" t="n">
        <v>4462</v>
      </c>
      <c r="J220" s="3" t="n">
        <v>4338</v>
      </c>
      <c r="K220" s="3">
        <f>IF(H220="Long",J220-I220,IF(H220="Short",I220-J220,0))</f>
        <v/>
      </c>
      <c r="L220" s="4" t="n">
        <v>18.15</v>
      </c>
      <c r="M220" s="2" t="inlineStr">
        <is>
          <t>Win</t>
        </is>
      </c>
      <c r="N220" s="3">
        <f>N219+K220</f>
        <v/>
      </c>
    </row>
    <row r="221">
      <c r="A221" s="2" t="inlineStr">
        <is>
          <t>2022-03</t>
        </is>
      </c>
      <c r="B221" s="2" t="inlineStr">
        <is>
          <t>ESH2</t>
        </is>
      </c>
      <c r="C221" s="2" t="n">
        <v>3</v>
      </c>
      <c r="D221" s="2" t="n">
        <v>24</v>
      </c>
      <c r="E221" s="3" t="n">
        <v>4418.75</v>
      </c>
      <c r="F221" s="3" t="n">
        <v>4275</v>
      </c>
      <c r="G221" s="3">
        <f>E221-F221</f>
        <v/>
      </c>
      <c r="H221" s="2" t="inlineStr">
        <is>
          <t>Short</t>
        </is>
      </c>
      <c r="I221" s="3" t="n">
        <v>4275</v>
      </c>
      <c r="J221" s="3" t="n">
        <v>4131.25</v>
      </c>
      <c r="K221" s="3">
        <f>IF(H221="Long",J221-I221,IF(H221="Short",I221-J221,0))</f>
        <v/>
      </c>
      <c r="L221" s="4" t="n">
        <v>36</v>
      </c>
      <c r="M221" s="2" t="inlineStr">
        <is>
          <t>Win</t>
        </is>
      </c>
      <c r="N221" s="3">
        <f>N220+K221</f>
        <v/>
      </c>
    </row>
    <row r="222">
      <c r="A222" s="5" t="inlineStr">
        <is>
          <t>2022-03</t>
        </is>
      </c>
      <c r="B222" s="5" t="inlineStr">
        <is>
          <t>ESH2</t>
        </is>
      </c>
      <c r="C222" s="5" t="n">
        <v>3</v>
      </c>
      <c r="D222" s="5" t="n">
        <v>24</v>
      </c>
      <c r="E222" s="6" t="n">
        <v>4418.75</v>
      </c>
      <c r="F222" s="6" t="n">
        <v>4275</v>
      </c>
      <c r="G222" s="6">
        <f>E222-F222</f>
        <v/>
      </c>
      <c r="H222" s="5" t="inlineStr">
        <is>
          <t>Short</t>
        </is>
      </c>
      <c r="I222" s="6" t="n">
        <v>4275</v>
      </c>
      <c r="J222" s="6" t="n">
        <v>4418.75</v>
      </c>
      <c r="K222" s="6">
        <f>IF(H222="Long",J222-I222,IF(H222="Short",I222-J222,0))</f>
        <v/>
      </c>
      <c r="L222" s="7" t="n">
        <v>100</v>
      </c>
      <c r="M222" s="5" t="inlineStr">
        <is>
          <t>Loss</t>
        </is>
      </c>
      <c r="N222" s="6">
        <f>N221+K222</f>
        <v/>
      </c>
    </row>
    <row r="223">
      <c r="A223" s="2" t="inlineStr">
        <is>
          <t>2022-04</t>
        </is>
      </c>
      <c r="B223" s="2" t="inlineStr">
        <is>
          <t>ESM2</t>
        </is>
      </c>
      <c r="C223" s="2" t="n">
        <v>3</v>
      </c>
      <c r="D223" s="2" t="n">
        <v>21</v>
      </c>
      <c r="E223" s="3" t="n">
        <v>4580</v>
      </c>
      <c r="F223" s="3" t="n">
        <v>4501.25</v>
      </c>
      <c r="G223" s="3">
        <f>E223-F223</f>
        <v/>
      </c>
      <c r="H223" s="2" t="inlineStr">
        <is>
          <t>Short</t>
        </is>
      </c>
      <c r="I223" s="3" t="n">
        <v>4501.25</v>
      </c>
      <c r="J223" s="3" t="n">
        <v>4422.5</v>
      </c>
      <c r="K223" s="3">
        <f>IF(H223="Long",J223-I223,IF(H223="Short",I223-J223,0))</f>
        <v/>
      </c>
      <c r="L223" s="4" t="n">
        <v>23.49</v>
      </c>
      <c r="M223" s="2" t="inlineStr">
        <is>
          <t>Win</t>
        </is>
      </c>
      <c r="N223" s="3">
        <f>N222+K223</f>
        <v/>
      </c>
    </row>
    <row r="224">
      <c r="A224" s="2" t="inlineStr">
        <is>
          <t>2022-04</t>
        </is>
      </c>
      <c r="B224" s="2" t="inlineStr">
        <is>
          <t>ESM2</t>
        </is>
      </c>
      <c r="C224" s="2" t="n">
        <v>3</v>
      </c>
      <c r="D224" s="2" t="n">
        <v>21</v>
      </c>
      <c r="E224" s="3" t="n">
        <v>4580</v>
      </c>
      <c r="F224" s="3" t="n">
        <v>4501.25</v>
      </c>
      <c r="G224" s="3">
        <f>E224-F224</f>
        <v/>
      </c>
      <c r="H224" s="2" t="inlineStr">
        <is>
          <t>Short</t>
        </is>
      </c>
      <c r="I224" s="3" t="n">
        <v>4501.25</v>
      </c>
      <c r="J224" s="3" t="n">
        <v>4422.5</v>
      </c>
      <c r="K224" s="3">
        <f>IF(H224="Long",J224-I224,IF(H224="Short",I224-J224,0))</f>
        <v/>
      </c>
      <c r="L224" s="4" t="n">
        <v>9.84</v>
      </c>
      <c r="M224" s="2" t="inlineStr">
        <is>
          <t>Win</t>
        </is>
      </c>
      <c r="N224" s="3">
        <f>N223+K224</f>
        <v/>
      </c>
    </row>
    <row r="225">
      <c r="A225" s="5" t="inlineStr">
        <is>
          <t>2022-05</t>
        </is>
      </c>
      <c r="B225" s="5" t="inlineStr">
        <is>
          <t>ESM2</t>
        </is>
      </c>
      <c r="C225" s="5" t="n">
        <v>3</v>
      </c>
      <c r="D225" s="5" t="n">
        <v>24</v>
      </c>
      <c r="E225" s="6" t="n">
        <v>4195.75</v>
      </c>
      <c r="F225" s="6" t="n">
        <v>4056</v>
      </c>
      <c r="G225" s="6">
        <f>E225-F225</f>
        <v/>
      </c>
      <c r="H225" s="5" t="inlineStr">
        <is>
          <t>Long</t>
        </is>
      </c>
      <c r="I225" s="6" t="n">
        <v>4195.75</v>
      </c>
      <c r="J225" s="6" t="n">
        <v>4056</v>
      </c>
      <c r="K225" s="6">
        <f>IF(H225="Long",J225-I225,IF(H225="Short",I225-J225,0))</f>
        <v/>
      </c>
      <c r="L225" s="7" t="n">
        <v>100</v>
      </c>
      <c r="M225" s="5" t="inlineStr">
        <is>
          <t>Loss</t>
        </is>
      </c>
      <c r="N225" s="6">
        <f>N224+K225</f>
        <v/>
      </c>
    </row>
    <row r="226">
      <c r="A226" s="2" t="inlineStr">
        <is>
          <t>2022-05</t>
        </is>
      </c>
      <c r="B226" s="2" t="inlineStr">
        <is>
          <t>ESM2</t>
        </is>
      </c>
      <c r="C226" s="2" t="n">
        <v>3</v>
      </c>
      <c r="D226" s="2" t="n">
        <v>24</v>
      </c>
      <c r="E226" s="3" t="n">
        <v>4195.75</v>
      </c>
      <c r="F226" s="3" t="n">
        <v>4056</v>
      </c>
      <c r="G226" s="3">
        <f>E226-F226</f>
        <v/>
      </c>
      <c r="H226" s="2" t="inlineStr">
        <is>
          <t>Short</t>
        </is>
      </c>
      <c r="I226" s="3" t="n">
        <v>4056</v>
      </c>
      <c r="J226" s="3" t="n">
        <v>3916.25</v>
      </c>
      <c r="K226" s="3">
        <f>IF(H226="Long",J226-I226,IF(H226="Short",I226-J226,0))</f>
        <v/>
      </c>
      <c r="L226" s="4" t="n">
        <v>6.8</v>
      </c>
      <c r="M226" s="2" t="inlineStr">
        <is>
          <t>Win</t>
        </is>
      </c>
      <c r="N226" s="3">
        <f>N225+K226</f>
        <v/>
      </c>
    </row>
    <row r="227">
      <c r="A227" s="2" t="inlineStr">
        <is>
          <t>2022-06</t>
        </is>
      </c>
      <c r="B227" s="2" t="inlineStr">
        <is>
          <t>ESM2</t>
        </is>
      </c>
      <c r="C227" s="2" t="n">
        <v>3</v>
      </c>
      <c r="D227" s="2" t="n">
        <v>23</v>
      </c>
      <c r="E227" s="3" t="n">
        <v>4189</v>
      </c>
      <c r="F227" s="3" t="n">
        <v>4071.5</v>
      </c>
      <c r="G227" s="3">
        <f>E227-F227</f>
        <v/>
      </c>
      <c r="H227" s="2" t="inlineStr">
        <is>
          <t>Short</t>
        </is>
      </c>
      <c r="I227" s="3" t="n">
        <v>4071.5</v>
      </c>
      <c r="J227" s="3" t="n">
        <v>3954</v>
      </c>
      <c r="K227" s="3">
        <f>IF(H227="Long",J227-I227,IF(H227="Short",I227-J227,0))</f>
        <v/>
      </c>
      <c r="L227" s="4" t="n">
        <v>0</v>
      </c>
      <c r="M227" s="2" t="inlineStr">
        <is>
          <t>Win</t>
        </is>
      </c>
      <c r="N227" s="3">
        <f>N226+K227</f>
        <v/>
      </c>
    </row>
    <row r="228">
      <c r="A228" s="5" t="inlineStr">
        <is>
          <t>2022-07</t>
        </is>
      </c>
      <c r="B228" s="5" t="inlineStr">
        <is>
          <t>ESU2</t>
        </is>
      </c>
      <c r="C228" s="5" t="n">
        <v>3</v>
      </c>
      <c r="D228" s="5" t="n">
        <v>23</v>
      </c>
      <c r="E228" s="6" t="n">
        <v>3857.75</v>
      </c>
      <c r="F228" s="6" t="n">
        <v>3744.5</v>
      </c>
      <c r="G228" s="6">
        <f>E228-F228</f>
        <v/>
      </c>
      <c r="H228" s="5" t="inlineStr">
        <is>
          <t>Long</t>
        </is>
      </c>
      <c r="I228" s="6" t="n">
        <v>3857.75</v>
      </c>
      <c r="J228" s="6" t="n">
        <v>3744.5</v>
      </c>
      <c r="K228" s="6">
        <f>IF(H228="Long",J228-I228,IF(H228="Short",I228-J228,0))</f>
        <v/>
      </c>
      <c r="L228" s="7" t="n">
        <v>100</v>
      </c>
      <c r="M228" s="5" t="inlineStr">
        <is>
          <t>Loss</t>
        </is>
      </c>
      <c r="N228" s="6">
        <f>N227+K228</f>
        <v/>
      </c>
    </row>
    <row r="229">
      <c r="A229" s="2" t="inlineStr">
        <is>
          <t>2022-07</t>
        </is>
      </c>
      <c r="B229" s="2" t="inlineStr">
        <is>
          <t>ESU2</t>
        </is>
      </c>
      <c r="C229" s="2" t="n">
        <v>3</v>
      </c>
      <c r="D229" s="2" t="n">
        <v>23</v>
      </c>
      <c r="E229" s="3" t="n">
        <v>3857.75</v>
      </c>
      <c r="F229" s="3" t="n">
        <v>3744.5</v>
      </c>
      <c r="G229" s="3">
        <f>E229-F229</f>
        <v/>
      </c>
      <c r="H229" s="2" t="inlineStr">
        <is>
          <t>Long</t>
        </is>
      </c>
      <c r="I229" s="3" t="n">
        <v>3857.75</v>
      </c>
      <c r="J229" s="3" t="n">
        <v>3971</v>
      </c>
      <c r="K229" s="3">
        <f>IF(H229="Long",J229-I229,IF(H229="Short",I229-J229,0))</f>
        <v/>
      </c>
      <c r="L229" s="4" t="n">
        <v>33.11</v>
      </c>
      <c r="M229" s="2" t="inlineStr">
        <is>
          <t>Win</t>
        </is>
      </c>
      <c r="N229" s="3">
        <f>N228+K229</f>
        <v/>
      </c>
    </row>
    <row r="230">
      <c r="A230" s="2" t="inlineStr">
        <is>
          <t>2022-08</t>
        </is>
      </c>
      <c r="B230" s="2" t="inlineStr">
        <is>
          <t>ESU2</t>
        </is>
      </c>
      <c r="C230" s="2" t="n">
        <v>3</v>
      </c>
      <c r="D230" s="2" t="n">
        <v>24</v>
      </c>
      <c r="E230" s="3" t="n">
        <v>4170</v>
      </c>
      <c r="F230" s="3" t="n">
        <v>4080.5</v>
      </c>
      <c r="G230" s="3">
        <f>E230-F230</f>
        <v/>
      </c>
      <c r="H230" s="2" t="inlineStr">
        <is>
          <t>Long</t>
        </is>
      </c>
      <c r="I230" s="3" t="n">
        <v>4170</v>
      </c>
      <c r="J230" s="3" t="n">
        <v>4259.5</v>
      </c>
      <c r="K230" s="3">
        <f>IF(H230="Long",J230-I230,IF(H230="Short",I230-J230,0))</f>
        <v/>
      </c>
      <c r="L230" s="4" t="n">
        <v>0</v>
      </c>
      <c r="M230" s="2" t="inlineStr">
        <is>
          <t>Win</t>
        </is>
      </c>
      <c r="N230" s="3">
        <f>N229+K230</f>
        <v/>
      </c>
    </row>
    <row r="231">
      <c r="A231" s="5" t="inlineStr">
        <is>
          <t>2022-08</t>
        </is>
      </c>
      <c r="B231" s="5" t="inlineStr">
        <is>
          <t>ESU2</t>
        </is>
      </c>
      <c r="C231" s="5" t="n">
        <v>3</v>
      </c>
      <c r="D231" s="5" t="n">
        <v>24</v>
      </c>
      <c r="E231" s="6" t="n">
        <v>4170</v>
      </c>
      <c r="F231" s="6" t="n">
        <v>4080.5</v>
      </c>
      <c r="G231" s="6">
        <f>E231-F231</f>
        <v/>
      </c>
      <c r="H231" s="5" t="inlineStr">
        <is>
          <t>Long</t>
        </is>
      </c>
      <c r="I231" s="6" t="n">
        <v>4170</v>
      </c>
      <c r="J231" s="6" t="n">
        <v>4080.5</v>
      </c>
      <c r="K231" s="6">
        <f>IF(H231="Long",J231-I231,IF(H231="Short",I231-J231,0))</f>
        <v/>
      </c>
      <c r="L231" s="7" t="n">
        <v>100</v>
      </c>
      <c r="M231" s="5" t="inlineStr">
        <is>
          <t>Loss</t>
        </is>
      </c>
      <c r="N231" s="6">
        <f>N230+K231</f>
        <v/>
      </c>
    </row>
    <row r="232">
      <c r="A232" s="2" t="inlineStr">
        <is>
          <t>2022-09</t>
        </is>
      </c>
      <c r="B232" s="2" t="inlineStr">
        <is>
          <t>ESU2</t>
        </is>
      </c>
      <c r="C232" s="2" t="n">
        <v>3</v>
      </c>
      <c r="D232" s="2" t="n">
        <v>23</v>
      </c>
      <c r="E232" s="3" t="n">
        <v>4019.25</v>
      </c>
      <c r="F232" s="3" t="n">
        <v>3903.5</v>
      </c>
      <c r="G232" s="3">
        <f>E232-F232</f>
        <v/>
      </c>
      <c r="H232" s="2" t="inlineStr">
        <is>
          <t>Long</t>
        </is>
      </c>
      <c r="I232" s="3" t="n">
        <v>4019.25</v>
      </c>
      <c r="J232" s="3" t="n">
        <v>4135</v>
      </c>
      <c r="K232" s="3">
        <f>IF(H232="Long",J232-I232,IF(H232="Short",I232-J232,0))</f>
        <v/>
      </c>
      <c r="L232" s="4" t="n">
        <v>0</v>
      </c>
      <c r="M232" s="2" t="inlineStr">
        <is>
          <t>Win</t>
        </is>
      </c>
      <c r="N232" s="3">
        <f>N231+K232</f>
        <v/>
      </c>
    </row>
    <row r="233">
      <c r="A233" s="2" t="inlineStr">
        <is>
          <t>2022-09</t>
        </is>
      </c>
      <c r="B233" s="2" t="inlineStr">
        <is>
          <t>ESU2</t>
        </is>
      </c>
      <c r="C233" s="2" t="n">
        <v>3</v>
      </c>
      <c r="D233" s="2" t="n">
        <v>23</v>
      </c>
      <c r="E233" s="3" t="n">
        <v>4019.25</v>
      </c>
      <c r="F233" s="3" t="n">
        <v>3903.5</v>
      </c>
      <c r="G233" s="3">
        <f>E233-F233</f>
        <v/>
      </c>
      <c r="H233" s="2" t="inlineStr">
        <is>
          <t>Long</t>
        </is>
      </c>
      <c r="I233" s="3" t="n">
        <v>4019.25</v>
      </c>
      <c r="J233" s="3" t="n">
        <v>4135</v>
      </c>
      <c r="K233" s="3">
        <f>IF(H233="Long",J233-I233,IF(H233="Short",I233-J233,0))</f>
        <v/>
      </c>
      <c r="L233" s="4" t="n">
        <v>69.76000000000001</v>
      </c>
      <c r="M233" s="2" t="inlineStr">
        <is>
          <t>Win</t>
        </is>
      </c>
      <c r="N233" s="3">
        <f>N232+K233</f>
        <v/>
      </c>
    </row>
    <row r="234">
      <c r="A234" s="5" t="inlineStr">
        <is>
          <t>2022-10</t>
        </is>
      </c>
      <c r="B234" s="5" t="inlineStr">
        <is>
          <t>ESZ2</t>
        </is>
      </c>
      <c r="C234" s="5" t="n">
        <v>3</v>
      </c>
      <c r="D234" s="5" t="n">
        <v>23</v>
      </c>
      <c r="E234" s="6" t="n">
        <v>3808.75</v>
      </c>
      <c r="F234" s="6" t="n">
        <v>3571.75</v>
      </c>
      <c r="G234" s="6">
        <f>E234-F234</f>
        <v/>
      </c>
      <c r="H234" s="5" t="inlineStr">
        <is>
          <t>Long</t>
        </is>
      </c>
      <c r="I234" s="6" t="n">
        <v>3808.75</v>
      </c>
      <c r="J234" s="6" t="n">
        <v>3571.75</v>
      </c>
      <c r="K234" s="6">
        <f>IF(H234="Long",J234-I234,IF(H234="Short",I234-J234,0))</f>
        <v/>
      </c>
      <c r="L234" s="7" t="n">
        <v>100</v>
      </c>
      <c r="M234" s="5" t="inlineStr">
        <is>
          <t>Loss</t>
        </is>
      </c>
      <c r="N234" s="6">
        <f>N233+K234</f>
        <v/>
      </c>
    </row>
    <row r="235">
      <c r="A235" s="8" t="inlineStr">
        <is>
          <t>2022-10</t>
        </is>
      </c>
      <c r="B235" s="8" t="inlineStr">
        <is>
          <t>ESZ2</t>
        </is>
      </c>
      <c r="C235" s="8" t="n">
        <v>3</v>
      </c>
      <c r="D235" s="8" t="n">
        <v>23</v>
      </c>
      <c r="E235" s="9" t="n">
        <v>3808.75</v>
      </c>
      <c r="F235" s="9" t="n">
        <v>3571.75</v>
      </c>
      <c r="G235" s="9">
        <f>E235-F235</f>
        <v/>
      </c>
      <c r="H235" s="8" t="inlineStr">
        <is>
          <t>Long</t>
        </is>
      </c>
      <c r="I235" s="9" t="n">
        <v>3808.75</v>
      </c>
      <c r="J235" s="9" t="n">
        <v>3888.5</v>
      </c>
      <c r="K235" s="9">
        <f>IF(H235="Long",J235-I235,IF(H235="Short",I235-J235,0))</f>
        <v/>
      </c>
      <c r="L235" s="10" t="n">
        <v>21.62</v>
      </c>
      <c r="M235" s="8" t="inlineStr">
        <is>
          <t>Period-Close</t>
        </is>
      </c>
      <c r="N235" s="9">
        <f>N234+K235</f>
        <v/>
      </c>
    </row>
    <row r="236">
      <c r="A236" s="8" t="inlineStr">
        <is>
          <t>2022-11</t>
        </is>
      </c>
      <c r="B236" s="8" t="inlineStr">
        <is>
          <t>ESZ2</t>
        </is>
      </c>
      <c r="C236" s="8" t="n">
        <v>3</v>
      </c>
      <c r="D236" s="8" t="n">
        <v>23</v>
      </c>
      <c r="E236" s="9" t="n">
        <v>3928</v>
      </c>
      <c r="F236" s="9" t="n">
        <v>3704.25</v>
      </c>
      <c r="G236" s="9">
        <f>E236-F236</f>
        <v/>
      </c>
      <c r="H236" s="8" t="inlineStr">
        <is>
          <t>Long</t>
        </is>
      </c>
      <c r="I236" s="9" t="n">
        <v>3928</v>
      </c>
      <c r="J236" s="9" t="n">
        <v>4091</v>
      </c>
      <c r="K236" s="9">
        <f>IF(H236="Long",J236-I236,IF(H236="Short",I236-J236,0))</f>
        <v/>
      </c>
      <c r="L236" s="10" t="n">
        <v>6.93</v>
      </c>
      <c r="M236" s="8" t="inlineStr">
        <is>
          <t>Period-Close</t>
        </is>
      </c>
      <c r="N236" s="9">
        <f>N235+K236</f>
        <v/>
      </c>
    </row>
    <row r="237">
      <c r="A237" s="5" t="inlineStr">
        <is>
          <t>2022-12</t>
        </is>
      </c>
      <c r="B237" s="5" t="inlineStr">
        <is>
          <t>ESZ2</t>
        </is>
      </c>
      <c r="C237" s="5" t="n">
        <v>3</v>
      </c>
      <c r="D237" s="5" t="n">
        <v>22</v>
      </c>
      <c r="E237" s="6" t="n">
        <v>4110</v>
      </c>
      <c r="F237" s="6" t="n">
        <v>4006.75</v>
      </c>
      <c r="G237" s="6">
        <f>E237-F237</f>
        <v/>
      </c>
      <c r="H237" s="5" t="inlineStr">
        <is>
          <t>Short</t>
        </is>
      </c>
      <c r="I237" s="6" t="n">
        <v>4006.75</v>
      </c>
      <c r="J237" s="6" t="n">
        <v>4110</v>
      </c>
      <c r="K237" s="6">
        <f>IF(H237="Long",J237-I237,IF(H237="Short",I237-J237,0))</f>
        <v/>
      </c>
      <c r="L237" s="7" t="n">
        <v>100</v>
      </c>
      <c r="M237" s="5" t="inlineStr">
        <is>
          <t>Loss</t>
        </is>
      </c>
      <c r="N237" s="6">
        <f>N236+K237</f>
        <v/>
      </c>
    </row>
    <row r="238">
      <c r="A238" s="2" t="inlineStr">
        <is>
          <t>2022-12</t>
        </is>
      </c>
      <c r="B238" s="2" t="inlineStr">
        <is>
          <t>ESZ2</t>
        </is>
      </c>
      <c r="C238" s="2" t="n">
        <v>3</v>
      </c>
      <c r="D238" s="2" t="n">
        <v>22</v>
      </c>
      <c r="E238" s="3" t="n">
        <v>4110</v>
      </c>
      <c r="F238" s="3" t="n">
        <v>4006.75</v>
      </c>
      <c r="G238" s="3">
        <f>E238-F238</f>
        <v/>
      </c>
      <c r="H238" s="2" t="inlineStr">
        <is>
          <t>Short</t>
        </is>
      </c>
      <c r="I238" s="3" t="n">
        <v>4006.75</v>
      </c>
      <c r="J238" s="3" t="n">
        <v>3903.5</v>
      </c>
      <c r="K238" s="3">
        <f>IF(H238="Long",J238-I238,IF(H238="Short",I238-J238,0))</f>
        <v/>
      </c>
      <c r="L238" s="4" t="n">
        <v>0</v>
      </c>
      <c r="M238" s="2" t="inlineStr">
        <is>
          <t>Win</t>
        </is>
      </c>
      <c r="N238" s="3">
        <f>N237+K238</f>
        <v/>
      </c>
    </row>
    <row r="239">
      <c r="A239" s="2" t="inlineStr">
        <is>
          <t>2023-01</t>
        </is>
      </c>
      <c r="B239" s="2" t="inlineStr">
        <is>
          <t>ESH3</t>
        </is>
      </c>
      <c r="C239" s="2" t="n">
        <v>3</v>
      </c>
      <c r="D239" s="2" t="n">
        <v>23</v>
      </c>
      <c r="E239" s="3" t="n">
        <v>3906.75</v>
      </c>
      <c r="F239" s="3" t="n">
        <v>3814.5</v>
      </c>
      <c r="G239" s="3">
        <f>E239-F239</f>
        <v/>
      </c>
      <c r="H239" s="2" t="inlineStr">
        <is>
          <t>Long</t>
        </is>
      </c>
      <c r="I239" s="3" t="n">
        <v>3906.75</v>
      </c>
      <c r="J239" s="3" t="n">
        <v>3999</v>
      </c>
      <c r="K239" s="3">
        <f>IF(H239="Long",J239-I239,IF(H239="Short",I239-J239,0))</f>
        <v/>
      </c>
      <c r="L239" s="4" t="n">
        <v>16.53</v>
      </c>
      <c r="M239" s="2" t="inlineStr">
        <is>
          <t>Win</t>
        </is>
      </c>
      <c r="N239" s="3">
        <f>N238+K239</f>
        <v/>
      </c>
    </row>
    <row r="240">
      <c r="A240" s="2" t="inlineStr">
        <is>
          <t>2023-01</t>
        </is>
      </c>
      <c r="B240" s="2" t="inlineStr">
        <is>
          <t>ESH3</t>
        </is>
      </c>
      <c r="C240" s="2" t="n">
        <v>3</v>
      </c>
      <c r="D240" s="2" t="n">
        <v>23</v>
      </c>
      <c r="E240" s="3" t="n">
        <v>3906.75</v>
      </c>
      <c r="F240" s="3" t="n">
        <v>3814.5</v>
      </c>
      <c r="G240" s="3">
        <f>E240-F240</f>
        <v/>
      </c>
      <c r="H240" s="2" t="inlineStr">
        <is>
          <t>Long</t>
        </is>
      </c>
      <c r="I240" s="3" t="n">
        <v>3906.75</v>
      </c>
      <c r="J240" s="3" t="n">
        <v>3999</v>
      </c>
      <c r="K240" s="3">
        <f>IF(H240="Long",J240-I240,IF(H240="Short",I240-J240,0))</f>
        <v/>
      </c>
      <c r="L240" s="4" t="n">
        <v>5.42</v>
      </c>
      <c r="M240" s="2" t="inlineStr">
        <is>
          <t>Win</t>
        </is>
      </c>
      <c r="N240" s="3">
        <f>N239+K240</f>
        <v/>
      </c>
    </row>
    <row r="241">
      <c r="A241" s="8" t="inlineStr">
        <is>
          <t>2023-02</t>
        </is>
      </c>
      <c r="B241" s="8" t="inlineStr">
        <is>
          <t>ESH3</t>
        </is>
      </c>
      <c r="C241" s="8" t="n">
        <v>3</v>
      </c>
      <c r="D241" s="8" t="n">
        <v>21</v>
      </c>
      <c r="E241" s="9" t="n">
        <v>4208.5</v>
      </c>
      <c r="F241" s="9" t="n">
        <v>4048.5</v>
      </c>
      <c r="G241" s="9">
        <f>E241-F241</f>
        <v/>
      </c>
      <c r="H241" s="8" t="inlineStr">
        <is>
          <t>Short</t>
        </is>
      </c>
      <c r="I241" s="9" t="n">
        <v>4048.5</v>
      </c>
      <c r="J241" s="9" t="n">
        <v>3963.5</v>
      </c>
      <c r="K241" s="9">
        <f>IF(H241="Long",J241-I241,IF(H241="Short",I241-J241,0))</f>
        <v/>
      </c>
      <c r="L241" s="10" t="n">
        <v>0</v>
      </c>
      <c r="M241" s="8" t="inlineStr">
        <is>
          <t>Period-Close</t>
        </is>
      </c>
      <c r="N241" s="9">
        <f>N240+K241</f>
        <v/>
      </c>
    </row>
    <row r="242">
      <c r="A242" s="5" t="inlineStr">
        <is>
          <t>2023-03</t>
        </is>
      </c>
      <c r="B242" s="5" t="inlineStr">
        <is>
          <t>ESH3</t>
        </is>
      </c>
      <c r="C242" s="5" t="n">
        <v>3</v>
      </c>
      <c r="D242" s="5" t="n">
        <v>24</v>
      </c>
      <c r="E242" s="6" t="n">
        <v>4053</v>
      </c>
      <c r="F242" s="6" t="n">
        <v>3925</v>
      </c>
      <c r="G242" s="6">
        <f>E242-F242</f>
        <v/>
      </c>
      <c r="H242" s="5" t="inlineStr">
        <is>
          <t>Long</t>
        </is>
      </c>
      <c r="I242" s="6" t="n">
        <v>4053</v>
      </c>
      <c r="J242" s="6" t="n">
        <v>3925</v>
      </c>
      <c r="K242" s="6">
        <f>IF(H242="Long",J242-I242,IF(H242="Short",I242-J242,0))</f>
        <v/>
      </c>
      <c r="L242" s="7" t="n">
        <v>100</v>
      </c>
      <c r="M242" s="5" t="inlineStr">
        <is>
          <t>Loss</t>
        </is>
      </c>
      <c r="N242" s="6">
        <f>N241+K242</f>
        <v/>
      </c>
    </row>
    <row r="243">
      <c r="A243" s="5" t="inlineStr">
        <is>
          <t>2023-03</t>
        </is>
      </c>
      <c r="B243" s="5" t="inlineStr">
        <is>
          <t>ESH3</t>
        </is>
      </c>
      <c r="C243" s="5" t="n">
        <v>3</v>
      </c>
      <c r="D243" s="5" t="n">
        <v>24</v>
      </c>
      <c r="E243" s="6" t="n">
        <v>4053</v>
      </c>
      <c r="F243" s="6" t="n">
        <v>3925</v>
      </c>
      <c r="G243" s="6">
        <f>E243-F243</f>
        <v/>
      </c>
      <c r="H243" s="5" t="inlineStr">
        <is>
          <t>Short</t>
        </is>
      </c>
      <c r="I243" s="6" t="n">
        <v>3925</v>
      </c>
      <c r="J243" s="6" t="n">
        <v>4053</v>
      </c>
      <c r="K243" s="6">
        <f>IF(H243="Long",J243-I243,IF(H243="Short",I243-J243,0))</f>
        <v/>
      </c>
      <c r="L243" s="7" t="n">
        <v>100</v>
      </c>
      <c r="M243" s="5" t="inlineStr">
        <is>
          <t>Loss</t>
        </is>
      </c>
      <c r="N243" s="6">
        <f>N242+K243</f>
        <v/>
      </c>
    </row>
    <row r="244">
      <c r="A244" s="5" t="inlineStr">
        <is>
          <t>2023-04</t>
        </is>
      </c>
      <c r="B244" s="5" t="inlineStr">
        <is>
          <t>ESM3</t>
        </is>
      </c>
      <c r="C244" s="5" t="n">
        <v>3</v>
      </c>
      <c r="D244" s="5" t="n">
        <v>22</v>
      </c>
      <c r="E244" s="6" t="n">
        <v>4171.75</v>
      </c>
      <c r="F244" s="6" t="n">
        <v>4115.25</v>
      </c>
      <c r="G244" s="6">
        <f>E244-F244</f>
        <v/>
      </c>
      <c r="H244" s="5" t="inlineStr">
        <is>
          <t>Short</t>
        </is>
      </c>
      <c r="I244" s="6" t="n">
        <v>4115.25</v>
      </c>
      <c r="J244" s="6" t="n">
        <v>4171.75</v>
      </c>
      <c r="K244" s="6">
        <f>IF(H244="Long",J244-I244,IF(H244="Short",I244-J244,0))</f>
        <v/>
      </c>
      <c r="L244" s="7" t="n">
        <v>100</v>
      </c>
      <c r="M244" s="5" t="inlineStr">
        <is>
          <t>Loss</t>
        </is>
      </c>
      <c r="N244" s="6">
        <f>N243+K244</f>
        <v/>
      </c>
    </row>
    <row r="245">
      <c r="A245" s="5" t="inlineStr">
        <is>
          <t>2023-04</t>
        </is>
      </c>
      <c r="B245" s="5" t="inlineStr">
        <is>
          <t>ESM3</t>
        </is>
      </c>
      <c r="C245" s="5" t="n">
        <v>3</v>
      </c>
      <c r="D245" s="5" t="n">
        <v>22</v>
      </c>
      <c r="E245" s="6" t="n">
        <v>4171.75</v>
      </c>
      <c r="F245" s="6" t="n">
        <v>4115.25</v>
      </c>
      <c r="G245" s="6">
        <f>E245-F245</f>
        <v/>
      </c>
      <c r="H245" s="5" t="inlineStr">
        <is>
          <t>Short</t>
        </is>
      </c>
      <c r="I245" s="6" t="n">
        <v>4115.25</v>
      </c>
      <c r="J245" s="6" t="n">
        <v>4171.75</v>
      </c>
      <c r="K245" s="6">
        <f>IF(H245="Long",J245-I245,IF(H245="Short",I245-J245,0))</f>
        <v/>
      </c>
      <c r="L245" s="7" t="n">
        <v>100</v>
      </c>
      <c r="M245" s="5" t="inlineStr">
        <is>
          <t>Loss</t>
        </is>
      </c>
      <c r="N245" s="6">
        <f>N244+K245</f>
        <v/>
      </c>
    </row>
    <row r="246">
      <c r="A246" s="8" t="inlineStr">
        <is>
          <t>2023-05</t>
        </is>
      </c>
      <c r="B246" s="8" t="inlineStr">
        <is>
          <t>ESM3</t>
        </is>
      </c>
      <c r="C246" s="8" t="n">
        <v>3</v>
      </c>
      <c r="D246" s="8" t="n">
        <v>24</v>
      </c>
      <c r="E246" s="9" t="n">
        <v>4206.25</v>
      </c>
      <c r="F246" s="9" t="n">
        <v>4075.5</v>
      </c>
      <c r="G246" s="9">
        <f>E246-F246</f>
        <v/>
      </c>
      <c r="H246" s="8" t="inlineStr">
        <is>
          <t>Long</t>
        </is>
      </c>
      <c r="I246" s="9" t="n">
        <v>4206.25</v>
      </c>
      <c r="J246" s="9" t="n">
        <v>4196.25</v>
      </c>
      <c r="K246" s="9">
        <f>IF(H246="Long",J246-I246,IF(H246="Short",I246-J246,0))</f>
        <v/>
      </c>
      <c r="L246" s="10" t="n">
        <v>70.55</v>
      </c>
      <c r="M246" s="8" t="inlineStr">
        <is>
          <t>Period-Close</t>
        </is>
      </c>
      <c r="N246" s="9">
        <f>N245+K246</f>
        <v/>
      </c>
    </row>
    <row r="247">
      <c r="A247" s="2" t="inlineStr">
        <is>
          <t>2023-06</t>
        </is>
      </c>
      <c r="B247" s="2" t="inlineStr">
        <is>
          <t>ESM3</t>
        </is>
      </c>
      <c r="C247" s="2" t="n">
        <v>3</v>
      </c>
      <c r="D247" s="2" t="n">
        <v>23</v>
      </c>
      <c r="E247" s="3" t="n">
        <v>4297.75</v>
      </c>
      <c r="F247" s="3" t="n">
        <v>4178</v>
      </c>
      <c r="G247" s="3">
        <f>E247-F247</f>
        <v/>
      </c>
      <c r="H247" s="2" t="inlineStr">
        <is>
          <t>Long</t>
        </is>
      </c>
      <c r="I247" s="3" t="n">
        <v>4297.75</v>
      </c>
      <c r="J247" s="3" t="n">
        <v>4417.5</v>
      </c>
      <c r="K247" s="3">
        <f>IF(H247="Long",J247-I247,IF(H247="Short",I247-J247,0))</f>
        <v/>
      </c>
      <c r="L247" s="4" t="n">
        <v>0</v>
      </c>
      <c r="M247" s="2" t="inlineStr">
        <is>
          <t>Win</t>
        </is>
      </c>
      <c r="N247" s="3">
        <f>N246+K247</f>
        <v/>
      </c>
    </row>
    <row r="248">
      <c r="A248" s="2" t="inlineStr">
        <is>
          <t>2023-07</t>
        </is>
      </c>
      <c r="B248" s="2" t="inlineStr">
        <is>
          <t>ESU3</t>
        </is>
      </c>
      <c r="C248" s="2" t="n">
        <v>3</v>
      </c>
      <c r="D248" s="2" t="n">
        <v>23</v>
      </c>
      <c r="E248" s="3" t="n">
        <v>4494</v>
      </c>
      <c r="F248" s="3" t="n">
        <v>4479.5</v>
      </c>
      <c r="G248" s="3">
        <f>E248-F248</f>
        <v/>
      </c>
      <c r="H248" s="2" t="inlineStr">
        <is>
          <t>Short</t>
        </is>
      </c>
      <c r="I248" s="3" t="n">
        <v>4479.5</v>
      </c>
      <c r="J248" s="3" t="n">
        <v>4465</v>
      </c>
      <c r="K248" s="3">
        <f>IF(H248="Long",J248-I248,IF(H248="Short",I248-J248,0))</f>
        <v/>
      </c>
      <c r="L248" s="4" t="n">
        <v>0</v>
      </c>
      <c r="M248" s="2" t="inlineStr">
        <is>
          <t>Win</t>
        </is>
      </c>
      <c r="N248" s="3">
        <f>N247+K248</f>
        <v/>
      </c>
    </row>
    <row r="249">
      <c r="A249" s="5" t="inlineStr">
        <is>
          <t>2023-07</t>
        </is>
      </c>
      <c r="B249" s="5" t="inlineStr">
        <is>
          <t>ESU3</t>
        </is>
      </c>
      <c r="C249" s="5" t="n">
        <v>3</v>
      </c>
      <c r="D249" s="5" t="n">
        <v>23</v>
      </c>
      <c r="E249" s="6" t="n">
        <v>4494</v>
      </c>
      <c r="F249" s="6" t="n">
        <v>4479.5</v>
      </c>
      <c r="G249" s="6">
        <f>E249-F249</f>
        <v/>
      </c>
      <c r="H249" s="5" t="inlineStr">
        <is>
          <t>Short</t>
        </is>
      </c>
      <c r="I249" s="6" t="n">
        <v>4479.5</v>
      </c>
      <c r="J249" s="6" t="n">
        <v>4494</v>
      </c>
      <c r="K249" s="6">
        <f>IF(H249="Long",J249-I249,IF(H249="Short",I249-J249,0))</f>
        <v/>
      </c>
      <c r="L249" s="7" t="n">
        <v>100</v>
      </c>
      <c r="M249" s="5" t="inlineStr">
        <is>
          <t>Loss</t>
        </is>
      </c>
      <c r="N249" s="6">
        <f>N248+K249</f>
        <v/>
      </c>
    </row>
    <row r="250">
      <c r="A250" s="2" t="inlineStr">
        <is>
          <t>2023-08</t>
        </is>
      </c>
      <c r="B250" s="2" t="inlineStr">
        <is>
          <t>ESU3</t>
        </is>
      </c>
      <c r="C250" s="2" t="n">
        <v>3</v>
      </c>
      <c r="D250" s="2" t="n">
        <v>24</v>
      </c>
      <c r="E250" s="3" t="n">
        <v>4621.75</v>
      </c>
      <c r="F250" s="3" t="n">
        <v>4505.75</v>
      </c>
      <c r="G250" s="3">
        <f>E250-F250</f>
        <v/>
      </c>
      <c r="H250" s="2" t="inlineStr">
        <is>
          <t>Short</t>
        </is>
      </c>
      <c r="I250" s="3" t="n">
        <v>4505.75</v>
      </c>
      <c r="J250" s="3" t="n">
        <v>4389.75</v>
      </c>
      <c r="K250" s="3">
        <f>IF(H250="Long",J250-I250,IF(H250="Short",I250-J250,0))</f>
        <v/>
      </c>
      <c r="L250" s="4" t="n">
        <v>33.62</v>
      </c>
      <c r="M250" s="2" t="inlineStr">
        <is>
          <t>Win</t>
        </is>
      </c>
      <c r="N250" s="3">
        <f>N249+K250</f>
        <v/>
      </c>
    </row>
    <row r="251">
      <c r="A251" s="8" t="inlineStr">
        <is>
          <t>2023-08</t>
        </is>
      </c>
      <c r="B251" s="8" t="inlineStr">
        <is>
          <t>ESU3</t>
        </is>
      </c>
      <c r="C251" s="8" t="n">
        <v>3</v>
      </c>
      <c r="D251" s="8" t="n">
        <v>24</v>
      </c>
      <c r="E251" s="9" t="n">
        <v>4621.75</v>
      </c>
      <c r="F251" s="9" t="n">
        <v>4505.75</v>
      </c>
      <c r="G251" s="9">
        <f>E251-F251</f>
        <v/>
      </c>
      <c r="H251" s="8" t="inlineStr">
        <is>
          <t>Short</t>
        </is>
      </c>
      <c r="I251" s="9" t="n">
        <v>4505.75</v>
      </c>
      <c r="J251" s="9" t="n">
        <v>4518.5</v>
      </c>
      <c r="K251" s="9">
        <f>IF(H251="Long",J251-I251,IF(H251="Short",I251-J251,0))</f>
        <v/>
      </c>
      <c r="L251" s="10" t="n">
        <v>30.6</v>
      </c>
      <c r="M251" s="8" t="inlineStr">
        <is>
          <t>Period-Close</t>
        </is>
      </c>
      <c r="N251" s="9">
        <f>N250+K251</f>
        <v/>
      </c>
    </row>
    <row r="252">
      <c r="A252" s="2" t="inlineStr">
        <is>
          <t>2023-09</t>
        </is>
      </c>
      <c r="B252" s="2" t="inlineStr">
        <is>
          <t>ESU3</t>
        </is>
      </c>
      <c r="C252" s="2" t="n">
        <v>3</v>
      </c>
      <c r="D252" s="2" t="n">
        <v>22</v>
      </c>
      <c r="E252" s="3" t="n">
        <v>4547.75</v>
      </c>
      <c r="F252" s="3" t="n">
        <v>4507.25</v>
      </c>
      <c r="G252" s="3">
        <f>E252-F252</f>
        <v/>
      </c>
      <c r="H252" s="2" t="inlineStr">
        <is>
          <t>Short</t>
        </is>
      </c>
      <c r="I252" s="3" t="n">
        <v>4507.25</v>
      </c>
      <c r="J252" s="3" t="n">
        <v>4466.75</v>
      </c>
      <c r="K252" s="3">
        <f>IF(H252="Long",J252-I252,IF(H252="Short",I252-J252,0))</f>
        <v/>
      </c>
      <c r="L252" s="4" t="n">
        <v>0</v>
      </c>
      <c r="M252" s="2" t="inlineStr">
        <is>
          <t>Win</t>
        </is>
      </c>
      <c r="N252" s="3">
        <f>N251+K252</f>
        <v/>
      </c>
    </row>
    <row r="253">
      <c r="A253" s="5" t="inlineStr">
        <is>
          <t>2023-09</t>
        </is>
      </c>
      <c r="B253" s="5" t="inlineStr">
        <is>
          <t>ESU3</t>
        </is>
      </c>
      <c r="C253" s="5" t="n">
        <v>3</v>
      </c>
      <c r="D253" s="5" t="n">
        <v>22</v>
      </c>
      <c r="E253" s="6" t="n">
        <v>4547.75</v>
      </c>
      <c r="F253" s="6" t="n">
        <v>4507.25</v>
      </c>
      <c r="G253" s="6">
        <f>E253-F253</f>
        <v/>
      </c>
      <c r="H253" s="5" t="inlineStr">
        <is>
          <t>Short</t>
        </is>
      </c>
      <c r="I253" s="6" t="n">
        <v>4507.25</v>
      </c>
      <c r="J253" s="6" t="n">
        <v>4547.75</v>
      </c>
      <c r="K253" s="6">
        <f>IF(H253="Long",J253-I253,IF(H253="Short",I253-J253,0))</f>
        <v/>
      </c>
      <c r="L253" s="7" t="n">
        <v>100</v>
      </c>
      <c r="M253" s="5" t="inlineStr">
        <is>
          <t>Loss</t>
        </is>
      </c>
      <c r="N253" s="6">
        <f>N252+K253</f>
        <v/>
      </c>
    </row>
    <row r="254">
      <c r="A254" s="5" t="inlineStr">
        <is>
          <t>2023-10</t>
        </is>
      </c>
      <c r="B254" s="5" t="inlineStr">
        <is>
          <t>ESZ3</t>
        </is>
      </c>
      <c r="C254" s="5" t="n">
        <v>3</v>
      </c>
      <c r="D254" s="5" t="n">
        <v>24</v>
      </c>
      <c r="E254" s="6" t="n">
        <v>4355.5</v>
      </c>
      <c r="F254" s="6" t="n">
        <v>4251.25</v>
      </c>
      <c r="G254" s="6">
        <f>E254-F254</f>
        <v/>
      </c>
      <c r="H254" s="5" t="inlineStr">
        <is>
          <t>Long</t>
        </is>
      </c>
      <c r="I254" s="6" t="n">
        <v>4355.5</v>
      </c>
      <c r="J254" s="6" t="n">
        <v>4251.25</v>
      </c>
      <c r="K254" s="6">
        <f>IF(H254="Long",J254-I254,IF(H254="Short",I254-J254,0))</f>
        <v/>
      </c>
      <c r="L254" s="7" t="n">
        <v>100</v>
      </c>
      <c r="M254" s="5" t="inlineStr">
        <is>
          <t>Loss</t>
        </is>
      </c>
      <c r="N254" s="6">
        <f>N253+K254</f>
        <v/>
      </c>
    </row>
    <row r="255">
      <c r="A255" s="2" t="inlineStr">
        <is>
          <t>2023-10</t>
        </is>
      </c>
      <c r="B255" s="2" t="inlineStr">
        <is>
          <t>ESZ3</t>
        </is>
      </c>
      <c r="C255" s="2" t="n">
        <v>3</v>
      </c>
      <c r="D255" s="2" t="n">
        <v>24</v>
      </c>
      <c r="E255" s="3" t="n">
        <v>4355.5</v>
      </c>
      <c r="F255" s="3" t="n">
        <v>4251.25</v>
      </c>
      <c r="G255" s="3">
        <f>E255-F255</f>
        <v/>
      </c>
      <c r="H255" s="2" t="inlineStr">
        <is>
          <t>Short</t>
        </is>
      </c>
      <c r="I255" s="3" t="n">
        <v>4251.25</v>
      </c>
      <c r="J255" s="3" t="n">
        <v>4147</v>
      </c>
      <c r="K255" s="3">
        <f>IF(H255="Long",J255-I255,IF(H255="Short",I255-J255,0))</f>
        <v/>
      </c>
      <c r="L255" s="4" t="n">
        <v>37.65</v>
      </c>
      <c r="M255" s="2" t="inlineStr">
        <is>
          <t>Win</t>
        </is>
      </c>
      <c r="N255" s="3">
        <f>N254+K255</f>
        <v/>
      </c>
    </row>
    <row r="256">
      <c r="A256" s="2" t="inlineStr">
        <is>
          <t>2023-11</t>
        </is>
      </c>
      <c r="B256" s="2" t="inlineStr">
        <is>
          <t>ESZ3</t>
        </is>
      </c>
      <c r="C256" s="2" t="n">
        <v>3</v>
      </c>
      <c r="D256" s="2" t="n">
        <v>23</v>
      </c>
      <c r="E256" s="3" t="n">
        <v>4391.75</v>
      </c>
      <c r="F256" s="3" t="n">
        <v>4191.25</v>
      </c>
      <c r="G256" s="3">
        <f>E256-F256</f>
        <v/>
      </c>
      <c r="H256" s="2" t="inlineStr">
        <is>
          <t>Long</t>
        </is>
      </c>
      <c r="I256" s="3" t="n">
        <v>4391.75</v>
      </c>
      <c r="J256" s="3" t="n">
        <v>4592.25</v>
      </c>
      <c r="K256" s="3">
        <f>IF(H256="Long",J256-I256,IF(H256="Short",I256-J256,0))</f>
        <v/>
      </c>
      <c r="L256" s="4" t="n">
        <v>18.7</v>
      </c>
      <c r="M256" s="2" t="inlineStr">
        <is>
          <t>Win</t>
        </is>
      </c>
      <c r="N256" s="3">
        <f>N255+K256</f>
        <v/>
      </c>
    </row>
    <row r="257">
      <c r="A257" s="2" t="inlineStr">
        <is>
          <t>2023-12</t>
        </is>
      </c>
      <c r="B257" s="2" t="inlineStr">
        <is>
          <t>ESZ3</t>
        </is>
      </c>
      <c r="C257" s="2" t="n">
        <v>3</v>
      </c>
      <c r="D257" s="2" t="n">
        <v>21</v>
      </c>
      <c r="E257" s="3" t="n">
        <v>4607.75</v>
      </c>
      <c r="F257" s="3" t="n">
        <v>4553.5</v>
      </c>
      <c r="G257" s="3">
        <f>E257-F257</f>
        <v/>
      </c>
      <c r="H257" s="2" t="inlineStr">
        <is>
          <t>Long</t>
        </is>
      </c>
      <c r="I257" s="3" t="n">
        <v>4607.75</v>
      </c>
      <c r="J257" s="3" t="n">
        <v>4662</v>
      </c>
      <c r="K257" s="3">
        <f>IF(H257="Long",J257-I257,IF(H257="Short",I257-J257,0))</f>
        <v/>
      </c>
      <c r="L257" s="4" t="n">
        <v>0</v>
      </c>
      <c r="M257" s="2" t="inlineStr">
        <is>
          <t>Win</t>
        </is>
      </c>
      <c r="N257" s="3">
        <f>N256+K257</f>
        <v/>
      </c>
    </row>
    <row r="258">
      <c r="A258" s="5" t="inlineStr">
        <is>
          <t>2024-01</t>
        </is>
      </c>
      <c r="B258" s="5" t="inlineStr">
        <is>
          <t>ESH4</t>
        </is>
      </c>
      <c r="C258" s="5" t="n">
        <v>3</v>
      </c>
      <c r="D258" s="5" t="n">
        <v>24</v>
      </c>
      <c r="E258" s="6" t="n">
        <v>4828</v>
      </c>
      <c r="F258" s="6" t="n">
        <v>4741</v>
      </c>
      <c r="G258" s="6">
        <f>E258-F258</f>
        <v/>
      </c>
      <c r="H258" s="5" t="inlineStr">
        <is>
          <t>Short</t>
        </is>
      </c>
      <c r="I258" s="6" t="n">
        <v>4741</v>
      </c>
      <c r="J258" s="6" t="n">
        <v>4828</v>
      </c>
      <c r="K258" s="6">
        <f>IF(H258="Long",J258-I258,IF(H258="Short",I258-J258,0))</f>
        <v/>
      </c>
      <c r="L258" s="7" t="n">
        <v>100</v>
      </c>
      <c r="M258" s="5" t="inlineStr">
        <is>
          <t>Loss</t>
        </is>
      </c>
      <c r="N258" s="6">
        <f>N257+K258</f>
        <v/>
      </c>
    </row>
    <row r="259">
      <c r="A259" s="2" t="inlineStr">
        <is>
          <t>2024-01</t>
        </is>
      </c>
      <c r="B259" s="2" t="inlineStr">
        <is>
          <t>ESH4</t>
        </is>
      </c>
      <c r="C259" s="2" t="n">
        <v>3</v>
      </c>
      <c r="D259" s="2" t="n">
        <v>24</v>
      </c>
      <c r="E259" s="3" t="n">
        <v>4828</v>
      </c>
      <c r="F259" s="3" t="n">
        <v>4741</v>
      </c>
      <c r="G259" s="3">
        <f>E259-F259</f>
        <v/>
      </c>
      <c r="H259" s="2" t="inlineStr">
        <is>
          <t>Long</t>
        </is>
      </c>
      <c r="I259" s="3" t="n">
        <v>4828</v>
      </c>
      <c r="J259" s="3" t="n">
        <v>4915</v>
      </c>
      <c r="K259" s="3">
        <f>IF(H259="Long",J259-I259,IF(H259="Short",I259-J259,0))</f>
        <v/>
      </c>
      <c r="L259" s="4" t="n">
        <v>0</v>
      </c>
      <c r="M259" s="2" t="inlineStr">
        <is>
          <t>Win</t>
        </is>
      </c>
      <c r="N259" s="3">
        <f>N258+K259</f>
        <v/>
      </c>
    </row>
    <row r="260">
      <c r="A260" s="2" t="inlineStr">
        <is>
          <t>2024-02</t>
        </is>
      </c>
      <c r="B260" s="2" t="inlineStr">
        <is>
          <t>ESH4</t>
        </is>
      </c>
      <c r="C260" s="2" t="n">
        <v>3</v>
      </c>
      <c r="D260" s="2" t="n">
        <v>22</v>
      </c>
      <c r="E260" s="3" t="n">
        <v>4997.75</v>
      </c>
      <c r="F260" s="3" t="n">
        <v>4873.75</v>
      </c>
      <c r="G260" s="3">
        <f>E260-F260</f>
        <v/>
      </c>
      <c r="H260" s="2" t="inlineStr">
        <is>
          <t>Long</t>
        </is>
      </c>
      <c r="I260" s="3" t="n">
        <v>4997.75</v>
      </c>
      <c r="J260" s="3" t="n">
        <v>5121.75</v>
      </c>
      <c r="K260" s="3">
        <f>IF(H260="Long",J260-I260,IF(H260="Short",I260-J260,0))</f>
        <v/>
      </c>
      <c r="L260" s="4" t="n">
        <v>49.4</v>
      </c>
      <c r="M260" s="2" t="inlineStr">
        <is>
          <t>Win</t>
        </is>
      </c>
      <c r="N260" s="3">
        <f>N259+K260</f>
        <v/>
      </c>
    </row>
    <row r="261">
      <c r="A261" s="5" t="inlineStr">
        <is>
          <t>2024-03</t>
        </is>
      </c>
      <c r="B261" s="5" t="inlineStr">
        <is>
          <t>ESH4</t>
        </is>
      </c>
      <c r="C261" s="5" t="n">
        <v>3</v>
      </c>
      <c r="D261" s="5" t="n">
        <v>22</v>
      </c>
      <c r="E261" s="6" t="n">
        <v>5157.75</v>
      </c>
      <c r="F261" s="6" t="n">
        <v>5089.25</v>
      </c>
      <c r="G261" s="6">
        <f>E261-F261</f>
        <v/>
      </c>
      <c r="H261" s="5" t="inlineStr">
        <is>
          <t>Short</t>
        </is>
      </c>
      <c r="I261" s="6" t="n">
        <v>5089.25</v>
      </c>
      <c r="J261" s="6" t="n">
        <v>5157.75</v>
      </c>
      <c r="K261" s="6">
        <f>IF(H261="Long",J261-I261,IF(H261="Short",I261-J261,0))</f>
        <v/>
      </c>
      <c r="L261" s="7" t="n">
        <v>100</v>
      </c>
      <c r="M261" s="5" t="inlineStr">
        <is>
          <t>Loss</t>
        </is>
      </c>
      <c r="N261" s="6">
        <f>N260+K261</f>
        <v/>
      </c>
    </row>
    <row r="262">
      <c r="A262" s="2" t="inlineStr">
        <is>
          <t>2024-03</t>
        </is>
      </c>
      <c r="B262" s="2" t="inlineStr">
        <is>
          <t>ESH4</t>
        </is>
      </c>
      <c r="C262" s="2" t="n">
        <v>3</v>
      </c>
      <c r="D262" s="2" t="n">
        <v>22</v>
      </c>
      <c r="E262" s="3" t="n">
        <v>5157.75</v>
      </c>
      <c r="F262" s="3" t="n">
        <v>5089.25</v>
      </c>
      <c r="G262" s="3">
        <f>E262-F262</f>
        <v/>
      </c>
      <c r="H262" s="2" t="inlineStr">
        <is>
          <t>Long</t>
        </is>
      </c>
      <c r="I262" s="3" t="n">
        <v>5157.75</v>
      </c>
      <c r="J262" s="3" t="n">
        <v>5226.25</v>
      </c>
      <c r="K262" s="3">
        <f>IF(H262="Long",J262-I262,IF(H262="Short",I262-J262,0))</f>
        <v/>
      </c>
      <c r="L262" s="4" t="n">
        <v>57.66</v>
      </c>
      <c r="M262" s="2" t="inlineStr">
        <is>
          <t>Win</t>
        </is>
      </c>
      <c r="N262" s="3">
        <f>N261+K262</f>
        <v/>
      </c>
    </row>
    <row r="263">
      <c r="A263" s="2" t="inlineStr">
        <is>
          <t>2024-04</t>
        </is>
      </c>
      <c r="B263" s="2" t="inlineStr">
        <is>
          <t>ESM4</t>
        </is>
      </c>
      <c r="C263" s="2" t="n">
        <v>3</v>
      </c>
      <c r="D263" s="2" t="n">
        <v>23</v>
      </c>
      <c r="E263" s="3" t="n">
        <v>5332.5</v>
      </c>
      <c r="F263" s="3" t="n">
        <v>5235</v>
      </c>
      <c r="G263" s="3">
        <f>E263-F263</f>
        <v/>
      </c>
      <c r="H263" s="2" t="inlineStr">
        <is>
          <t>Short</t>
        </is>
      </c>
      <c r="I263" s="3" t="n">
        <v>5235</v>
      </c>
      <c r="J263" s="3" t="n">
        <v>5137.5</v>
      </c>
      <c r="K263" s="3">
        <f>IF(H263="Long",J263-I263,IF(H263="Short",I263-J263,0))</f>
        <v/>
      </c>
      <c r="L263" s="4" t="n">
        <v>51.28</v>
      </c>
      <c r="M263" s="2" t="inlineStr">
        <is>
          <t>Win</t>
        </is>
      </c>
      <c r="N263" s="3">
        <f>N262+K263</f>
        <v/>
      </c>
    </row>
    <row r="264">
      <c r="A264" s="2" t="inlineStr">
        <is>
          <t>2024-05</t>
        </is>
      </c>
      <c r="B264" s="2" t="inlineStr">
        <is>
          <t>ESM4</t>
        </is>
      </c>
      <c r="C264" s="2" t="n">
        <v>3</v>
      </c>
      <c r="D264" s="2" t="n">
        <v>24</v>
      </c>
      <c r="E264" s="3" t="n">
        <v>5166.75</v>
      </c>
      <c r="F264" s="3" t="n">
        <v>5036.25</v>
      </c>
      <c r="G264" s="3">
        <f>E264-F264</f>
        <v/>
      </c>
      <c r="H264" s="2" t="inlineStr">
        <is>
          <t>Long</t>
        </is>
      </c>
      <c r="I264" s="3" t="n">
        <v>5166.75</v>
      </c>
      <c r="J264" s="3" t="n">
        <v>5297.25</v>
      </c>
      <c r="K264" s="3">
        <f>IF(H264="Long",J264-I264,IF(H264="Short",I264-J264,0))</f>
        <v/>
      </c>
      <c r="L264" s="4" t="n">
        <v>0</v>
      </c>
      <c r="M264" s="2" t="inlineStr">
        <is>
          <t>Win</t>
        </is>
      </c>
      <c r="N264" s="3">
        <f>N263+K264</f>
        <v/>
      </c>
    </row>
    <row r="265">
      <c r="A265" s="2" t="inlineStr">
        <is>
          <t>2024-06</t>
        </is>
      </c>
      <c r="B265" s="2" t="inlineStr">
        <is>
          <t>ESM4</t>
        </is>
      </c>
      <c r="C265" s="2" t="n">
        <v>3</v>
      </c>
      <c r="D265" s="2" t="n">
        <v>22</v>
      </c>
      <c r="E265" s="3" t="n">
        <v>5313.25</v>
      </c>
      <c r="F265" s="3" t="n">
        <v>5246.75</v>
      </c>
      <c r="G265" s="3">
        <f>E265-F265</f>
        <v/>
      </c>
      <c r="H265" s="2" t="inlineStr">
        <is>
          <t>Long</t>
        </is>
      </c>
      <c r="I265" s="3" t="n">
        <v>5313.25</v>
      </c>
      <c r="J265" s="3" t="n">
        <v>5379.75</v>
      </c>
      <c r="K265" s="3">
        <f>IF(H265="Long",J265-I265,IF(H265="Short",I265-J265,0))</f>
        <v/>
      </c>
      <c r="L265" s="4" t="n">
        <v>0</v>
      </c>
      <c r="M265" s="2" t="inlineStr">
        <is>
          <t>Win</t>
        </is>
      </c>
      <c r="N265" s="3">
        <f>N264+K265</f>
        <v/>
      </c>
    </row>
    <row r="266">
      <c r="A266" s="2" t="inlineStr">
        <is>
          <t>2024-07</t>
        </is>
      </c>
      <c r="B266" s="2" t="inlineStr">
        <is>
          <t>ESU4</t>
        </is>
      </c>
      <c r="C266" s="2" t="n">
        <v>3</v>
      </c>
      <c r="D266" s="2" t="n">
        <v>24</v>
      </c>
      <c r="E266" s="3" t="n">
        <v>5595.75</v>
      </c>
      <c r="F266" s="3" t="n">
        <v>5502.75</v>
      </c>
      <c r="G266" s="3">
        <f>E266-F266</f>
        <v/>
      </c>
      <c r="H266" s="2" t="inlineStr">
        <is>
          <t>Long</t>
        </is>
      </c>
      <c r="I266" s="3" t="n">
        <v>5595.75</v>
      </c>
      <c r="J266" s="3" t="n">
        <v>5688.75</v>
      </c>
      <c r="K266" s="3">
        <f>IF(H266="Long",J266-I266,IF(H266="Short",I266-J266,0))</f>
        <v/>
      </c>
      <c r="L266" s="4" t="n">
        <v>0</v>
      </c>
      <c r="M266" s="2" t="inlineStr">
        <is>
          <t>Win</t>
        </is>
      </c>
      <c r="N266" s="3">
        <f>N265+K266</f>
        <v/>
      </c>
    </row>
    <row r="267">
      <c r="A267" s="5" t="inlineStr">
        <is>
          <t>2024-07</t>
        </is>
      </c>
      <c r="B267" s="5" t="inlineStr">
        <is>
          <t>ESU4</t>
        </is>
      </c>
      <c r="C267" s="5" t="n">
        <v>3</v>
      </c>
      <c r="D267" s="5" t="n">
        <v>24</v>
      </c>
      <c r="E267" s="6" t="n">
        <v>5595.75</v>
      </c>
      <c r="F267" s="6" t="n">
        <v>5502.75</v>
      </c>
      <c r="G267" s="6">
        <f>E267-F267</f>
        <v/>
      </c>
      <c r="H267" s="5" t="inlineStr">
        <is>
          <t>Long</t>
        </is>
      </c>
      <c r="I267" s="6" t="n">
        <v>5595.75</v>
      </c>
      <c r="J267" s="6" t="n">
        <v>5502.75</v>
      </c>
      <c r="K267" s="6">
        <f>IF(H267="Long",J267-I267,IF(H267="Short",I267-J267,0))</f>
        <v/>
      </c>
      <c r="L267" s="7" t="n">
        <v>100</v>
      </c>
      <c r="M267" s="5" t="inlineStr">
        <is>
          <t>Loss</t>
        </is>
      </c>
      <c r="N267" s="6">
        <f>N266+K267</f>
        <v/>
      </c>
    </row>
    <row r="268">
      <c r="A268" s="5" t="inlineStr">
        <is>
          <t>2024-08</t>
        </is>
      </c>
      <c r="B268" s="5" t="inlineStr">
        <is>
          <t>ESU4</t>
        </is>
      </c>
      <c r="C268" s="5" t="n">
        <v>3</v>
      </c>
      <c r="D268" s="5" t="n">
        <v>23</v>
      </c>
      <c r="E268" s="6" t="n">
        <v>5600.75</v>
      </c>
      <c r="F268" s="6" t="n">
        <v>5313</v>
      </c>
      <c r="G268" s="6">
        <f>E268-F268</f>
        <v/>
      </c>
      <c r="H268" s="5" t="inlineStr">
        <is>
          <t>Short</t>
        </is>
      </c>
      <c r="I268" s="6" t="n">
        <v>5313</v>
      </c>
      <c r="J268" s="6" t="n">
        <v>5600.75</v>
      </c>
      <c r="K268" s="6">
        <f>IF(H268="Long",J268-I268,IF(H268="Short",I268-J268,0))</f>
        <v/>
      </c>
      <c r="L268" s="7" t="n">
        <v>100</v>
      </c>
      <c r="M268" s="5" t="inlineStr">
        <is>
          <t>Loss</t>
        </is>
      </c>
      <c r="N268" s="6">
        <f>N267+K268</f>
        <v/>
      </c>
    </row>
    <row r="269">
      <c r="A269" s="8" t="inlineStr">
        <is>
          <t>2024-08</t>
        </is>
      </c>
      <c r="B269" s="8" t="inlineStr">
        <is>
          <t>ESU4</t>
        </is>
      </c>
      <c r="C269" s="8" t="n">
        <v>3</v>
      </c>
      <c r="D269" s="8" t="n">
        <v>23</v>
      </c>
      <c r="E269" s="9" t="n">
        <v>5600.75</v>
      </c>
      <c r="F269" s="9" t="n">
        <v>5313</v>
      </c>
      <c r="G269" s="9">
        <f>E269-F269</f>
        <v/>
      </c>
      <c r="H269" s="8" t="inlineStr">
        <is>
          <t>Long</t>
        </is>
      </c>
      <c r="I269" s="9" t="n">
        <v>5600.75</v>
      </c>
      <c r="J269" s="9" t="n">
        <v>5656.5</v>
      </c>
      <c r="K269" s="9">
        <f>IF(H269="Long",J269-I269,IF(H269="Short",I269-J269,0))</f>
        <v/>
      </c>
      <c r="L269" s="10" t="n">
        <v>13.73</v>
      </c>
      <c r="M269" s="8" t="inlineStr">
        <is>
          <t>Period-Close</t>
        </is>
      </c>
      <c r="N269" s="9">
        <f>N268+K269</f>
        <v/>
      </c>
    </row>
    <row r="270">
      <c r="A270" s="5" t="inlineStr">
        <is>
          <t>2024-09</t>
        </is>
      </c>
      <c r="B270" s="5" t="inlineStr">
        <is>
          <t>ESU4</t>
        </is>
      </c>
      <c r="C270" s="5" t="n">
        <v>3</v>
      </c>
      <c r="D270" s="5" t="n">
        <v>23</v>
      </c>
      <c r="E270" s="6" t="n">
        <v>5669.75</v>
      </c>
      <c r="F270" s="6" t="n">
        <v>5516.75</v>
      </c>
      <c r="G270" s="6">
        <f>E270-F270</f>
        <v/>
      </c>
      <c r="H270" s="5" t="inlineStr">
        <is>
          <t>Short</t>
        </is>
      </c>
      <c r="I270" s="6" t="n">
        <v>5516.75</v>
      </c>
      <c r="J270" s="6" t="n">
        <v>5669.75</v>
      </c>
      <c r="K270" s="6">
        <f>IF(H270="Long",J270-I270,IF(H270="Short",I270-J270,0))</f>
        <v/>
      </c>
      <c r="L270" s="7" t="n">
        <v>100</v>
      </c>
      <c r="M270" s="5" t="inlineStr">
        <is>
          <t>Loss</t>
        </is>
      </c>
      <c r="N270" s="6">
        <f>N269+K270</f>
        <v/>
      </c>
    </row>
    <row r="271">
      <c r="A271" s="2" t="inlineStr">
        <is>
          <t>2024-09</t>
        </is>
      </c>
      <c r="B271" s="2" t="inlineStr">
        <is>
          <t>ESU4</t>
        </is>
      </c>
      <c r="C271" s="2" t="n">
        <v>3</v>
      </c>
      <c r="D271" s="2" t="n">
        <v>23</v>
      </c>
      <c r="E271" s="3" t="n">
        <v>5669.75</v>
      </c>
      <c r="F271" s="3" t="n">
        <v>5516.75</v>
      </c>
      <c r="G271" s="3">
        <f>E271-F271</f>
        <v/>
      </c>
      <c r="H271" s="2" t="inlineStr">
        <is>
          <t>Long</t>
        </is>
      </c>
      <c r="I271" s="3" t="n">
        <v>5669.75</v>
      </c>
      <c r="J271" s="3" t="n">
        <v>5822.75</v>
      </c>
      <c r="K271" s="3">
        <f>IF(H271="Long",J271-I271,IF(H271="Short",I271-J271,0))</f>
        <v/>
      </c>
      <c r="L271" s="4" t="n">
        <v>0</v>
      </c>
      <c r="M271" s="2" t="inlineStr">
        <is>
          <t>Win</t>
        </is>
      </c>
      <c r="N271" s="3">
        <f>N270+K271</f>
        <v/>
      </c>
    </row>
    <row r="272">
      <c r="A272" s="2" t="inlineStr">
        <is>
          <t>2024-10</t>
        </is>
      </c>
      <c r="B272" s="2" t="inlineStr">
        <is>
          <t>ESZ4</t>
        </is>
      </c>
      <c r="C272" s="2" t="n">
        <v>3</v>
      </c>
      <c r="D272" s="2" t="n">
        <v>24</v>
      </c>
      <c r="E272" s="3" t="n">
        <v>5822.5</v>
      </c>
      <c r="F272" s="3" t="n">
        <v>5724</v>
      </c>
      <c r="G272" s="3">
        <f>E272-F272</f>
        <v/>
      </c>
      <c r="H272" s="2" t="inlineStr">
        <is>
          <t>Long</t>
        </is>
      </c>
      <c r="I272" s="3" t="n">
        <v>5822.5</v>
      </c>
      <c r="J272" s="3" t="n">
        <v>5921</v>
      </c>
      <c r="K272" s="3">
        <f>IF(H272="Long",J272-I272,IF(H272="Short",I272-J272,0))</f>
        <v/>
      </c>
      <c r="L272" s="4" t="n">
        <v>11.17</v>
      </c>
      <c r="M272" s="2" t="inlineStr">
        <is>
          <t>Win</t>
        </is>
      </c>
      <c r="N272" s="3">
        <f>N271+K272</f>
        <v/>
      </c>
    </row>
    <row r="273">
      <c r="A273" s="8" t="inlineStr">
        <is>
          <t>2024-10</t>
        </is>
      </c>
      <c r="B273" s="8" t="inlineStr">
        <is>
          <t>ESZ4</t>
        </is>
      </c>
      <c r="C273" s="8" t="n">
        <v>3</v>
      </c>
      <c r="D273" s="8" t="n">
        <v>24</v>
      </c>
      <c r="E273" s="9" t="n">
        <v>5822.5</v>
      </c>
      <c r="F273" s="9" t="n">
        <v>5724</v>
      </c>
      <c r="G273" s="9">
        <f>E273-F273</f>
        <v/>
      </c>
      <c r="H273" s="8" t="inlineStr">
        <is>
          <t>Long</t>
        </is>
      </c>
      <c r="I273" s="9" t="n">
        <v>5822.5</v>
      </c>
      <c r="J273" s="9" t="n">
        <v>5742.5</v>
      </c>
      <c r="K273" s="9">
        <f>IF(H273="Long",J273-I273,IF(H273="Short",I273-J273,0))</f>
        <v/>
      </c>
      <c r="L273" s="10" t="n">
        <v>90.61</v>
      </c>
      <c r="M273" s="8" t="inlineStr">
        <is>
          <t>Period-Close</t>
        </is>
      </c>
      <c r="N273" s="9">
        <f>N272+K273</f>
        <v/>
      </c>
    </row>
    <row r="274">
      <c r="A274" s="2" t="inlineStr">
        <is>
          <t>2024-11</t>
        </is>
      </c>
      <c r="B274" s="2" t="inlineStr">
        <is>
          <t>ESZ4</t>
        </is>
      </c>
      <c r="C274" s="2" t="n">
        <v>3</v>
      </c>
      <c r="D274" s="2" t="n">
        <v>22</v>
      </c>
      <c r="E274" s="3" t="n">
        <v>5803.75</v>
      </c>
      <c r="F274" s="3" t="n">
        <v>5724.25</v>
      </c>
      <c r="G274" s="3">
        <f>E274-F274</f>
        <v/>
      </c>
      <c r="H274" s="2" t="inlineStr">
        <is>
          <t>Long</t>
        </is>
      </c>
      <c r="I274" s="3" t="n">
        <v>5803.75</v>
      </c>
      <c r="J274" s="3" t="n">
        <v>5883.25</v>
      </c>
      <c r="K274" s="3">
        <f>IF(H274="Long",J274-I274,IF(H274="Short",I274-J274,0))</f>
        <v/>
      </c>
      <c r="L274" s="4" t="n">
        <v>0</v>
      </c>
      <c r="M274" s="2" t="inlineStr">
        <is>
          <t>Win</t>
        </is>
      </c>
      <c r="N274" s="3">
        <f>N273+K274</f>
        <v/>
      </c>
    </row>
    <row r="275">
      <c r="A275" s="2" t="inlineStr">
        <is>
          <t>2024-12</t>
        </is>
      </c>
      <c r="B275" s="2" t="inlineStr">
        <is>
          <t>ESZ4</t>
        </is>
      </c>
      <c r="C275" s="2" t="n">
        <v>3</v>
      </c>
      <c r="D275" s="2" t="n">
        <v>24</v>
      </c>
      <c r="E275" s="3" t="n">
        <v>6070.75</v>
      </c>
      <c r="F275" s="3" t="n">
        <v>6036</v>
      </c>
      <c r="G275" s="3">
        <f>E275-F275</f>
        <v/>
      </c>
      <c r="H275" s="2" t="inlineStr">
        <is>
          <t>Long</t>
        </is>
      </c>
      <c r="I275" s="3" t="n">
        <v>6070.75</v>
      </c>
      <c r="J275" s="3" t="n">
        <v>6105.5</v>
      </c>
      <c r="K275" s="3">
        <f>IF(H275="Long",J275-I275,IF(H275="Short",I275-J275,0))</f>
        <v/>
      </c>
      <c r="L275" s="4" t="n">
        <v>0</v>
      </c>
      <c r="M275" s="2" t="inlineStr">
        <is>
          <t>Win</t>
        </is>
      </c>
      <c r="N275" s="3">
        <f>N274+K275</f>
        <v/>
      </c>
    </row>
    <row r="276">
      <c r="A276" s="2" t="inlineStr">
        <is>
          <t>2024-12</t>
        </is>
      </c>
      <c r="B276" s="2" t="inlineStr">
        <is>
          <t>ESZ4</t>
        </is>
      </c>
      <c r="C276" s="2" t="n">
        <v>3</v>
      </c>
      <c r="D276" s="2" t="n">
        <v>24</v>
      </c>
      <c r="E276" s="3" t="n">
        <v>6070.75</v>
      </c>
      <c r="F276" s="3" t="n">
        <v>6036</v>
      </c>
      <c r="G276" s="3">
        <f>E276-F276</f>
        <v/>
      </c>
      <c r="H276" s="2" t="inlineStr">
        <is>
          <t>Long</t>
        </is>
      </c>
      <c r="I276" s="3" t="n">
        <v>6070.75</v>
      </c>
      <c r="J276" s="3" t="n">
        <v>6105.5</v>
      </c>
      <c r="K276" s="3">
        <f>IF(H276="Long",J276-I276,IF(H276="Short",I276-J276,0))</f>
        <v/>
      </c>
      <c r="L276" s="4" t="n">
        <v>30.94</v>
      </c>
      <c r="M276" s="2" t="inlineStr">
        <is>
          <t>Win</t>
        </is>
      </c>
      <c r="N276" s="3">
        <f>N275+K276</f>
        <v/>
      </c>
    </row>
    <row r="277">
      <c r="A277" s="5" t="inlineStr">
        <is>
          <t>2025-01</t>
        </is>
      </c>
      <c r="B277" s="5" t="inlineStr">
        <is>
          <t>ESH5</t>
        </is>
      </c>
      <c r="C277" s="5" t="n">
        <v>3</v>
      </c>
      <c r="D277" s="5" t="n">
        <v>24</v>
      </c>
      <c r="E277" s="6" t="n">
        <v>5996.75</v>
      </c>
      <c r="F277" s="6" t="n">
        <v>5874.75</v>
      </c>
      <c r="G277" s="6">
        <f>E277-F277</f>
        <v/>
      </c>
      <c r="H277" s="5" t="inlineStr">
        <is>
          <t>Long</t>
        </is>
      </c>
      <c r="I277" s="6" t="n">
        <v>5996.75</v>
      </c>
      <c r="J277" s="6" t="n">
        <v>5874.75</v>
      </c>
      <c r="K277" s="6">
        <f>IF(H277="Long",J277-I277,IF(H277="Short",I277-J277,0))</f>
        <v/>
      </c>
      <c r="L277" s="7" t="n">
        <v>100</v>
      </c>
      <c r="M277" s="5" t="inlineStr">
        <is>
          <t>Loss</t>
        </is>
      </c>
      <c r="N277" s="6">
        <f>N276+K277</f>
        <v/>
      </c>
    </row>
    <row r="278">
      <c r="A278" s="5" t="inlineStr">
        <is>
          <t>2025-01</t>
        </is>
      </c>
      <c r="B278" s="5" t="inlineStr">
        <is>
          <t>ESH5</t>
        </is>
      </c>
      <c r="C278" s="5" t="n">
        <v>3</v>
      </c>
      <c r="D278" s="5" t="n">
        <v>24</v>
      </c>
      <c r="E278" s="6" t="n">
        <v>5996.75</v>
      </c>
      <c r="F278" s="6" t="n">
        <v>5874.75</v>
      </c>
      <c r="G278" s="6">
        <f>E278-F278</f>
        <v/>
      </c>
      <c r="H278" s="5" t="inlineStr">
        <is>
          <t>Short</t>
        </is>
      </c>
      <c r="I278" s="6" t="n">
        <v>5874.75</v>
      </c>
      <c r="J278" s="6" t="n">
        <v>5996.75</v>
      </c>
      <c r="K278" s="6">
        <f>IF(H278="Long",J278-I278,IF(H278="Short",I278-J278,0))</f>
        <v/>
      </c>
      <c r="L278" s="7" t="n">
        <v>100</v>
      </c>
      <c r="M278" s="5" t="inlineStr">
        <is>
          <t>Loss</t>
        </is>
      </c>
      <c r="N278" s="6">
        <f>N277+K278</f>
        <v/>
      </c>
    </row>
    <row r="279">
      <c r="A279" s="5" t="inlineStr">
        <is>
          <t>2025-02</t>
        </is>
      </c>
      <c r="B279" s="5" t="inlineStr">
        <is>
          <t>ESH5</t>
        </is>
      </c>
      <c r="C279" s="5" t="n">
        <v>3</v>
      </c>
      <c r="D279" s="5" t="n">
        <v>21</v>
      </c>
      <c r="E279" s="6" t="n">
        <v>6069</v>
      </c>
      <c r="F279" s="6" t="n">
        <v>5935.5</v>
      </c>
      <c r="G279" s="6">
        <f>E279-F279</f>
        <v/>
      </c>
      <c r="H279" s="5" t="inlineStr">
        <is>
          <t>Long</t>
        </is>
      </c>
      <c r="I279" s="6" t="n">
        <v>6069</v>
      </c>
      <c r="J279" s="6" t="n">
        <v>5935.5</v>
      </c>
      <c r="K279" s="6">
        <f>IF(H279="Long",J279-I279,IF(H279="Short",I279-J279,0))</f>
        <v/>
      </c>
      <c r="L279" s="7" t="n">
        <v>100</v>
      </c>
      <c r="M279" s="5" t="inlineStr">
        <is>
          <t>Loss</t>
        </is>
      </c>
      <c r="N279" s="6">
        <f>N278+K279</f>
        <v/>
      </c>
    </row>
    <row r="280">
      <c r="A280" s="8" t="inlineStr">
        <is>
          <t>2025-02</t>
        </is>
      </c>
      <c r="B280" s="8" t="inlineStr">
        <is>
          <t>ESH5</t>
        </is>
      </c>
      <c r="C280" s="8" t="n">
        <v>3</v>
      </c>
      <c r="D280" s="8" t="n">
        <v>21</v>
      </c>
      <c r="E280" s="9" t="n">
        <v>6069</v>
      </c>
      <c r="F280" s="9" t="n">
        <v>5935.5</v>
      </c>
      <c r="G280" s="9">
        <f>E280-F280</f>
        <v/>
      </c>
      <c r="H280" s="8" t="inlineStr">
        <is>
          <t>Short</t>
        </is>
      </c>
      <c r="I280" s="9" t="n">
        <v>5935.5</v>
      </c>
      <c r="J280" s="9" t="n">
        <v>5958</v>
      </c>
      <c r="K280" s="9">
        <f>IF(H280="Long",J280-I280,IF(H280="Short",I280-J280,0))</f>
        <v/>
      </c>
      <c r="L280" s="10" t="n">
        <v>26.59</v>
      </c>
      <c r="M280" s="8" t="inlineStr">
        <is>
          <t>Period-Close</t>
        </is>
      </c>
      <c r="N280" s="9">
        <f>N279+K280</f>
        <v/>
      </c>
    </row>
    <row r="281">
      <c r="A281" s="8" t="inlineStr">
        <is>
          <t>2025-03</t>
        </is>
      </c>
      <c r="B281" s="8" t="inlineStr">
        <is>
          <t>ESH5</t>
        </is>
      </c>
      <c r="C281" s="8" t="n">
        <v>3</v>
      </c>
      <c r="D281" s="8" t="n">
        <v>23</v>
      </c>
      <c r="E281" s="9" t="n">
        <v>6000.5</v>
      </c>
      <c r="F281" s="9" t="n">
        <v>5744</v>
      </c>
      <c r="G281" s="9">
        <f>E281-F281</f>
        <v/>
      </c>
      <c r="H281" s="8" t="inlineStr">
        <is>
          <t>Short</t>
        </is>
      </c>
      <c r="I281" s="9" t="n">
        <v>5744</v>
      </c>
      <c r="J281" s="9" t="n">
        <v>5635.75</v>
      </c>
      <c r="K281" s="9">
        <f>IF(H281="Long",J281-I281,IF(H281="Short",I281-J281,0))</f>
        <v/>
      </c>
      <c r="L281" s="10" t="n">
        <v>36.35</v>
      </c>
      <c r="M281" s="8" t="inlineStr">
        <is>
          <t>Period-Close</t>
        </is>
      </c>
      <c r="N281" s="9">
        <f>N280+K281</f>
        <v/>
      </c>
    </row>
    <row r="282">
      <c r="A282" s="2" t="inlineStr">
        <is>
          <t>2025-04</t>
        </is>
      </c>
      <c r="B282" s="2" t="inlineStr">
        <is>
          <t>ESM5</t>
        </is>
      </c>
      <c r="C282" s="2" t="n">
        <v>3</v>
      </c>
      <c r="D282" s="2" t="n">
        <v>22</v>
      </c>
      <c r="E282" s="3" t="n">
        <v>5773.25</v>
      </c>
      <c r="F282" s="3" t="n">
        <v>5407.5</v>
      </c>
      <c r="G282" s="3">
        <f>E282-F282</f>
        <v/>
      </c>
      <c r="H282" s="2" t="inlineStr">
        <is>
          <t>Short</t>
        </is>
      </c>
      <c r="I282" s="3" t="n">
        <v>5407.5</v>
      </c>
      <c r="J282" s="3" t="n">
        <v>5041.75</v>
      </c>
      <c r="K282" s="3">
        <f>IF(H282="Long",J282-I282,IF(H282="Short",I282-J282,0))</f>
        <v/>
      </c>
      <c r="L282" s="4" t="n">
        <v>0</v>
      </c>
      <c r="M282" s="2" t="inlineStr">
        <is>
          <t>Win</t>
        </is>
      </c>
      <c r="N282" s="3">
        <f>N281+K282</f>
        <v/>
      </c>
    </row>
    <row r="283">
      <c r="A283" s="2" t="inlineStr">
        <is>
          <t>2025-04</t>
        </is>
      </c>
      <c r="B283" s="2" t="inlineStr">
        <is>
          <t>ESM5</t>
        </is>
      </c>
      <c r="C283" s="2" t="n">
        <v>3</v>
      </c>
      <c r="D283" s="2" t="n">
        <v>22</v>
      </c>
      <c r="E283" s="3" t="n">
        <v>5773.25</v>
      </c>
      <c r="F283" s="3" t="n">
        <v>5407.5</v>
      </c>
      <c r="G283" s="3">
        <f>E283-F283</f>
        <v/>
      </c>
      <c r="H283" s="2" t="inlineStr">
        <is>
          <t>Short</t>
        </is>
      </c>
      <c r="I283" s="3" t="n">
        <v>5407.5</v>
      </c>
      <c r="J283" s="3" t="n">
        <v>5041.75</v>
      </c>
      <c r="K283" s="3">
        <f>IF(H283="Long",J283-I283,IF(H283="Short",I283-J283,0))</f>
        <v/>
      </c>
      <c r="L283" s="4" t="n">
        <v>33.15</v>
      </c>
      <c r="M283" s="2" t="inlineStr">
        <is>
          <t>Win</t>
        </is>
      </c>
      <c r="N283" s="3">
        <f>N282+K283</f>
        <v/>
      </c>
    </row>
    <row r="284">
      <c r="A284" s="11" t="inlineStr">
        <is>
          <t>2025-05</t>
        </is>
      </c>
      <c r="B284" s="11" t="inlineStr">
        <is>
          <t>ESM5</t>
        </is>
      </c>
      <c r="C284" s="11" t="n">
        <v>3</v>
      </c>
      <c r="D284" s="11" t="n">
        <v>23</v>
      </c>
      <c r="E284" s="12" t="n">
        <v>5724.75</v>
      </c>
      <c r="F284" s="12" t="n">
        <v>5601</v>
      </c>
      <c r="G284" s="12">
        <f>E284-F284</f>
        <v/>
      </c>
      <c r="H284" s="11" t="inlineStr">
        <is>
          <t>No-Op</t>
        </is>
      </c>
      <c r="I284" s="12" t="n"/>
      <c r="J284" s="12" t="n"/>
      <c r="K284" s="12">
        <f>IF(H284="Long",J284-I284,IF(H284="Short",I284-J284,0))</f>
        <v/>
      </c>
      <c r="L284" s="13" t="n">
        <v>0</v>
      </c>
      <c r="M284" s="11" t="inlineStr">
        <is>
          <t>No-Op</t>
        </is>
      </c>
      <c r="N284" s="12">
        <f>N283+K284</f>
        <v/>
      </c>
    </row>
    <row r="285">
      <c r="A285" s="2" t="inlineStr">
        <is>
          <t>2025-06</t>
        </is>
      </c>
      <c r="B285" s="2" t="inlineStr">
        <is>
          <t>ESM5</t>
        </is>
      </c>
      <c r="C285" s="2" t="n">
        <v>3</v>
      </c>
      <c r="D285" s="2" t="n">
        <v>23</v>
      </c>
      <c r="E285" s="3" t="n">
        <v>5991.25</v>
      </c>
      <c r="F285" s="3" t="n">
        <v>5867.5</v>
      </c>
      <c r="G285" s="3">
        <f>E285-F285</f>
        <v/>
      </c>
      <c r="H285" s="2" t="inlineStr">
        <is>
          <t>Long</t>
        </is>
      </c>
      <c r="I285" s="3" t="n">
        <v>5991.25</v>
      </c>
      <c r="J285" s="3" t="n">
        <v>6115</v>
      </c>
      <c r="K285" s="3">
        <f>IF(H285="Long",J285-I285,IF(H285="Short",I285-J285,0))</f>
        <v/>
      </c>
      <c r="L285" s="4" t="n">
        <v>51.52</v>
      </c>
      <c r="M285" s="2" t="inlineStr">
        <is>
          <t>Win</t>
        </is>
      </c>
      <c r="N285" s="3">
        <f>N284+K285</f>
        <v/>
      </c>
    </row>
    <row r="286">
      <c r="A286" s="2" t="inlineStr">
        <is>
          <t>2025-07</t>
        </is>
      </c>
      <c r="B286" s="2" t="inlineStr">
        <is>
          <t>ESU5</t>
        </is>
      </c>
      <c r="C286" s="2" t="n">
        <v>3</v>
      </c>
      <c r="D286" s="2" t="n">
        <v>24</v>
      </c>
      <c r="E286" s="3" t="n">
        <v>6333.25</v>
      </c>
      <c r="F286" s="3" t="n">
        <v>6227.25</v>
      </c>
      <c r="G286" s="3">
        <f>E286-F286</f>
        <v/>
      </c>
      <c r="H286" s="2" t="inlineStr">
        <is>
          <t>Long</t>
        </is>
      </c>
      <c r="I286" s="3" t="n">
        <v>6333.25</v>
      </c>
      <c r="J286" s="3" t="n">
        <v>6439.25</v>
      </c>
      <c r="K286" s="3">
        <f>IF(H286="Long",J286-I286,IF(H286="Short",I286-J286,0))</f>
        <v/>
      </c>
      <c r="L286" s="4" t="n">
        <v>13.68</v>
      </c>
      <c r="M286" s="2" t="inlineStr">
        <is>
          <t>Win</t>
        </is>
      </c>
      <c r="N286" s="3">
        <f>N285+K286</f>
        <v/>
      </c>
    </row>
    <row r="287">
      <c r="A287" s="2" t="inlineStr">
        <is>
          <t>2025-08</t>
        </is>
      </c>
      <c r="B287" s="2" t="inlineStr">
        <is>
          <t>ESU5</t>
        </is>
      </c>
      <c r="C287" s="2" t="n">
        <v>3</v>
      </c>
      <c r="D287" s="2" t="n">
        <v>23</v>
      </c>
      <c r="E287" s="3" t="n">
        <v>6372.5</v>
      </c>
      <c r="F287" s="3" t="n">
        <v>6239.5</v>
      </c>
      <c r="G287" s="3">
        <f>E287-F287</f>
        <v/>
      </c>
      <c r="H287" s="2" t="inlineStr">
        <is>
          <t>Long</t>
        </is>
      </c>
      <c r="I287" s="3" t="n">
        <v>6372.5</v>
      </c>
      <c r="J287" s="3" t="n">
        <v>6505.5</v>
      </c>
      <c r="K287" s="3">
        <f>IF(H287="Long",J287-I287,IF(H287="Short",I287-J287,0))</f>
        <v/>
      </c>
      <c r="L287" s="4" t="n">
        <v>28.57</v>
      </c>
      <c r="M287" s="2" t="inlineStr">
        <is>
          <t>Win</t>
        </is>
      </c>
      <c r="N287" s="3">
        <f>N286+K287</f>
        <v/>
      </c>
    </row>
    <row r="288">
      <c r="A288" s="2" t="inlineStr">
        <is>
          <t>2025-08</t>
        </is>
      </c>
      <c r="B288" s="2" t="inlineStr">
        <is>
          <t>ESU5</t>
        </is>
      </c>
      <c r="C288" s="2" t="n">
        <v>3</v>
      </c>
      <c r="D288" s="2" t="n">
        <v>23</v>
      </c>
      <c r="E288" s="3" t="n">
        <v>6372.5</v>
      </c>
      <c r="F288" s="3" t="n">
        <v>6239.5</v>
      </c>
      <c r="G288" s="3">
        <f>E288-F288</f>
        <v/>
      </c>
      <c r="H288" s="2" t="inlineStr">
        <is>
          <t>Long</t>
        </is>
      </c>
      <c r="I288" s="3" t="n">
        <v>6372.5</v>
      </c>
      <c r="J288" s="3" t="n">
        <v>6505.5</v>
      </c>
      <c r="K288" s="3">
        <f>IF(H288="Long",J288-I288,IF(H288="Short",I288-J288,0))</f>
        <v/>
      </c>
      <c r="L288" s="4" t="n">
        <v>7.33</v>
      </c>
      <c r="M288" s="2" t="inlineStr">
        <is>
          <t>Win</t>
        </is>
      </c>
      <c r="N288" s="3">
        <f>N287+K288</f>
        <v/>
      </c>
    </row>
    <row r="289">
      <c r="A289" s="2" t="inlineStr">
        <is>
          <t>2025-09</t>
        </is>
      </c>
      <c r="B289" s="2" t="inlineStr">
        <is>
          <t>ESU5</t>
        </is>
      </c>
      <c r="C289" s="2" t="n">
        <v>3</v>
      </c>
      <c r="D289" s="2" t="n">
        <v>23</v>
      </c>
      <c r="E289" s="3" t="n">
        <v>6491.5</v>
      </c>
      <c r="F289" s="3" t="n">
        <v>6371.75</v>
      </c>
      <c r="G289" s="3">
        <f>E289-F289</f>
        <v/>
      </c>
      <c r="H289" s="2" t="inlineStr">
        <is>
          <t>Long</t>
        </is>
      </c>
      <c r="I289" s="3" t="n">
        <v>6491.5</v>
      </c>
      <c r="J289" s="3" t="n">
        <v>6611.25</v>
      </c>
      <c r="K289" s="3">
        <f>IF(H289="Long",J289-I289,IF(H289="Short",I289-J289,0))</f>
        <v/>
      </c>
      <c r="L289" s="4" t="n">
        <v>32.99</v>
      </c>
      <c r="M289" s="2" t="inlineStr">
        <is>
          <t>Win</t>
        </is>
      </c>
      <c r="N289" s="3">
        <f>N288+K289</f>
        <v/>
      </c>
    </row>
    <row r="290">
      <c r="A290" s="5" t="inlineStr">
        <is>
          <t>2025-10</t>
        </is>
      </c>
      <c r="B290" s="5" t="inlineStr">
        <is>
          <t>ESZ5</t>
        </is>
      </c>
      <c r="C290" s="5" t="n">
        <v>3</v>
      </c>
      <c r="D290" s="5" t="n">
        <v>24</v>
      </c>
      <c r="E290" s="6" t="n">
        <v>6800</v>
      </c>
      <c r="F290" s="6" t="n">
        <v>6680</v>
      </c>
      <c r="G290" s="6">
        <f>E290-F290</f>
        <v/>
      </c>
      <c r="H290" s="5" t="inlineStr">
        <is>
          <t>Long</t>
        </is>
      </c>
      <c r="I290" s="6" t="n">
        <v>6800</v>
      </c>
      <c r="J290" s="6" t="n">
        <v>6680</v>
      </c>
      <c r="K290" s="6">
        <f>IF(H290="Long",J290-I290,IF(H290="Short",I290-J290,0))</f>
        <v/>
      </c>
      <c r="L290" s="7" t="n">
        <v>100</v>
      </c>
      <c r="M290" s="5" t="inlineStr">
        <is>
          <t>Loss</t>
        </is>
      </c>
      <c r="N290" s="6">
        <f>N289+K290</f>
        <v/>
      </c>
    </row>
    <row r="291">
      <c r="A291" s="5" t="inlineStr">
        <is>
          <t>2025-10</t>
        </is>
      </c>
      <c r="B291" s="5" t="inlineStr">
        <is>
          <t>ESZ5</t>
        </is>
      </c>
      <c r="C291" s="5" t="n">
        <v>3</v>
      </c>
      <c r="D291" s="5" t="n">
        <v>24</v>
      </c>
      <c r="E291" s="6" t="n">
        <v>6800</v>
      </c>
      <c r="F291" s="6" t="n">
        <v>6680</v>
      </c>
      <c r="G291" s="6">
        <f>E291-F291</f>
        <v/>
      </c>
      <c r="H291" s="5" t="inlineStr">
        <is>
          <t>Short</t>
        </is>
      </c>
      <c r="I291" s="6" t="n">
        <v>6680</v>
      </c>
      <c r="J291" s="6" t="n">
        <v>6800</v>
      </c>
      <c r="K291" s="6">
        <f>IF(H291="Long",J291-I291,IF(H291="Short",I291-J291,0))</f>
        <v/>
      </c>
      <c r="L291" s="7" t="n">
        <v>100</v>
      </c>
      <c r="M291" s="5" t="inlineStr">
        <is>
          <t>Loss</t>
        </is>
      </c>
      <c r="N291" s="6">
        <f>N290+K291</f>
        <v/>
      </c>
    </row>
    <row r="292">
      <c r="A292" s="2" t="inlineStr">
        <is>
          <t>2025-11</t>
        </is>
      </c>
      <c r="B292" s="2" t="inlineStr">
        <is>
          <t>ESZ5</t>
        </is>
      </c>
      <c r="C292" s="2" t="n">
        <v>3</v>
      </c>
      <c r="D292" s="2" t="n">
        <v>22</v>
      </c>
      <c r="E292" s="3" t="n">
        <v>6909.5</v>
      </c>
      <c r="F292" s="3" t="n">
        <v>6786.25</v>
      </c>
      <c r="G292" s="3">
        <f>E292-F292</f>
        <v/>
      </c>
      <c r="H292" s="2" t="inlineStr">
        <is>
          <t>Short</t>
        </is>
      </c>
      <c r="I292" s="3" t="n">
        <v>6786.25</v>
      </c>
      <c r="J292" s="3" t="n">
        <v>6663</v>
      </c>
      <c r="K292" s="3">
        <f>IF(H292="Long",J292-I292,IF(H292="Short",I292-J292,0))</f>
        <v/>
      </c>
      <c r="L292" s="4" t="n">
        <v>0</v>
      </c>
      <c r="M292" s="2" t="inlineStr">
        <is>
          <t>Win</t>
        </is>
      </c>
      <c r="N292" s="3">
        <f>N291+K292</f>
        <v/>
      </c>
    </row>
    <row r="293">
      <c r="A293" s="2" t="inlineStr">
        <is>
          <t>2025-11</t>
        </is>
      </c>
      <c r="B293" s="2" t="inlineStr">
        <is>
          <t>ESZ5</t>
        </is>
      </c>
      <c r="C293" s="2" t="n">
        <v>3</v>
      </c>
      <c r="D293" s="2" t="n">
        <v>22</v>
      </c>
      <c r="E293" s="3" t="n">
        <v>6909.5</v>
      </c>
      <c r="F293" s="3" t="n">
        <v>6786.25</v>
      </c>
      <c r="G293" s="3">
        <f>E293-F293</f>
        <v/>
      </c>
      <c r="H293" s="2" t="inlineStr">
        <is>
          <t>Short</t>
        </is>
      </c>
      <c r="I293" s="3" t="n">
        <v>6786.25</v>
      </c>
      <c r="J293" s="3" t="n">
        <v>6663</v>
      </c>
      <c r="K293" s="3">
        <f>IF(H293="Long",J293-I293,IF(H293="Short",I293-J293,0))</f>
        <v/>
      </c>
      <c r="L293" s="4" t="n">
        <v>92.7</v>
      </c>
      <c r="M293" s="2" t="inlineStr">
        <is>
          <t>Win</t>
        </is>
      </c>
      <c r="N293" s="3">
        <f>N292+K293</f>
        <v/>
      </c>
    </row>
    <row r="294">
      <c r="A294" s="5" t="inlineStr">
        <is>
          <t>2025-12</t>
        </is>
      </c>
      <c r="B294" s="5" t="inlineStr">
        <is>
          <t>ESZ5</t>
        </is>
      </c>
      <c r="C294" s="5" t="n">
        <v>3</v>
      </c>
      <c r="D294" s="5" t="n">
        <v>24</v>
      </c>
      <c r="E294" s="6" t="n">
        <v>6873.25</v>
      </c>
      <c r="F294" s="6" t="n">
        <v>6802</v>
      </c>
      <c r="G294" s="6">
        <f>E294-F294</f>
        <v/>
      </c>
      <c r="H294" s="5" t="inlineStr">
        <is>
          <t>Long</t>
        </is>
      </c>
      <c r="I294" s="6" t="n">
        <v>6873.25</v>
      </c>
      <c r="J294" s="6" t="n">
        <v>6802</v>
      </c>
      <c r="K294" s="6">
        <f>IF(H294="Long",J294-I294,IF(H294="Short",I294-J294,0))</f>
        <v/>
      </c>
      <c r="L294" s="7" t="n">
        <v>100</v>
      </c>
      <c r="M294" s="5" t="inlineStr">
        <is>
          <t>Loss</t>
        </is>
      </c>
      <c r="N294" s="6">
        <f>N293+K294</f>
        <v/>
      </c>
    </row>
    <row r="295">
      <c r="A295" s="5" t="inlineStr">
        <is>
          <t>2025-12</t>
        </is>
      </c>
      <c r="B295" s="5" t="inlineStr">
        <is>
          <t>ESZ5</t>
        </is>
      </c>
      <c r="C295" s="5" t="n">
        <v>3</v>
      </c>
      <c r="D295" s="5" t="n">
        <v>24</v>
      </c>
      <c r="E295" s="6" t="n">
        <v>6873.25</v>
      </c>
      <c r="F295" s="6" t="n">
        <v>6802</v>
      </c>
      <c r="G295" s="6">
        <f>E295-F295</f>
        <v/>
      </c>
      <c r="H295" s="5" t="inlineStr">
        <is>
          <t>Short</t>
        </is>
      </c>
      <c r="I295" s="6" t="n">
        <v>6802</v>
      </c>
      <c r="J295" s="6" t="n">
        <v>6873.25</v>
      </c>
      <c r="K295" s="6">
        <f>IF(H295="Long",J295-I295,IF(H295="Short",I295-J295,0))</f>
        <v/>
      </c>
      <c r="L295" s="7" t="n">
        <v>100</v>
      </c>
      <c r="M295" s="5" t="inlineStr">
        <is>
          <t>Loss</t>
        </is>
      </c>
      <c r="N295" s="6">
        <f>N294+K295</f>
        <v/>
      </c>
    </row>
    <row r="296">
      <c r="A296" s="2" t="inlineStr">
        <is>
          <t>2026-01</t>
        </is>
      </c>
      <c r="B296" s="2" t="inlineStr">
        <is>
          <t>ESH6</t>
        </is>
      </c>
      <c r="C296" s="2" t="n">
        <v>3</v>
      </c>
      <c r="D296" s="2" t="n">
        <v>23</v>
      </c>
      <c r="E296" s="3" t="n">
        <v>6939.75</v>
      </c>
      <c r="F296" s="3" t="n">
        <v>6866.75</v>
      </c>
      <c r="G296" s="3">
        <f>E296-F296</f>
        <v/>
      </c>
      <c r="H296" s="2" t="inlineStr">
        <is>
          <t>Long</t>
        </is>
      </c>
      <c r="I296" s="3" t="n">
        <v>6939.75</v>
      </c>
      <c r="J296" s="3" t="n">
        <v>7012.75</v>
      </c>
      <c r="K296" s="3">
        <f>IF(H296="Long",J296-I296,IF(H296="Short",I296-J296,0))</f>
        <v/>
      </c>
      <c r="L296" s="4" t="n">
        <v>11.99</v>
      </c>
      <c r="M296" s="2" t="inlineStr">
        <is>
          <t>Win</t>
        </is>
      </c>
      <c r="N296" s="3">
        <f>N295+K296</f>
        <v/>
      </c>
    </row>
    <row r="297">
      <c r="A297" s="2" t="inlineStr">
        <is>
          <t>2026-01</t>
        </is>
      </c>
      <c r="B297" s="2" t="inlineStr">
        <is>
          <t>ESH6</t>
        </is>
      </c>
      <c r="C297" s="2" t="n">
        <v>3</v>
      </c>
      <c r="D297" s="2" t="n">
        <v>23</v>
      </c>
      <c r="E297" s="3" t="n">
        <v>6939.75</v>
      </c>
      <c r="F297" s="3" t="n">
        <v>6866.75</v>
      </c>
      <c r="G297" s="3">
        <f>E297-F297</f>
        <v/>
      </c>
      <c r="H297" s="2" t="inlineStr">
        <is>
          <t>Long</t>
        </is>
      </c>
      <c r="I297" s="3" t="n">
        <v>6939.75</v>
      </c>
      <c r="J297" s="3" t="n">
        <v>7012.75</v>
      </c>
      <c r="K297" s="3">
        <f>IF(H297="Long",J297-I297,IF(H297="Short",I297-J297,0))</f>
        <v/>
      </c>
      <c r="L297" s="4" t="n">
        <v>22.6</v>
      </c>
      <c r="M297" s="2" t="inlineStr">
        <is>
          <t>Win</t>
        </is>
      </c>
      <c r="N297" s="3">
        <f>N296+K297</f>
        <v/>
      </c>
    </row>
    <row r="298">
      <c r="A298" s="8" t="inlineStr">
        <is>
          <t>2026-02</t>
        </is>
      </c>
      <c r="B298" s="8" t="inlineStr">
        <is>
          <t>ESH6</t>
        </is>
      </c>
      <c r="C298" s="8" t="n">
        <v>3</v>
      </c>
      <c r="D298" s="8" t="n">
        <v>21</v>
      </c>
      <c r="E298" s="9" t="n">
        <v>7027.25</v>
      </c>
      <c r="F298" s="9" t="n">
        <v>6864.5</v>
      </c>
      <c r="G298" s="9">
        <f>E298-F298</f>
        <v/>
      </c>
      <c r="H298" s="8" t="inlineStr">
        <is>
          <t>Short</t>
        </is>
      </c>
      <c r="I298" s="9" t="n">
        <v>6864.5</v>
      </c>
      <c r="J298" s="9" t="n">
        <v>6875.25</v>
      </c>
      <c r="K298" s="9">
        <f>IF(H298="Long",J298-I298,IF(H298="Short",I298-J298,0))</f>
        <v/>
      </c>
      <c r="L298" s="10" t="n">
        <v>90.31999999999999</v>
      </c>
      <c r="M298" s="8" t="inlineStr">
        <is>
          <t>Period-Close</t>
        </is>
      </c>
      <c r="N298" s="9">
        <f>N297+K298</f>
        <v/>
      </c>
    </row>
    <row r="299">
      <c r="A299" s="11" t="inlineStr">
        <is>
          <t>2026-03</t>
        </is>
      </c>
      <c r="B299" s="11" t="inlineStr">
        <is>
          <t>ESH6</t>
        </is>
      </c>
      <c r="C299" s="11" t="n">
        <v>3</v>
      </c>
      <c r="D299" s="11" t="n">
        <v>4</v>
      </c>
      <c r="E299" s="12" t="n">
        <v>6911.25</v>
      </c>
      <c r="F299" s="12" t="n">
        <v>6718.75</v>
      </c>
      <c r="G299" s="12">
        <f>E299-F299</f>
        <v/>
      </c>
      <c r="H299" s="11" t="inlineStr">
        <is>
          <t>No-Op</t>
        </is>
      </c>
      <c r="I299" s="12" t="n"/>
      <c r="J299" s="12" t="n"/>
      <c r="K299" s="12">
        <f>IF(H299="Long",J299-I299,IF(H299="Short",I299-J299,0))</f>
        <v/>
      </c>
      <c r="L299" s="13" t="n">
        <v>0</v>
      </c>
      <c r="M299" s="11" t="inlineStr">
        <is>
          <t>No-Op</t>
        </is>
      </c>
      <c r="N299" s="12">
        <f>N298+K299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4" t="inlineStr">
        <is>
          <t>Metric</t>
        </is>
      </c>
      <c r="B1" s="14" t="inlineStr">
        <is>
          <t>Value</t>
        </is>
      </c>
    </row>
    <row r="2">
      <c r="A2" t="inlineStr">
        <is>
          <t>Total Rows</t>
        </is>
      </c>
      <c r="B2">
        <f>COUNTA('ORB Results'!M2:M299)</f>
        <v/>
      </c>
    </row>
    <row r="3">
      <c r="A3" t="inlineStr">
        <is>
          <t>Trades (excl No-Op)</t>
        </is>
      </c>
      <c r="B3">
        <f>COUNTIF('ORB Results'!M2:M299,"Win")+COUNTIF('ORB Results'!M2:M299,"Loss")+COUNTIF('ORB Results'!M2:M299,"EOD-Close")+COUNTIF('ORB Results'!M2:M299,"Period-Close")</f>
        <v/>
      </c>
    </row>
    <row r="4">
      <c r="A4" t="inlineStr">
        <is>
          <t>Wins</t>
        </is>
      </c>
      <c r="B4">
        <f>COUNTIF('ORB Results'!M2:M299,"Win")</f>
        <v/>
      </c>
    </row>
    <row r="5">
      <c r="A5" t="inlineStr">
        <is>
          <t>Losses</t>
        </is>
      </c>
      <c r="B5">
        <f>COUNTIF('ORB Results'!M2:M299,"Loss")</f>
        <v/>
      </c>
    </row>
    <row r="6">
      <c r="A6" t="inlineStr">
        <is>
          <t>EOD/Period Close</t>
        </is>
      </c>
      <c r="B6">
        <f>COUNTIF('ORB Results'!M2:M299,"EOD-Close")+COUNTIF('ORB Results'!M2:M299,"Period-Close")</f>
        <v/>
      </c>
    </row>
    <row r="7">
      <c r="A7" t="inlineStr">
        <is>
          <t>No-Op</t>
        </is>
      </c>
      <c r="B7">
        <f>COUNTIF('ORB Results'!M2:M299,"No-Op")</f>
        <v/>
      </c>
    </row>
    <row r="8">
      <c r="A8" t="inlineStr">
        <is>
          <t>Win Rate (W/L only)</t>
        </is>
      </c>
      <c r="B8" s="15">
        <f>IF(B4+B5&gt;0,B4/(B4+B5),0)</f>
        <v/>
      </c>
    </row>
    <row r="9">
      <c r="A9" t="inlineStr">
        <is>
          <t>Win Rate (all trades)</t>
        </is>
      </c>
      <c r="B9" s="15">
        <f>IF(B3&gt;0,COUNTIFS('ORB Results'!M2:M299,"&lt;&gt;No-Op",'ORB Results'!K2:K299,"&gt;"&amp;0)/B3,0)</f>
        <v/>
      </c>
    </row>
    <row r="10">
      <c r="A10" t="inlineStr">
        <is>
          <t>Total P/L</t>
        </is>
      </c>
      <c r="B10" s="16">
        <f>SUM('ORB Results'!K2:K299)</f>
        <v/>
      </c>
    </row>
    <row r="11">
      <c r="A11" t="inlineStr">
        <is>
          <t>Avg Trade P/L</t>
        </is>
      </c>
      <c r="B11" s="16">
        <f>IF(B3&gt;0,B10/B3,0)</f>
        <v/>
      </c>
    </row>
    <row r="12">
      <c r="A12" t="inlineStr">
        <is>
          <t>Avg Drawdown %</t>
        </is>
      </c>
      <c r="B12" s="17">
        <f>AVERAGEIFS('ORB Results'!L2:L299,'ORB Results'!M2:M299,"&lt;&gt;No-Op")</f>
        <v/>
      </c>
    </row>
    <row r="13">
      <c r="A13" t="inlineStr">
        <is>
          <t>Avg Win Drawdown %</t>
        </is>
      </c>
      <c r="B13" s="17">
        <f>AVERAGEIF('ORB Results'!M2:M299,"Win",'ORB Results'!L2:L299)</f>
        <v/>
      </c>
    </row>
    <row r="14">
      <c r="A14" t="inlineStr">
        <is>
          <t>Final Cumulative P/L</t>
        </is>
      </c>
      <c r="B14" s="16">
        <f>'ORB Results'!N299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2026-03-11T12:08:27Z</dcterms:created>
  <dcterms:modified xsi:type="dcterms:W3CDTF">2026-03-11T12:08:28Z</dcterms:modified>
</cp:coreProperties>
</file>