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Period</t>
        </is>
      </c>
      <c r="B1" s="1" t="inlineStr">
        <is>
          <t>Symbol</t>
        </is>
      </c>
      <c r="C1" s="1" t="inlineStr">
        <is>
          <t>Range_Days</t>
        </is>
      </c>
      <c r="D1" s="1" t="inlineStr">
        <is>
          <t>Trade_Days</t>
        </is>
      </c>
      <c r="E1" s="1" t="inlineStr">
        <is>
          <t>Range_High</t>
        </is>
      </c>
      <c r="F1" s="1" t="inlineStr">
        <is>
          <t>Range_Low</t>
        </is>
      </c>
      <c r="G1" s="1" t="inlineStr">
        <is>
          <t>Range</t>
        </is>
      </c>
      <c r="H1" s="1" t="inlineStr">
        <is>
          <t>Trade_Direction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Trade_PL</t>
        </is>
      </c>
      <c r="L1" s="1" t="inlineStr">
        <is>
          <t>Drawdown_Pct</t>
        </is>
      </c>
      <c r="M1" s="1" t="inlineStr">
        <is>
          <t>Result</t>
        </is>
      </c>
      <c r="N1" s="1" t="inlineStr">
        <is>
          <t>Cumulative_PL</t>
        </is>
      </c>
    </row>
    <row r="2">
      <c r="A2" s="2" t="inlineStr">
        <is>
          <t>2011</t>
        </is>
      </c>
      <c r="B2" s="2" t="inlineStr">
        <is>
          <t>ESH1</t>
        </is>
      </c>
      <c r="C2" s="2" t="n">
        <v>77</v>
      </c>
      <c r="D2" s="2" t="n">
        <v>232</v>
      </c>
      <c r="E2" s="3" t="n">
        <v>1343</v>
      </c>
      <c r="F2" s="3" t="n">
        <v>1241.25</v>
      </c>
      <c r="G2" s="3">
        <f>E2-F2</f>
        <v/>
      </c>
      <c r="H2" s="2" t="inlineStr">
        <is>
          <t>Long</t>
        </is>
      </c>
      <c r="I2" s="3" t="n">
        <v>1343</v>
      </c>
      <c r="J2" s="3" t="n">
        <v>1241.25</v>
      </c>
      <c r="K2" s="3">
        <f>IF(H2="Long",J2-I2,IF(H2="Short",I2-J2,0))</f>
        <v/>
      </c>
      <c r="L2" s="4" t="n">
        <v>100</v>
      </c>
      <c r="M2" s="2" t="inlineStr">
        <is>
          <t>Loss</t>
        </is>
      </c>
      <c r="N2" s="3">
        <f>K2</f>
        <v/>
      </c>
    </row>
    <row r="3">
      <c r="A3" s="5" t="inlineStr">
        <is>
          <t>2011</t>
        </is>
      </c>
      <c r="B3" s="5" t="inlineStr">
        <is>
          <t>ESH1</t>
        </is>
      </c>
      <c r="C3" s="5" t="n">
        <v>77</v>
      </c>
      <c r="D3" s="5" t="n">
        <v>232</v>
      </c>
      <c r="E3" s="6" t="n">
        <v>1343</v>
      </c>
      <c r="F3" s="6" t="n">
        <v>1241.25</v>
      </c>
      <c r="G3" s="6">
        <f>E3-F3</f>
        <v/>
      </c>
      <c r="H3" s="5" t="inlineStr">
        <is>
          <t>Short</t>
        </is>
      </c>
      <c r="I3" s="6" t="n">
        <v>1241.25</v>
      </c>
      <c r="J3" s="6" t="n">
        <v>1139.5</v>
      </c>
      <c r="K3" s="6">
        <f>IF(H3="Long",J3-I3,IF(H3="Short",I3-J3,0))</f>
        <v/>
      </c>
      <c r="L3" s="7" t="n">
        <v>0</v>
      </c>
      <c r="M3" s="5" t="inlineStr">
        <is>
          <t>Win</t>
        </is>
      </c>
      <c r="N3" s="6">
        <f>N2+K3</f>
        <v/>
      </c>
    </row>
    <row r="4">
      <c r="A4" s="8" t="inlineStr">
        <is>
          <t>2012</t>
        </is>
      </c>
      <c r="B4" s="8" t="inlineStr">
        <is>
          <t>ESH2</t>
        </is>
      </c>
      <c r="C4" s="8" t="n">
        <v>76</v>
      </c>
      <c r="D4" s="8" t="n">
        <v>235</v>
      </c>
      <c r="E4" s="9" t="n">
        <v>1419.75</v>
      </c>
      <c r="F4" s="9" t="n">
        <v>1259.75</v>
      </c>
      <c r="G4" s="9">
        <f>E4-F4</f>
        <v/>
      </c>
      <c r="H4" s="8" t="inlineStr">
        <is>
          <t>Long</t>
        </is>
      </c>
      <c r="I4" s="9" t="n">
        <v>1419.75</v>
      </c>
      <c r="J4" s="9" t="n">
        <v>1423.75</v>
      </c>
      <c r="K4" s="9">
        <f>IF(H4="Long",J4-I4,IF(H4="Short",I4-J4,0))</f>
        <v/>
      </c>
      <c r="L4" s="10" t="n">
        <v>49.69</v>
      </c>
      <c r="M4" s="8" t="inlineStr">
        <is>
          <t>Period-Close</t>
        </is>
      </c>
      <c r="N4" s="9">
        <f>N3+K4</f>
        <v/>
      </c>
    </row>
    <row r="5">
      <c r="A5" s="5" t="inlineStr">
        <is>
          <t>2013</t>
        </is>
      </c>
      <c r="B5" s="5" t="inlineStr">
        <is>
          <t>ESH3</t>
        </is>
      </c>
      <c r="C5" s="5" t="n">
        <v>73</v>
      </c>
      <c r="D5" s="5" t="n">
        <v>233</v>
      </c>
      <c r="E5" s="6" t="n">
        <v>1564.5</v>
      </c>
      <c r="F5" s="6" t="n">
        <v>1438.25</v>
      </c>
      <c r="G5" s="6">
        <f>E5-F5</f>
        <v/>
      </c>
      <c r="H5" s="5" t="inlineStr">
        <is>
          <t>Long</t>
        </is>
      </c>
      <c r="I5" s="6" t="n">
        <v>1564.5</v>
      </c>
      <c r="J5" s="6" t="n">
        <v>1690.75</v>
      </c>
      <c r="K5" s="6">
        <f>IF(H5="Long",J5-I5,IF(H5="Short",I5-J5,0))</f>
        <v/>
      </c>
      <c r="L5" s="7" t="n">
        <v>26.73</v>
      </c>
      <c r="M5" s="5" t="inlineStr">
        <is>
          <t>Win</t>
        </is>
      </c>
      <c r="N5" s="6">
        <f>N4+K5</f>
        <v/>
      </c>
    </row>
    <row r="6">
      <c r="A6" s="5" t="inlineStr">
        <is>
          <t>2014</t>
        </is>
      </c>
      <c r="B6" s="5" t="inlineStr">
        <is>
          <t>ESH4</t>
        </is>
      </c>
      <c r="C6" s="5" t="n">
        <v>74</v>
      </c>
      <c r="D6" s="5" t="n">
        <v>228</v>
      </c>
      <c r="E6" s="6" t="n">
        <v>1887.5</v>
      </c>
      <c r="F6" s="6" t="n">
        <v>1732</v>
      </c>
      <c r="G6" s="6">
        <f>E6-F6</f>
        <v/>
      </c>
      <c r="H6" s="5" t="inlineStr">
        <is>
          <t>Long</t>
        </is>
      </c>
      <c r="I6" s="6" t="n">
        <v>1887.5</v>
      </c>
      <c r="J6" s="6" t="n">
        <v>2043</v>
      </c>
      <c r="K6" s="6">
        <f>IF(H6="Long",J6-I6,IF(H6="Short",I6-J6,0))</f>
        <v/>
      </c>
      <c r="L6" s="7" t="n">
        <v>47.91</v>
      </c>
      <c r="M6" s="5" t="inlineStr">
        <is>
          <t>Win</t>
        </is>
      </c>
      <c r="N6" s="6">
        <f>N5+K6</f>
        <v/>
      </c>
    </row>
    <row r="7">
      <c r="A7" s="2" t="inlineStr">
        <is>
          <t>2015</t>
        </is>
      </c>
      <c r="B7" s="2" t="inlineStr">
        <is>
          <t>ESH5</t>
        </is>
      </c>
      <c r="C7" s="2" t="n">
        <v>77</v>
      </c>
      <c r="D7" s="2" t="n">
        <v>235</v>
      </c>
      <c r="E7" s="3" t="n">
        <v>2117.75</v>
      </c>
      <c r="F7" s="3" t="n">
        <v>1970.25</v>
      </c>
      <c r="G7" s="3">
        <f>E7-F7</f>
        <v/>
      </c>
      <c r="H7" s="2" t="inlineStr">
        <is>
          <t>Long</t>
        </is>
      </c>
      <c r="I7" s="3" t="n">
        <v>2117.75</v>
      </c>
      <c r="J7" s="3" t="n">
        <v>1970.25</v>
      </c>
      <c r="K7" s="3">
        <f>IF(H7="Long",J7-I7,IF(H7="Short",I7-J7,0))</f>
        <v/>
      </c>
      <c r="L7" s="4" t="n">
        <v>100</v>
      </c>
      <c r="M7" s="2" t="inlineStr">
        <is>
          <t>Loss</t>
        </is>
      </c>
      <c r="N7" s="3">
        <f>N6+K7</f>
        <v/>
      </c>
    </row>
    <row r="8">
      <c r="A8" s="8" t="inlineStr">
        <is>
          <t>2015</t>
        </is>
      </c>
      <c r="B8" s="8" t="inlineStr">
        <is>
          <t>ESH5</t>
        </is>
      </c>
      <c r="C8" s="8" t="n">
        <v>77</v>
      </c>
      <c r="D8" s="8" t="n">
        <v>235</v>
      </c>
      <c r="E8" s="9" t="n">
        <v>2117.75</v>
      </c>
      <c r="F8" s="9" t="n">
        <v>1970.25</v>
      </c>
      <c r="G8" s="9">
        <f>E8-F8</f>
        <v/>
      </c>
      <c r="H8" s="8" t="inlineStr">
        <is>
          <t>Short</t>
        </is>
      </c>
      <c r="I8" s="9" t="n">
        <v>1970.25</v>
      </c>
      <c r="J8" s="9" t="n">
        <v>2035.75</v>
      </c>
      <c r="K8" s="9">
        <f>IF(H8="Long",J8-I8,IF(H8="Short",I8-J8,0))</f>
        <v/>
      </c>
      <c r="L8" s="10" t="n">
        <v>94.92</v>
      </c>
      <c r="M8" s="8" t="inlineStr">
        <is>
          <t>Period-Close</t>
        </is>
      </c>
      <c r="N8" s="9">
        <f>N7+K8</f>
        <v/>
      </c>
    </row>
    <row r="9">
      <c r="A9" s="8" t="inlineStr">
        <is>
          <t>2016</t>
        </is>
      </c>
      <c r="B9" s="8" t="inlineStr">
        <is>
          <t>ESH6</t>
        </is>
      </c>
      <c r="C9" s="8" t="n">
        <v>76</v>
      </c>
      <c r="D9" s="8" t="n">
        <v>234</v>
      </c>
      <c r="E9" s="9" t="n">
        <v>2064.5</v>
      </c>
      <c r="F9" s="9" t="n">
        <v>1802.5</v>
      </c>
      <c r="G9" s="9">
        <f>E9-F9</f>
        <v/>
      </c>
      <c r="H9" s="8" t="inlineStr">
        <is>
          <t>Long</t>
        </is>
      </c>
      <c r="I9" s="9" t="n">
        <v>2064.5</v>
      </c>
      <c r="J9" s="9" t="n">
        <v>2233.5</v>
      </c>
      <c r="K9" s="9">
        <f>IF(H9="Long",J9-I9,IF(H9="Short",I9-J9,0))</f>
        <v/>
      </c>
      <c r="L9" s="10" t="n">
        <v>31.68</v>
      </c>
      <c r="M9" s="8" t="inlineStr">
        <is>
          <t>Period-Close</t>
        </is>
      </c>
      <c r="N9" s="9">
        <f>N8+K9</f>
        <v/>
      </c>
    </row>
    <row r="10">
      <c r="A10" s="5" t="inlineStr">
        <is>
          <t>2017</t>
        </is>
      </c>
      <c r="B10" s="5" t="inlineStr">
        <is>
          <t>ESH7</t>
        </is>
      </c>
      <c r="C10" s="5" t="n">
        <v>77</v>
      </c>
      <c r="D10" s="5" t="n">
        <v>232</v>
      </c>
      <c r="E10" s="6" t="n">
        <v>2401</v>
      </c>
      <c r="F10" s="6" t="n">
        <v>2239.5</v>
      </c>
      <c r="G10" s="6">
        <f>E10-F10</f>
        <v/>
      </c>
      <c r="H10" s="5" t="inlineStr">
        <is>
          <t>Long</t>
        </is>
      </c>
      <c r="I10" s="6" t="n">
        <v>2401</v>
      </c>
      <c r="J10" s="6" t="n">
        <v>2562.5</v>
      </c>
      <c r="K10" s="6">
        <f>IF(H10="Long",J10-I10,IF(H10="Short",I10-J10,0))</f>
        <v/>
      </c>
      <c r="L10" s="7" t="n">
        <v>0</v>
      </c>
      <c r="M10" s="5" t="inlineStr">
        <is>
          <t>Win</t>
        </is>
      </c>
      <c r="N10" s="6">
        <f>N9+K10</f>
        <v/>
      </c>
    </row>
    <row r="11">
      <c r="A11" s="2" t="inlineStr">
        <is>
          <t>2018</t>
        </is>
      </c>
      <c r="B11" s="2" t="inlineStr">
        <is>
          <t>ESH8</t>
        </is>
      </c>
      <c r="C11" s="2" t="n">
        <v>76</v>
      </c>
      <c r="D11" s="2" t="n">
        <v>236</v>
      </c>
      <c r="E11" s="3" t="n">
        <v>2878.5</v>
      </c>
      <c r="F11" s="3" t="n">
        <v>2529</v>
      </c>
      <c r="G11" s="3">
        <f>E11-F11</f>
        <v/>
      </c>
      <c r="H11" s="2" t="inlineStr">
        <is>
          <t>Long</t>
        </is>
      </c>
      <c r="I11" s="3" t="n">
        <v>2878.5</v>
      </c>
      <c r="J11" s="3" t="n">
        <v>2529</v>
      </c>
      <c r="K11" s="3">
        <f>IF(H11="Long",J11-I11,IF(H11="Short",I11-J11,0))</f>
        <v/>
      </c>
      <c r="L11" s="4" t="n">
        <v>100</v>
      </c>
      <c r="M11" s="2" t="inlineStr">
        <is>
          <t>Loss</t>
        </is>
      </c>
      <c r="N11" s="3">
        <f>N10+K11</f>
        <v/>
      </c>
    </row>
    <row r="12">
      <c r="A12" s="8" t="inlineStr">
        <is>
          <t>2018</t>
        </is>
      </c>
      <c r="B12" s="8" t="inlineStr">
        <is>
          <t>ESH8</t>
        </is>
      </c>
      <c r="C12" s="8" t="n">
        <v>76</v>
      </c>
      <c r="D12" s="8" t="n">
        <v>236</v>
      </c>
      <c r="E12" s="9" t="n">
        <v>2878.5</v>
      </c>
      <c r="F12" s="9" t="n">
        <v>2529</v>
      </c>
      <c r="G12" s="9">
        <f>E12-F12</f>
        <v/>
      </c>
      <c r="H12" s="8" t="inlineStr">
        <is>
          <t>Short</t>
        </is>
      </c>
      <c r="I12" s="9" t="n">
        <v>2529</v>
      </c>
      <c r="J12" s="9" t="n">
        <v>2508.75</v>
      </c>
      <c r="K12" s="9">
        <f>IF(H12="Long",J12-I12,IF(H12="Short",I12-J12,0))</f>
        <v/>
      </c>
      <c r="L12" s="10" t="n">
        <v>0</v>
      </c>
      <c r="M12" s="8" t="inlineStr">
        <is>
          <t>Period-Close</t>
        </is>
      </c>
      <c r="N12" s="9">
        <f>N11+K12</f>
        <v/>
      </c>
    </row>
    <row r="13">
      <c r="A13" s="8" t="inlineStr">
        <is>
          <t>2019</t>
        </is>
      </c>
      <c r="B13" s="8" t="inlineStr">
        <is>
          <t>ESH9</t>
        </is>
      </c>
      <c r="C13" s="8" t="n">
        <v>77</v>
      </c>
      <c r="D13" s="8" t="n">
        <v>235</v>
      </c>
      <c r="E13" s="9" t="n">
        <v>2866</v>
      </c>
      <c r="F13" s="9" t="n">
        <v>2438.5</v>
      </c>
      <c r="G13" s="9">
        <f>E13-F13</f>
        <v/>
      </c>
      <c r="H13" s="8" t="inlineStr">
        <is>
          <t>Long</t>
        </is>
      </c>
      <c r="I13" s="9" t="n">
        <v>2866</v>
      </c>
      <c r="J13" s="9" t="n">
        <v>3236</v>
      </c>
      <c r="K13" s="9">
        <f>IF(H13="Long",J13-I13,IF(H13="Short",I13-J13,0))</f>
        <v/>
      </c>
      <c r="L13" s="10" t="n">
        <v>32.11</v>
      </c>
      <c r="M13" s="8" t="inlineStr">
        <is>
          <t>Period-Close</t>
        </is>
      </c>
      <c r="N13" s="9">
        <f>N12+K13</f>
        <v/>
      </c>
    </row>
    <row r="14">
      <c r="A14" s="8" t="inlineStr">
        <is>
          <t>2020</t>
        </is>
      </c>
      <c r="B14" s="8" t="inlineStr">
        <is>
          <t>ESH0</t>
        </is>
      </c>
      <c r="C14" s="8" t="n">
        <v>78</v>
      </c>
      <c r="D14" s="8" t="n">
        <v>234</v>
      </c>
      <c r="E14" s="9" t="n">
        <v>3397.5</v>
      </c>
      <c r="F14" s="9" t="n">
        <v>2174</v>
      </c>
      <c r="G14" s="9">
        <f>E14-F14</f>
        <v/>
      </c>
      <c r="H14" s="8" t="inlineStr">
        <is>
          <t>Long</t>
        </is>
      </c>
      <c r="I14" s="9" t="n">
        <v>3397.5</v>
      </c>
      <c r="J14" s="9" t="n">
        <v>3748.75</v>
      </c>
      <c r="K14" s="9">
        <f>IF(H14="Long",J14-I14,IF(H14="Short",I14-J14,0))</f>
        <v/>
      </c>
      <c r="L14" s="10" t="n">
        <v>16.31</v>
      </c>
      <c r="M14" s="8" t="inlineStr">
        <is>
          <t>Period-Close</t>
        </is>
      </c>
      <c r="N14" s="9">
        <f>N13+K14</f>
        <v/>
      </c>
    </row>
    <row r="15">
      <c r="A15" s="5" t="inlineStr">
        <is>
          <t>2021</t>
        </is>
      </c>
      <c r="B15" s="5" t="inlineStr">
        <is>
          <t>ESH1</t>
        </is>
      </c>
      <c r="C15" s="5" t="n">
        <v>76</v>
      </c>
      <c r="D15" s="5" t="n">
        <v>235</v>
      </c>
      <c r="E15" s="6" t="n">
        <v>3983.75</v>
      </c>
      <c r="F15" s="6" t="n">
        <v>3652.5</v>
      </c>
      <c r="G15" s="6">
        <f>E15-F15</f>
        <v/>
      </c>
      <c r="H15" s="5" t="inlineStr">
        <is>
          <t>Long</t>
        </is>
      </c>
      <c r="I15" s="6" t="n">
        <v>3983.75</v>
      </c>
      <c r="J15" s="6" t="n">
        <v>4315</v>
      </c>
      <c r="K15" s="6">
        <f>IF(H15="Long",J15-I15,IF(H15="Short",I15-J15,0))</f>
        <v/>
      </c>
      <c r="L15" s="7" t="n">
        <v>0</v>
      </c>
      <c r="M15" s="5" t="inlineStr">
        <is>
          <t>Win</t>
        </is>
      </c>
      <c r="N15" s="6">
        <f>N14+K15</f>
        <v/>
      </c>
    </row>
    <row r="16">
      <c r="A16" s="8" t="inlineStr">
        <is>
          <t>2022</t>
        </is>
      </c>
      <c r="B16" s="8" t="inlineStr">
        <is>
          <t>ESH2</t>
        </is>
      </c>
      <c r="C16" s="8" t="n">
        <v>77</v>
      </c>
      <c r="D16" s="8" t="n">
        <v>233</v>
      </c>
      <c r="E16" s="9" t="n">
        <v>4808.25</v>
      </c>
      <c r="F16" s="9" t="n">
        <v>4101.75</v>
      </c>
      <c r="G16" s="9">
        <f>E16-F16</f>
        <v/>
      </c>
      <c r="H16" s="8" t="inlineStr">
        <is>
          <t>Short</t>
        </is>
      </c>
      <c r="I16" s="9" t="n">
        <v>4101.75</v>
      </c>
      <c r="J16" s="9" t="n">
        <v>3868</v>
      </c>
      <c r="K16" s="9">
        <f>IF(H16="Long",J16-I16,IF(H16="Short",I16-J16,0))</f>
        <v/>
      </c>
      <c r="L16" s="10" t="n">
        <v>31.95</v>
      </c>
      <c r="M16" s="8" t="inlineStr">
        <is>
          <t>Period-Close</t>
        </is>
      </c>
      <c r="N16" s="9">
        <f>N15+K16</f>
        <v/>
      </c>
    </row>
    <row r="17">
      <c r="A17" s="5" t="inlineStr">
        <is>
          <t>2023</t>
        </is>
      </c>
      <c r="B17" s="5" t="inlineStr">
        <is>
          <t>ESH3</t>
        </is>
      </c>
      <c r="C17" s="5" t="n">
        <v>77</v>
      </c>
      <c r="D17" s="5" t="n">
        <v>233</v>
      </c>
      <c r="E17" s="6" t="n">
        <v>4208.5</v>
      </c>
      <c r="F17" s="6" t="n">
        <v>3814.5</v>
      </c>
      <c r="G17" s="6">
        <f>E17-F17</f>
        <v/>
      </c>
      <c r="H17" s="5" t="inlineStr">
        <is>
          <t>Long</t>
        </is>
      </c>
      <c r="I17" s="6" t="n">
        <v>4208.5</v>
      </c>
      <c r="J17" s="6" t="n">
        <v>4602.5</v>
      </c>
      <c r="K17" s="6">
        <f>IF(H17="Long",J17-I17,IF(H17="Short",I17-J17,0))</f>
        <v/>
      </c>
      <c r="L17" s="7" t="n">
        <v>23.98</v>
      </c>
      <c r="M17" s="5" t="inlineStr">
        <is>
          <t>Win</t>
        </is>
      </c>
      <c r="N17" s="6">
        <f>N16+K17</f>
        <v/>
      </c>
    </row>
    <row r="18">
      <c r="A18" s="5" t="inlineStr">
        <is>
          <t>2023</t>
        </is>
      </c>
      <c r="B18" s="5" t="inlineStr">
        <is>
          <t>ESH3</t>
        </is>
      </c>
      <c r="C18" s="5" t="n">
        <v>77</v>
      </c>
      <c r="D18" s="5" t="n">
        <v>233</v>
      </c>
      <c r="E18" s="6" t="n">
        <v>4208.5</v>
      </c>
      <c r="F18" s="6" t="n">
        <v>3814.5</v>
      </c>
      <c r="G18" s="6">
        <f>E18-F18</f>
        <v/>
      </c>
      <c r="H18" s="5" t="inlineStr">
        <is>
          <t>Long</t>
        </is>
      </c>
      <c r="I18" s="6" t="n">
        <v>4208.5</v>
      </c>
      <c r="J18" s="6" t="n">
        <v>4602.5</v>
      </c>
      <c r="K18" s="6">
        <f>IF(H18="Long",J18-I18,IF(H18="Short",I18-J18,0))</f>
        <v/>
      </c>
      <c r="L18" s="7" t="n">
        <v>21.89</v>
      </c>
      <c r="M18" s="5" t="inlineStr">
        <is>
          <t>Win</t>
        </is>
      </c>
      <c r="N18" s="6">
        <f>N17+K18</f>
        <v/>
      </c>
    </row>
    <row r="19">
      <c r="A19" s="5" t="inlineStr">
        <is>
          <t>2024</t>
        </is>
      </c>
      <c r="B19" s="5" t="inlineStr">
        <is>
          <t>ESH4</t>
        </is>
      </c>
      <c r="C19" s="5" t="n">
        <v>77</v>
      </c>
      <c r="D19" s="5" t="n">
        <v>236</v>
      </c>
      <c r="E19" s="6" t="n">
        <v>5333.5</v>
      </c>
      <c r="F19" s="6" t="n">
        <v>4702</v>
      </c>
      <c r="G19" s="6">
        <f>E19-F19</f>
        <v/>
      </c>
      <c r="H19" s="5" t="inlineStr">
        <is>
          <t>Long</t>
        </is>
      </c>
      <c r="I19" s="6" t="n">
        <v>5333.5</v>
      </c>
      <c r="J19" s="6" t="n">
        <v>5965</v>
      </c>
      <c r="K19" s="6">
        <f>IF(H19="Long",J19-I19,IF(H19="Short",I19-J19,0))</f>
        <v/>
      </c>
      <c r="L19" s="7" t="n">
        <v>33.81</v>
      </c>
      <c r="M19" s="5" t="inlineStr">
        <is>
          <t>Win</t>
        </is>
      </c>
      <c r="N19" s="6">
        <f>N18+K19</f>
        <v/>
      </c>
    </row>
    <row r="20">
      <c r="A20" s="5" t="inlineStr">
        <is>
          <t>2025</t>
        </is>
      </c>
      <c r="B20" s="5" t="inlineStr">
        <is>
          <t>ESH5</t>
        </is>
      </c>
      <c r="C20" s="5" t="n">
        <v>77</v>
      </c>
      <c r="D20" s="5" t="n">
        <v>235</v>
      </c>
      <c r="E20" s="6" t="n">
        <v>6166.5</v>
      </c>
      <c r="F20" s="6" t="n">
        <v>5509.25</v>
      </c>
      <c r="G20" s="6">
        <f>E20-F20</f>
        <v/>
      </c>
      <c r="H20" s="5" t="inlineStr">
        <is>
          <t>Short</t>
        </is>
      </c>
      <c r="I20" s="6" t="n">
        <v>5509.25</v>
      </c>
      <c r="J20" s="6" t="n">
        <v>4852</v>
      </c>
      <c r="K20" s="6">
        <f>IF(H20="Long",J20-I20,IF(H20="Short",I20-J20,0))</f>
        <v/>
      </c>
      <c r="L20" s="7" t="n">
        <v>0</v>
      </c>
      <c r="M20" s="5" t="inlineStr">
        <is>
          <t>Win</t>
        </is>
      </c>
      <c r="N20" s="6">
        <f>N19+K20</f>
        <v/>
      </c>
    </row>
    <row r="21">
      <c r="A21" s="2" t="inlineStr">
        <is>
          <t>2025</t>
        </is>
      </c>
      <c r="B21" s="2" t="inlineStr">
        <is>
          <t>ESH5</t>
        </is>
      </c>
      <c r="C21" s="2" t="n">
        <v>77</v>
      </c>
      <c r="D21" s="2" t="n">
        <v>235</v>
      </c>
      <c r="E21" s="3" t="n">
        <v>6166.5</v>
      </c>
      <c r="F21" s="3" t="n">
        <v>5509.25</v>
      </c>
      <c r="G21" s="3">
        <f>E21-F21</f>
        <v/>
      </c>
      <c r="H21" s="2" t="inlineStr">
        <is>
          <t>Short</t>
        </is>
      </c>
      <c r="I21" s="3" t="n">
        <v>5509.25</v>
      </c>
      <c r="J21" s="3" t="n">
        <v>6166.5</v>
      </c>
      <c r="K21" s="3">
        <f>IF(H21="Long",J21-I21,IF(H21="Short",I21-J21,0))</f>
        <v/>
      </c>
      <c r="L21" s="4" t="n">
        <v>100</v>
      </c>
      <c r="M21" s="2" t="inlineStr">
        <is>
          <t>Loss</t>
        </is>
      </c>
      <c r="N21" s="3">
        <f>N20+K21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Total Rows</t>
        </is>
      </c>
      <c r="B2">
        <f>COUNTA('ORB Results'!M2:M21)</f>
        <v/>
      </c>
    </row>
    <row r="3">
      <c r="A3" t="inlineStr">
        <is>
          <t>Trades (excl No-Op)</t>
        </is>
      </c>
      <c r="B3">
        <f>COUNTIF('ORB Results'!M2:M21,"Win")+COUNTIF('ORB Results'!M2:M21,"Loss")+COUNTIF('ORB Results'!M2:M21,"EOD-Close")+COUNTIF('ORB Results'!M2:M21,"Period-Close")</f>
        <v/>
      </c>
    </row>
    <row r="4">
      <c r="A4" t="inlineStr">
        <is>
          <t>Wins</t>
        </is>
      </c>
      <c r="B4">
        <f>COUNTIF('ORB Results'!M2:M21,"Win")</f>
        <v/>
      </c>
    </row>
    <row r="5">
      <c r="A5" t="inlineStr">
        <is>
          <t>Losses</t>
        </is>
      </c>
      <c r="B5">
        <f>COUNTIF('ORB Results'!M2:M21,"Loss")</f>
        <v/>
      </c>
    </row>
    <row r="6">
      <c r="A6" t="inlineStr">
        <is>
          <t>EOD/Period Close</t>
        </is>
      </c>
      <c r="B6">
        <f>COUNTIF('ORB Results'!M2:M21,"EOD-Close")+COUNTIF('ORB Results'!M2:M21,"Period-Close")</f>
        <v/>
      </c>
    </row>
    <row r="7">
      <c r="A7" t="inlineStr">
        <is>
          <t>No-Op</t>
        </is>
      </c>
      <c r="B7">
        <f>COUNTIF('ORB Results'!M2:M21,"No-Op")</f>
        <v/>
      </c>
    </row>
    <row r="8">
      <c r="A8" t="inlineStr">
        <is>
          <t>Win Rate (W/L only)</t>
        </is>
      </c>
      <c r="B8" s="12">
        <f>IF(B4+B5&gt;0,B4/(B4+B5),0)</f>
        <v/>
      </c>
    </row>
    <row r="9">
      <c r="A9" t="inlineStr">
        <is>
          <t>Win Rate (all trades)</t>
        </is>
      </c>
      <c r="B9" s="12">
        <f>IF(B3&gt;0,COUNTIFS('ORB Results'!M2:M21,"&lt;&gt;No-Op",'ORB Results'!K2:K21,"&gt;"&amp;0)/B3,0)</f>
        <v/>
      </c>
    </row>
    <row r="10">
      <c r="A10" t="inlineStr">
        <is>
          <t>Total P/L</t>
        </is>
      </c>
      <c r="B10" s="13">
        <f>SUM('ORB Results'!K2:K21)</f>
        <v/>
      </c>
    </row>
    <row r="11">
      <c r="A11" t="inlineStr">
        <is>
          <t>Avg Trade P/L</t>
        </is>
      </c>
      <c r="B11" s="13">
        <f>IF(B3&gt;0,B10/B3,0)</f>
        <v/>
      </c>
    </row>
    <row r="12">
      <c r="A12" t="inlineStr">
        <is>
          <t>Avg Drawdown %</t>
        </is>
      </c>
      <c r="B12" s="14">
        <f>AVERAGEIFS('ORB Results'!L2:L21,'ORB Results'!M2:M21,"&lt;&gt;No-Op")</f>
        <v/>
      </c>
    </row>
    <row r="13">
      <c r="A13" t="inlineStr">
        <is>
          <t>Avg Win Drawdown %</t>
        </is>
      </c>
      <c r="B13" s="14">
        <f>AVERAGEIF('ORB Results'!M2:M21,"Win",'ORB Results'!L2:L21)</f>
        <v/>
      </c>
    </row>
    <row r="14">
      <c r="A14" t="inlineStr">
        <is>
          <t>Final Cumulative P/L</t>
        </is>
      </c>
      <c r="B14" s="13">
        <f>'ORB Results'!N21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2026-03-11T12:08:27Z</dcterms:created>
  <dcterms:modified xsi:type="dcterms:W3CDTF">2026-03-11T12:08:27Z</dcterms:modified>
</cp:coreProperties>
</file>