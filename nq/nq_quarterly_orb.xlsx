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B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  <xf numFmtId="0" fontId="0" fillId="3" borderId="1" pivotButton="0" quotePrefix="0" xfId="0"/>
    <xf numFmtId="4" fontId="0" fillId="3" borderId="1" pivotButton="0" quotePrefix="0" xfId="0"/>
    <xf numFmtId="2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2" fontId="0" fillId="4" borderId="1" pivotButton="0" quotePrefix="0" xfId="0"/>
    <xf numFmtId="0" fontId="1" fillId="2" borderId="0" pivotButton="0" quotePrefix="0" xfId="0"/>
    <xf numFmtId="10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Period</t>
        </is>
      </c>
      <c r="B1" s="1" t="inlineStr">
        <is>
          <t>Symbol</t>
        </is>
      </c>
      <c r="C1" s="1" t="inlineStr">
        <is>
          <t>Range_Days</t>
        </is>
      </c>
      <c r="D1" s="1" t="inlineStr">
        <is>
          <t>Trade_Days</t>
        </is>
      </c>
      <c r="E1" s="1" t="inlineStr">
        <is>
          <t>Range_High</t>
        </is>
      </c>
      <c r="F1" s="1" t="inlineStr">
        <is>
          <t>Range_Low</t>
        </is>
      </c>
      <c r="G1" s="1" t="inlineStr">
        <is>
          <t>Range</t>
        </is>
      </c>
      <c r="H1" s="1" t="inlineStr">
        <is>
          <t>Trade_Direction</t>
        </is>
      </c>
      <c r="I1" s="1" t="inlineStr">
        <is>
          <t>Entry_Price</t>
        </is>
      </c>
      <c r="J1" s="1" t="inlineStr">
        <is>
          <t>Exit_Price</t>
        </is>
      </c>
      <c r="K1" s="1" t="inlineStr">
        <is>
          <t>Trade_PL</t>
        </is>
      </c>
      <c r="L1" s="1" t="inlineStr">
        <is>
          <t>Drawdown_Pct</t>
        </is>
      </c>
      <c r="M1" s="1" t="inlineStr">
        <is>
          <t>Result</t>
        </is>
      </c>
      <c r="N1" s="1" t="inlineStr">
        <is>
          <t>Cumulative_PL</t>
        </is>
      </c>
    </row>
    <row r="2">
      <c r="A2" s="2" t="inlineStr">
        <is>
          <t>2010-Q2</t>
        </is>
      </c>
      <c r="B2" s="2" t="inlineStr">
        <is>
          <t>NQM0</t>
        </is>
      </c>
      <c r="C2" s="2" t="n">
        <v>13</v>
      </c>
      <c r="D2" s="2" t="n">
        <v>9</v>
      </c>
      <c r="E2" s="3" t="n">
        <v>1932.75</v>
      </c>
      <c r="F2" s="3" t="n">
        <v>1770</v>
      </c>
      <c r="G2" s="3">
        <f>E2-F2</f>
        <v/>
      </c>
      <c r="H2" s="2" t="inlineStr">
        <is>
          <t>Short</t>
        </is>
      </c>
      <c r="I2" s="3" t="n">
        <v>1770</v>
      </c>
      <c r="J2" s="3" t="n">
        <v>1737.25</v>
      </c>
      <c r="K2" s="3">
        <f>IF(H2="Long",J2-I2,IF(H2="Short",I2-J2,0))</f>
        <v/>
      </c>
      <c r="L2" s="4" t="n">
        <v>4.61</v>
      </c>
      <c r="M2" s="2" t="inlineStr">
        <is>
          <t>Period-Close</t>
        </is>
      </c>
      <c r="N2" s="3">
        <f>K2</f>
        <v/>
      </c>
    </row>
    <row r="3">
      <c r="A3" s="2" t="inlineStr">
        <is>
          <t>2010-Q3</t>
        </is>
      </c>
      <c r="B3" s="2" t="inlineStr">
        <is>
          <t>NQU0</t>
        </is>
      </c>
      <c r="C3" s="2" t="n">
        <v>15</v>
      </c>
      <c r="D3" s="2" t="n">
        <v>64</v>
      </c>
      <c r="E3" s="3" t="n">
        <v>1866.25</v>
      </c>
      <c r="F3" s="3" t="n">
        <v>1698</v>
      </c>
      <c r="G3" s="3">
        <f>E3-F3</f>
        <v/>
      </c>
      <c r="H3" s="2" t="inlineStr">
        <is>
          <t>Long</t>
        </is>
      </c>
      <c r="I3" s="3" t="n">
        <v>1866.25</v>
      </c>
      <c r="J3" s="3" t="n">
        <v>1998.25</v>
      </c>
      <c r="K3" s="3">
        <f>IF(H3="Long",J3-I3,IF(H3="Short",I3-J3,0))</f>
        <v/>
      </c>
      <c r="L3" s="4" t="n">
        <v>72.66</v>
      </c>
      <c r="M3" s="2" t="inlineStr">
        <is>
          <t>Period-Close</t>
        </is>
      </c>
      <c r="N3" s="3">
        <f>N2+K3</f>
        <v/>
      </c>
    </row>
    <row r="4">
      <c r="A4" s="5" t="inlineStr">
        <is>
          <t>2010-Q4</t>
        </is>
      </c>
      <c r="B4" s="5" t="inlineStr">
        <is>
          <t>NQZ0</t>
        </is>
      </c>
      <c r="C4" s="5" t="n">
        <v>14</v>
      </c>
      <c r="D4" s="5" t="n">
        <v>64</v>
      </c>
      <c r="E4" s="6" t="n">
        <v>2097.75</v>
      </c>
      <c r="F4" s="6" t="n">
        <v>1961</v>
      </c>
      <c r="G4" s="6">
        <f>E4-F4</f>
        <v/>
      </c>
      <c r="H4" s="5" t="inlineStr">
        <is>
          <t>Long</t>
        </is>
      </c>
      <c r="I4" s="6" t="n">
        <v>2097.75</v>
      </c>
      <c r="J4" s="6" t="n">
        <v>2234.5</v>
      </c>
      <c r="K4" s="6">
        <f>IF(H4="Long",J4-I4,IF(H4="Short",I4-J4,0))</f>
        <v/>
      </c>
      <c r="L4" s="7" t="n">
        <v>10.42</v>
      </c>
      <c r="M4" s="5" t="inlineStr">
        <is>
          <t>Win</t>
        </is>
      </c>
      <c r="N4" s="6">
        <f>N3+K4</f>
        <v/>
      </c>
    </row>
    <row r="5">
      <c r="A5" s="8" t="inlineStr">
        <is>
          <t>2011-Q1</t>
        </is>
      </c>
      <c r="B5" s="8" t="inlineStr">
        <is>
          <t>NQH1</t>
        </is>
      </c>
      <c r="C5" s="8" t="n">
        <v>13</v>
      </c>
      <c r="D5" s="8" t="n">
        <v>64</v>
      </c>
      <c r="E5" s="9" t="n">
        <v>2325</v>
      </c>
      <c r="F5" s="9" t="n">
        <v>2219.25</v>
      </c>
      <c r="G5" s="9">
        <f>E5-F5</f>
        <v/>
      </c>
      <c r="H5" s="8" t="inlineStr">
        <is>
          <t>Long</t>
        </is>
      </c>
      <c r="I5" s="9" t="n">
        <v>2325</v>
      </c>
      <c r="J5" s="9" t="n">
        <v>2219.25</v>
      </c>
      <c r="K5" s="9">
        <f>IF(H5="Long",J5-I5,IF(H5="Short",I5-J5,0))</f>
        <v/>
      </c>
      <c r="L5" s="10" t="n">
        <v>100</v>
      </c>
      <c r="M5" s="8" t="inlineStr">
        <is>
          <t>Loss</t>
        </is>
      </c>
      <c r="N5" s="9">
        <f>N4+K5</f>
        <v/>
      </c>
    </row>
    <row r="6">
      <c r="A6" s="8" t="inlineStr">
        <is>
          <t>2011-Q1</t>
        </is>
      </c>
      <c r="B6" s="8" t="inlineStr">
        <is>
          <t>NQH1</t>
        </is>
      </c>
      <c r="C6" s="8" t="n">
        <v>13</v>
      </c>
      <c r="D6" s="8" t="n">
        <v>64</v>
      </c>
      <c r="E6" s="9" t="n">
        <v>2325</v>
      </c>
      <c r="F6" s="9" t="n">
        <v>2219.25</v>
      </c>
      <c r="G6" s="9">
        <f>E6-F6</f>
        <v/>
      </c>
      <c r="H6" s="8" t="inlineStr">
        <is>
          <t>Short</t>
        </is>
      </c>
      <c r="I6" s="9" t="n">
        <v>2219.25</v>
      </c>
      <c r="J6" s="9" t="n">
        <v>2325</v>
      </c>
      <c r="K6" s="9">
        <f>IF(H6="Long",J6-I6,IF(H6="Short",I6-J6,0))</f>
        <v/>
      </c>
      <c r="L6" s="10" t="n">
        <v>100</v>
      </c>
      <c r="M6" s="8" t="inlineStr">
        <is>
          <t>Loss</t>
        </is>
      </c>
      <c r="N6" s="9">
        <f>N5+K6</f>
        <v/>
      </c>
    </row>
    <row r="7">
      <c r="A7" s="8" t="inlineStr">
        <is>
          <t>2011-Q2</t>
        </is>
      </c>
      <c r="B7" s="8" t="inlineStr">
        <is>
          <t>NQM1</t>
        </is>
      </c>
      <c r="C7" s="8" t="n">
        <v>14</v>
      </c>
      <c r="D7" s="8" t="n">
        <v>63</v>
      </c>
      <c r="E7" s="9" t="n">
        <v>2358</v>
      </c>
      <c r="F7" s="9" t="n">
        <v>2285</v>
      </c>
      <c r="G7" s="9">
        <f>E7-F7</f>
        <v/>
      </c>
      <c r="H7" s="8" t="inlineStr">
        <is>
          <t>Short</t>
        </is>
      </c>
      <c r="I7" s="9" t="n">
        <v>2285</v>
      </c>
      <c r="J7" s="9" t="n">
        <v>2358</v>
      </c>
      <c r="K7" s="9">
        <f>IF(H7="Long",J7-I7,IF(H7="Short",I7-J7,0))</f>
        <v/>
      </c>
      <c r="L7" s="10" t="n">
        <v>100</v>
      </c>
      <c r="M7" s="8" t="inlineStr">
        <is>
          <t>Loss</t>
        </is>
      </c>
      <c r="N7" s="9">
        <f>N6+K7</f>
        <v/>
      </c>
    </row>
    <row r="8">
      <c r="A8" s="8" t="inlineStr">
        <is>
          <t>2011-Q2</t>
        </is>
      </c>
      <c r="B8" s="8" t="inlineStr">
        <is>
          <t>NQM1</t>
        </is>
      </c>
      <c r="C8" s="8" t="n">
        <v>14</v>
      </c>
      <c r="D8" s="8" t="n">
        <v>63</v>
      </c>
      <c r="E8" s="9" t="n">
        <v>2358</v>
      </c>
      <c r="F8" s="9" t="n">
        <v>2285</v>
      </c>
      <c r="G8" s="9">
        <f>E8-F8</f>
        <v/>
      </c>
      <c r="H8" s="8" t="inlineStr">
        <is>
          <t>Long</t>
        </is>
      </c>
      <c r="I8" s="9" t="n">
        <v>2358</v>
      </c>
      <c r="J8" s="9" t="n">
        <v>2285</v>
      </c>
      <c r="K8" s="9">
        <f>IF(H8="Long",J8-I8,IF(H8="Short",I8-J8,0))</f>
        <v/>
      </c>
      <c r="L8" s="10" t="n">
        <v>100</v>
      </c>
      <c r="M8" s="8" t="inlineStr">
        <is>
          <t>Loss</t>
        </is>
      </c>
      <c r="N8" s="9">
        <f>N7+K8</f>
        <v/>
      </c>
    </row>
    <row r="9">
      <c r="A9" s="8" t="inlineStr">
        <is>
          <t>2011-Q3</t>
        </is>
      </c>
      <c r="B9" s="8" t="inlineStr">
        <is>
          <t>NQU1</t>
        </is>
      </c>
      <c r="C9" s="8" t="n">
        <v>14</v>
      </c>
      <c r="D9" s="8" t="n">
        <v>65</v>
      </c>
      <c r="E9" s="9" t="n">
        <v>2421.75</v>
      </c>
      <c r="F9" s="9" t="n">
        <v>2314.5</v>
      </c>
      <c r="G9" s="9">
        <f>E9-F9</f>
        <v/>
      </c>
      <c r="H9" s="8" t="inlineStr">
        <is>
          <t>Long</t>
        </is>
      </c>
      <c r="I9" s="9" t="n">
        <v>2421.75</v>
      </c>
      <c r="J9" s="9" t="n">
        <v>2314.5</v>
      </c>
      <c r="K9" s="9">
        <f>IF(H9="Long",J9-I9,IF(H9="Short",I9-J9,0))</f>
        <v/>
      </c>
      <c r="L9" s="10" t="n">
        <v>100</v>
      </c>
      <c r="M9" s="8" t="inlineStr">
        <is>
          <t>Loss</t>
        </is>
      </c>
      <c r="N9" s="9">
        <f>N8+K9</f>
        <v/>
      </c>
    </row>
    <row r="10">
      <c r="A10" s="5" t="inlineStr">
        <is>
          <t>2011-Q3</t>
        </is>
      </c>
      <c r="B10" s="5" t="inlineStr">
        <is>
          <t>NQU1</t>
        </is>
      </c>
      <c r="C10" s="5" t="n">
        <v>14</v>
      </c>
      <c r="D10" s="5" t="n">
        <v>65</v>
      </c>
      <c r="E10" s="6" t="n">
        <v>2421.75</v>
      </c>
      <c r="F10" s="6" t="n">
        <v>2314.5</v>
      </c>
      <c r="G10" s="6">
        <f>E10-F10</f>
        <v/>
      </c>
      <c r="H10" s="5" t="inlineStr">
        <is>
          <t>Short</t>
        </is>
      </c>
      <c r="I10" s="6" t="n">
        <v>2314.5</v>
      </c>
      <c r="J10" s="6" t="n">
        <v>2207.25</v>
      </c>
      <c r="K10" s="6">
        <f>IF(H10="Long",J10-I10,IF(H10="Short",I10-J10,0))</f>
        <v/>
      </c>
      <c r="L10" s="7" t="n">
        <v>4.66</v>
      </c>
      <c r="M10" s="5" t="inlineStr">
        <is>
          <t>Win</t>
        </is>
      </c>
      <c r="N10" s="6">
        <f>N9+K10</f>
        <v/>
      </c>
    </row>
    <row r="11">
      <c r="A11" s="2" t="inlineStr">
        <is>
          <t>2011-Q4</t>
        </is>
      </c>
      <c r="B11" s="2" t="inlineStr">
        <is>
          <t>NQZ1</t>
        </is>
      </c>
      <c r="C11" s="2" t="n">
        <v>13</v>
      </c>
      <c r="D11" s="2" t="n">
        <v>63</v>
      </c>
      <c r="E11" s="3" t="n">
        <v>2372.75</v>
      </c>
      <c r="F11" s="3" t="n">
        <v>2035.75</v>
      </c>
      <c r="G11" s="3">
        <f>E11-F11</f>
        <v/>
      </c>
      <c r="H11" s="2" t="inlineStr">
        <is>
          <t>Long</t>
        </is>
      </c>
      <c r="I11" s="3" t="n">
        <v>2372.75</v>
      </c>
      <c r="J11" s="3" t="n">
        <v>2274.75</v>
      </c>
      <c r="K11" s="3">
        <f>IF(H11="Long",J11-I11,IF(H11="Short",I11-J11,0))</f>
        <v/>
      </c>
      <c r="L11" s="4" t="n">
        <v>70.33</v>
      </c>
      <c r="M11" s="2" t="inlineStr">
        <is>
          <t>Period-Close</t>
        </is>
      </c>
      <c r="N11" s="3">
        <f>N10+K11</f>
        <v/>
      </c>
    </row>
    <row r="12">
      <c r="A12" s="5" t="inlineStr">
        <is>
          <t>2012-Q1</t>
        </is>
      </c>
      <c r="B12" s="5" t="inlineStr">
        <is>
          <t>NQH2</t>
        </is>
      </c>
      <c r="C12" s="5" t="n">
        <v>17</v>
      </c>
      <c r="D12" s="5" t="n">
        <v>59</v>
      </c>
      <c r="E12" s="6" t="n">
        <v>2442.5</v>
      </c>
      <c r="F12" s="6" t="n">
        <v>2302.5</v>
      </c>
      <c r="G12" s="6">
        <f>E12-F12</f>
        <v/>
      </c>
      <c r="H12" s="5" t="inlineStr">
        <is>
          <t>Long</t>
        </is>
      </c>
      <c r="I12" s="6" t="n">
        <v>2442.5</v>
      </c>
      <c r="J12" s="6" t="n">
        <v>2582.5</v>
      </c>
      <c r="K12" s="6">
        <f>IF(H12="Long",J12-I12,IF(H12="Short",I12-J12,0))</f>
        <v/>
      </c>
      <c r="L12" s="7" t="n">
        <v>9.460000000000001</v>
      </c>
      <c r="M12" s="5" t="inlineStr">
        <is>
          <t>Win</t>
        </is>
      </c>
      <c r="N12" s="6">
        <f>N11+K12</f>
        <v/>
      </c>
    </row>
    <row r="13">
      <c r="A13" s="5" t="inlineStr">
        <is>
          <t>2012-Q2</t>
        </is>
      </c>
      <c r="B13" s="5" t="inlineStr">
        <is>
          <t>NQM2</t>
        </is>
      </c>
      <c r="C13" s="5" t="n">
        <v>13</v>
      </c>
      <c r="D13" s="5" t="n">
        <v>65</v>
      </c>
      <c r="E13" s="6" t="n">
        <v>2791.5</v>
      </c>
      <c r="F13" s="6" t="n">
        <v>2684.25</v>
      </c>
      <c r="G13" s="6">
        <f>E13-F13</f>
        <v/>
      </c>
      <c r="H13" s="5" t="inlineStr">
        <is>
          <t>Short</t>
        </is>
      </c>
      <c r="I13" s="6" t="n">
        <v>2684.25</v>
      </c>
      <c r="J13" s="6" t="n">
        <v>2577</v>
      </c>
      <c r="K13" s="6">
        <f>IF(H13="Long",J13-I13,IF(H13="Short",I13-J13,0))</f>
        <v/>
      </c>
      <c r="L13" s="7" t="n">
        <v>64.09999999999999</v>
      </c>
      <c r="M13" s="5" t="inlineStr">
        <is>
          <t>Win</t>
        </is>
      </c>
      <c r="N13" s="6">
        <f>N12+K13</f>
        <v/>
      </c>
    </row>
    <row r="14">
      <c r="A14" s="5" t="inlineStr">
        <is>
          <t>2012-Q3</t>
        </is>
      </c>
      <c r="B14" s="5" t="inlineStr">
        <is>
          <t>NQU2</t>
        </is>
      </c>
      <c r="C14" s="5" t="n">
        <v>13</v>
      </c>
      <c r="D14" s="5" t="n">
        <v>66</v>
      </c>
      <c r="E14" s="6" t="n">
        <v>2655.75</v>
      </c>
      <c r="F14" s="6" t="n">
        <v>2516.5</v>
      </c>
      <c r="G14" s="6">
        <f>E14-F14</f>
        <v/>
      </c>
      <c r="H14" s="5" t="inlineStr">
        <is>
          <t>Long</t>
        </is>
      </c>
      <c r="I14" s="6" t="n">
        <v>2655.75</v>
      </c>
      <c r="J14" s="6" t="n">
        <v>2795</v>
      </c>
      <c r="K14" s="6">
        <f>IF(H14="Long",J14-I14,IF(H14="Short",I14-J14,0))</f>
        <v/>
      </c>
      <c r="L14" s="7" t="n">
        <v>0</v>
      </c>
      <c r="M14" s="5" t="inlineStr">
        <is>
          <t>Win</t>
        </is>
      </c>
      <c r="N14" s="6">
        <f>N13+K14</f>
        <v/>
      </c>
    </row>
    <row r="15">
      <c r="A15" s="2" t="inlineStr">
        <is>
          <t>2012-Q4</t>
        </is>
      </c>
      <c r="B15" s="2" t="inlineStr">
        <is>
          <t>NQZ2</t>
        </is>
      </c>
      <c r="C15" s="2" t="n">
        <v>18</v>
      </c>
      <c r="D15" s="2" t="n">
        <v>60</v>
      </c>
      <c r="E15" s="3" t="n">
        <v>2840.75</v>
      </c>
      <c r="F15" s="3" t="n">
        <v>2657.5</v>
      </c>
      <c r="G15" s="3">
        <f>E15-F15</f>
        <v/>
      </c>
      <c r="H15" s="2" t="inlineStr">
        <is>
          <t>Short</t>
        </is>
      </c>
      <c r="I15" s="3" t="n">
        <v>2657.5</v>
      </c>
      <c r="J15" s="3" t="n">
        <v>2659.25</v>
      </c>
      <c r="K15" s="3">
        <f>IF(H15="Long",J15-I15,IF(H15="Short",I15-J15,0))</f>
        <v/>
      </c>
      <c r="L15" s="4" t="n">
        <v>30.7</v>
      </c>
      <c r="M15" s="2" t="inlineStr">
        <is>
          <t>Period-Close</t>
        </is>
      </c>
      <c r="N15" s="3">
        <f>N14+K15</f>
        <v/>
      </c>
    </row>
    <row r="16">
      <c r="A16" s="2" t="inlineStr">
        <is>
          <t>2013-Q1</t>
        </is>
      </c>
      <c r="B16" s="2" t="inlineStr">
        <is>
          <t>NQH3</t>
        </is>
      </c>
      <c r="C16" s="2" t="n">
        <v>15</v>
      </c>
      <c r="D16" s="2" t="n">
        <v>58</v>
      </c>
      <c r="E16" s="3" t="n">
        <v>2752</v>
      </c>
      <c r="F16" s="3" t="n">
        <v>2686.25</v>
      </c>
      <c r="G16" s="3">
        <f>E16-F16</f>
        <v/>
      </c>
      <c r="H16" s="2" t="inlineStr">
        <is>
          <t>Long</t>
        </is>
      </c>
      <c r="I16" s="3" t="n">
        <v>2752</v>
      </c>
      <c r="J16" s="3" t="n">
        <v>2813.5</v>
      </c>
      <c r="K16" s="3">
        <f>IF(H16="Long",J16-I16,IF(H16="Short",I16-J16,0))</f>
        <v/>
      </c>
      <c r="L16" s="4" t="n">
        <v>95.81999999999999</v>
      </c>
      <c r="M16" s="2" t="inlineStr">
        <is>
          <t>Period-Close</t>
        </is>
      </c>
      <c r="N16" s="3">
        <f>N15+K16</f>
        <v/>
      </c>
    </row>
    <row r="17">
      <c r="A17" s="5" t="inlineStr">
        <is>
          <t>2013-Q2</t>
        </is>
      </c>
      <c r="B17" s="5" t="inlineStr">
        <is>
          <t>NQM3</t>
        </is>
      </c>
      <c r="C17" s="5" t="n">
        <v>18</v>
      </c>
      <c r="D17" s="5" t="n">
        <v>59</v>
      </c>
      <c r="E17" s="6" t="n">
        <v>2858.5</v>
      </c>
      <c r="F17" s="6" t="n">
        <v>2724</v>
      </c>
      <c r="G17" s="6">
        <f>E17-F17</f>
        <v/>
      </c>
      <c r="H17" s="5" t="inlineStr">
        <is>
          <t>Long</t>
        </is>
      </c>
      <c r="I17" s="6" t="n">
        <v>2858.5</v>
      </c>
      <c r="J17" s="6" t="n">
        <v>2993</v>
      </c>
      <c r="K17" s="6">
        <f>IF(H17="Long",J17-I17,IF(H17="Short",I17-J17,0))</f>
        <v/>
      </c>
      <c r="L17" s="7" t="n">
        <v>0</v>
      </c>
      <c r="M17" s="5" t="inlineStr">
        <is>
          <t>Win</t>
        </is>
      </c>
      <c r="N17" s="6">
        <f>N16+K17</f>
        <v/>
      </c>
    </row>
    <row r="18">
      <c r="A18" s="2" t="inlineStr">
        <is>
          <t>2013-Q2</t>
        </is>
      </c>
      <c r="B18" s="2" t="inlineStr">
        <is>
          <t>NQM3</t>
        </is>
      </c>
      <c r="C18" s="2" t="n">
        <v>18</v>
      </c>
      <c r="D18" s="2" t="n">
        <v>59</v>
      </c>
      <c r="E18" s="3" t="n">
        <v>2858.5</v>
      </c>
      <c r="F18" s="3" t="n">
        <v>2724</v>
      </c>
      <c r="G18" s="3">
        <f>E18-F18</f>
        <v/>
      </c>
      <c r="H18" s="2" t="inlineStr">
        <is>
          <t>Long</t>
        </is>
      </c>
      <c r="I18" s="3" t="n">
        <v>2858.5</v>
      </c>
      <c r="J18" s="3" t="n">
        <v>2903.5</v>
      </c>
      <c r="K18" s="3">
        <f>IF(H18="Long",J18-I18,IF(H18="Short",I18-J18,0))</f>
        <v/>
      </c>
      <c r="L18" s="4" t="n">
        <v>30.3</v>
      </c>
      <c r="M18" s="2" t="inlineStr">
        <is>
          <t>Period-Close</t>
        </is>
      </c>
      <c r="N18" s="3">
        <f>N17+K18</f>
        <v/>
      </c>
    </row>
    <row r="19">
      <c r="A19" s="2" t="inlineStr">
        <is>
          <t>2013-Q3</t>
        </is>
      </c>
      <c r="B19" s="2" t="inlineStr">
        <is>
          <t>NQU3</t>
        </is>
      </c>
      <c r="C19" s="2" t="n">
        <v>18</v>
      </c>
      <c r="D19" s="2" t="n">
        <v>60</v>
      </c>
      <c r="E19" s="3" t="n">
        <v>3087</v>
      </c>
      <c r="F19" s="3" t="n">
        <v>2894.25</v>
      </c>
      <c r="G19" s="3">
        <f>E19-F19</f>
        <v/>
      </c>
      <c r="H19" s="2" t="inlineStr">
        <is>
          <t>Long</t>
        </is>
      </c>
      <c r="I19" s="3" t="n">
        <v>3087</v>
      </c>
      <c r="J19" s="3" t="n">
        <v>3216.75</v>
      </c>
      <c r="K19" s="3">
        <f>IF(H19="Long",J19-I19,IF(H19="Short",I19-J19,0))</f>
        <v/>
      </c>
      <c r="L19" s="4" t="n">
        <v>17.9</v>
      </c>
      <c r="M19" s="2" t="inlineStr">
        <is>
          <t>Period-Close</t>
        </is>
      </c>
      <c r="N19" s="3">
        <f>N18+K19</f>
        <v/>
      </c>
    </row>
    <row r="20">
      <c r="A20" s="5" t="inlineStr">
        <is>
          <t>2013-Q4</t>
        </is>
      </c>
      <c r="B20" s="5" t="inlineStr">
        <is>
          <t>NQZ3</t>
        </is>
      </c>
      <c r="C20" s="5" t="n">
        <v>17</v>
      </c>
      <c r="D20" s="5" t="n">
        <v>61</v>
      </c>
      <c r="E20" s="6" t="n">
        <v>3348</v>
      </c>
      <c r="F20" s="6" t="n">
        <v>3110.75</v>
      </c>
      <c r="G20" s="6">
        <f>E20-F20</f>
        <v/>
      </c>
      <c r="H20" s="5" t="inlineStr">
        <is>
          <t>Long</t>
        </is>
      </c>
      <c r="I20" s="6" t="n">
        <v>3348</v>
      </c>
      <c r="J20" s="6" t="n">
        <v>3585.25</v>
      </c>
      <c r="K20" s="6">
        <f>IF(H20="Long",J20-I20,IF(H20="Short",I20-J20,0))</f>
        <v/>
      </c>
      <c r="L20" s="7" t="n">
        <v>16.02</v>
      </c>
      <c r="M20" s="5" t="inlineStr">
        <is>
          <t>Win</t>
        </is>
      </c>
      <c r="N20" s="6">
        <f>N19+K20</f>
        <v/>
      </c>
    </row>
    <row r="21">
      <c r="A21" s="8" t="inlineStr">
        <is>
          <t>2014-Q1</t>
        </is>
      </c>
      <c r="B21" s="8" t="inlineStr">
        <is>
          <t>NQH4</t>
        </is>
      </c>
      <c r="C21" s="8" t="n">
        <v>14</v>
      </c>
      <c r="D21" s="8" t="n">
        <v>60</v>
      </c>
      <c r="E21" s="9" t="n">
        <v>3610.25</v>
      </c>
      <c r="F21" s="9" t="n">
        <v>3492.5</v>
      </c>
      <c r="G21" s="9">
        <f>E21-F21</f>
        <v/>
      </c>
      <c r="H21" s="8" t="inlineStr">
        <is>
          <t>Long</t>
        </is>
      </c>
      <c r="I21" s="9" t="n">
        <v>3610.25</v>
      </c>
      <c r="J21" s="9" t="n">
        <v>3492.5</v>
      </c>
      <c r="K21" s="9">
        <f>IF(H21="Long",J21-I21,IF(H21="Short",I21-J21,0))</f>
        <v/>
      </c>
      <c r="L21" s="10" t="n">
        <v>100</v>
      </c>
      <c r="M21" s="8" t="inlineStr">
        <is>
          <t>Loss</t>
        </is>
      </c>
      <c r="N21" s="9">
        <f>N20+K21</f>
        <v/>
      </c>
    </row>
    <row r="22">
      <c r="A22" s="8" t="inlineStr">
        <is>
          <t>2014-Q1</t>
        </is>
      </c>
      <c r="B22" s="8" t="inlineStr">
        <is>
          <t>NQH4</t>
        </is>
      </c>
      <c r="C22" s="8" t="n">
        <v>14</v>
      </c>
      <c r="D22" s="8" t="n">
        <v>60</v>
      </c>
      <c r="E22" s="9" t="n">
        <v>3610.25</v>
      </c>
      <c r="F22" s="9" t="n">
        <v>3492.5</v>
      </c>
      <c r="G22" s="9">
        <f>E22-F22</f>
        <v/>
      </c>
      <c r="H22" s="8" t="inlineStr">
        <is>
          <t>Short</t>
        </is>
      </c>
      <c r="I22" s="9" t="n">
        <v>3492.5</v>
      </c>
      <c r="J22" s="9" t="n">
        <v>3610.25</v>
      </c>
      <c r="K22" s="9">
        <f>IF(H22="Long",J22-I22,IF(H22="Short",I22-J22,0))</f>
        <v/>
      </c>
      <c r="L22" s="10" t="n">
        <v>100</v>
      </c>
      <c r="M22" s="8" t="inlineStr">
        <is>
          <t>Loss</t>
        </is>
      </c>
      <c r="N22" s="9">
        <f>N21+K22</f>
        <v/>
      </c>
    </row>
    <row r="23">
      <c r="A23" s="2" t="inlineStr">
        <is>
          <t>2014-Q2</t>
        </is>
      </c>
      <c r="B23" s="2" t="inlineStr">
        <is>
          <t>NQM4</t>
        </is>
      </c>
      <c r="C23" s="2" t="n">
        <v>16</v>
      </c>
      <c r="D23" s="2" t="n">
        <v>59</v>
      </c>
      <c r="E23" s="3" t="n">
        <v>3669</v>
      </c>
      <c r="F23" s="3" t="n">
        <v>3404.75</v>
      </c>
      <c r="G23" s="3">
        <f>E23-F23</f>
        <v/>
      </c>
      <c r="H23" s="2" t="inlineStr">
        <is>
          <t>Long</t>
        </is>
      </c>
      <c r="I23" s="3" t="n">
        <v>3669</v>
      </c>
      <c r="J23" s="3" t="n">
        <v>3846.5</v>
      </c>
      <c r="K23" s="3">
        <f>IF(H23="Long",J23-I23,IF(H23="Short",I23-J23,0))</f>
        <v/>
      </c>
      <c r="L23" s="4" t="n">
        <v>0</v>
      </c>
      <c r="M23" s="2" t="inlineStr">
        <is>
          <t>Period-Close</t>
        </is>
      </c>
      <c r="N23" s="3">
        <f>N22+K23</f>
        <v/>
      </c>
    </row>
    <row r="24">
      <c r="A24" s="8" t="inlineStr">
        <is>
          <t>2014-Q3</t>
        </is>
      </c>
      <c r="B24" s="8" t="inlineStr">
        <is>
          <t>NQU4</t>
        </is>
      </c>
      <c r="C24" s="8" t="n">
        <v>17</v>
      </c>
      <c r="D24" s="8" t="n">
        <v>58</v>
      </c>
      <c r="E24" s="9" t="n">
        <v>3941</v>
      </c>
      <c r="F24" s="9" t="n">
        <v>3831.5</v>
      </c>
      <c r="G24" s="9">
        <f>E24-F24</f>
        <v/>
      </c>
      <c r="H24" s="8" t="inlineStr">
        <is>
          <t>Long</t>
        </is>
      </c>
      <c r="I24" s="9" t="n">
        <v>3941</v>
      </c>
      <c r="J24" s="9" t="n">
        <v>3831.5</v>
      </c>
      <c r="K24" s="9">
        <f>IF(H24="Long",J24-I24,IF(H24="Short",I24-J24,0))</f>
        <v/>
      </c>
      <c r="L24" s="10" t="n">
        <v>100</v>
      </c>
      <c r="M24" s="8" t="inlineStr">
        <is>
          <t>Loss</t>
        </is>
      </c>
      <c r="N24" s="9">
        <f>N23+K24</f>
        <v/>
      </c>
    </row>
    <row r="25">
      <c r="A25" s="5" t="inlineStr">
        <is>
          <t>2014-Q3</t>
        </is>
      </c>
      <c r="B25" s="5" t="inlineStr">
        <is>
          <t>NQU4</t>
        </is>
      </c>
      <c r="C25" s="5" t="n">
        <v>17</v>
      </c>
      <c r="D25" s="5" t="n">
        <v>58</v>
      </c>
      <c r="E25" s="6" t="n">
        <v>3941</v>
      </c>
      <c r="F25" s="6" t="n">
        <v>3831.5</v>
      </c>
      <c r="G25" s="6">
        <f>E25-F25</f>
        <v/>
      </c>
      <c r="H25" s="5" t="inlineStr">
        <is>
          <t>Long</t>
        </is>
      </c>
      <c r="I25" s="6" t="n">
        <v>3941</v>
      </c>
      <c r="J25" s="6" t="n">
        <v>4050.5</v>
      </c>
      <c r="K25" s="6">
        <f>IF(H25="Long",J25-I25,IF(H25="Short",I25-J25,0))</f>
        <v/>
      </c>
      <c r="L25" s="7" t="n">
        <v>1.37</v>
      </c>
      <c r="M25" s="5" t="inlineStr">
        <is>
          <t>Win</t>
        </is>
      </c>
      <c r="N25" s="6">
        <f>N24+K25</f>
        <v/>
      </c>
    </row>
    <row r="26">
      <c r="A26" s="2" t="inlineStr">
        <is>
          <t>2014-Q4</t>
        </is>
      </c>
      <c r="B26" s="2" t="inlineStr">
        <is>
          <t>NQZ4</t>
        </is>
      </c>
      <c r="C26" s="2" t="n">
        <v>16</v>
      </c>
      <c r="D26" s="2" t="n">
        <v>62</v>
      </c>
      <c r="E26" s="3" t="n">
        <v>4047.75</v>
      </c>
      <c r="F26" s="3" t="n">
        <v>3684</v>
      </c>
      <c r="G26" s="3">
        <f>E26-F26</f>
        <v/>
      </c>
      <c r="H26" s="2" t="inlineStr">
        <is>
          <t>Long</t>
        </is>
      </c>
      <c r="I26" s="3" t="n">
        <v>4047.75</v>
      </c>
      <c r="J26" s="3" t="n">
        <v>4281.75</v>
      </c>
      <c r="K26" s="3">
        <f>IF(H26="Long",J26-I26,IF(H26="Short",I26-J26,0))</f>
        <v/>
      </c>
      <c r="L26" s="4" t="n">
        <v>1.31</v>
      </c>
      <c r="M26" s="2" t="inlineStr">
        <is>
          <t>Period-Close</t>
        </is>
      </c>
      <c r="N26" s="3">
        <f>N25+K26</f>
        <v/>
      </c>
    </row>
    <row r="27">
      <c r="A27" s="2" t="inlineStr">
        <is>
          <t>2015-Q1</t>
        </is>
      </c>
      <c r="B27" s="2" t="inlineStr">
        <is>
          <t>NQH5</t>
        </is>
      </c>
      <c r="C27" s="2" t="n">
        <v>15</v>
      </c>
      <c r="D27" s="2" t="n">
        <v>62</v>
      </c>
      <c r="E27" s="3" t="n">
        <v>4272.75</v>
      </c>
      <c r="F27" s="3" t="n">
        <v>4041.5</v>
      </c>
      <c r="G27" s="3">
        <f>E27-F27</f>
        <v/>
      </c>
      <c r="H27" s="2" t="inlineStr">
        <is>
          <t>Long</t>
        </is>
      </c>
      <c r="I27" s="3" t="n">
        <v>4272.75</v>
      </c>
      <c r="J27" s="3" t="n">
        <v>4325.75</v>
      </c>
      <c r="K27" s="3">
        <f>IF(H27="Long",J27-I27,IF(H27="Short",I27-J27,0))</f>
        <v/>
      </c>
      <c r="L27" s="4" t="n">
        <v>1.19</v>
      </c>
      <c r="M27" s="2" t="inlineStr">
        <is>
          <t>Period-Close</t>
        </is>
      </c>
      <c r="N27" s="3">
        <f>N26+K27</f>
        <v/>
      </c>
    </row>
    <row r="28">
      <c r="A28" s="2" t="inlineStr">
        <is>
          <t>2015-Q2</t>
        </is>
      </c>
      <c r="B28" s="2" t="inlineStr">
        <is>
          <t>NQM5</t>
        </is>
      </c>
      <c r="C28" s="2" t="n">
        <v>16</v>
      </c>
      <c r="D28" s="2" t="n">
        <v>62</v>
      </c>
      <c r="E28" s="3" t="n">
        <v>4441.5</v>
      </c>
      <c r="F28" s="3" t="n">
        <v>4259</v>
      </c>
      <c r="G28" s="3">
        <f>E28-F28</f>
        <v/>
      </c>
      <c r="H28" s="2" t="inlineStr">
        <is>
          <t>Long</t>
        </is>
      </c>
      <c r="I28" s="3" t="n">
        <v>4441.5</v>
      </c>
      <c r="J28" s="3" t="n">
        <v>4389.75</v>
      </c>
      <c r="K28" s="3">
        <f>IF(H28="Long",J28-I28,IF(H28="Short",I28-J28,0))</f>
        <v/>
      </c>
      <c r="L28" s="4" t="n">
        <v>59.73</v>
      </c>
      <c r="M28" s="2" t="inlineStr">
        <is>
          <t>Period-Close</t>
        </is>
      </c>
      <c r="N28" s="3">
        <f>N27+K28</f>
        <v/>
      </c>
    </row>
    <row r="29">
      <c r="A29" s="8" t="inlineStr">
        <is>
          <t>2015-Q3</t>
        </is>
      </c>
      <c r="B29" s="8" t="inlineStr">
        <is>
          <t>NQU5</t>
        </is>
      </c>
      <c r="C29" s="8" t="n">
        <v>16</v>
      </c>
      <c r="D29" s="8" t="n">
        <v>63</v>
      </c>
      <c r="E29" s="9" t="n">
        <v>4654</v>
      </c>
      <c r="F29" s="9" t="n">
        <v>4331.75</v>
      </c>
      <c r="G29" s="9">
        <f>E29-F29</f>
        <v/>
      </c>
      <c r="H29" s="8" t="inlineStr">
        <is>
          <t>Long</t>
        </is>
      </c>
      <c r="I29" s="9" t="n">
        <v>4654</v>
      </c>
      <c r="J29" s="9" t="n">
        <v>4331.75</v>
      </c>
      <c r="K29" s="9">
        <f>IF(H29="Long",J29-I29,IF(H29="Short",I29-J29,0))</f>
        <v/>
      </c>
      <c r="L29" s="10" t="n">
        <v>100</v>
      </c>
      <c r="M29" s="8" t="inlineStr">
        <is>
          <t>Loss</t>
        </is>
      </c>
      <c r="N29" s="9">
        <f>N28+K29</f>
        <v/>
      </c>
    </row>
    <row r="30">
      <c r="A30" s="5" t="inlineStr">
        <is>
          <t>2015-Q3</t>
        </is>
      </c>
      <c r="B30" s="5" t="inlineStr">
        <is>
          <t>NQU5</t>
        </is>
      </c>
      <c r="C30" s="5" t="n">
        <v>16</v>
      </c>
      <c r="D30" s="5" t="n">
        <v>63</v>
      </c>
      <c r="E30" s="6" t="n">
        <v>4654</v>
      </c>
      <c r="F30" s="6" t="n">
        <v>4331.75</v>
      </c>
      <c r="G30" s="6">
        <f>E30-F30</f>
        <v/>
      </c>
      <c r="H30" s="5" t="inlineStr">
        <is>
          <t>Short</t>
        </is>
      </c>
      <c r="I30" s="6" t="n">
        <v>4331.75</v>
      </c>
      <c r="J30" s="6" t="n">
        <v>4009.5</v>
      </c>
      <c r="K30" s="6">
        <f>IF(H30="Long",J30-I30,IF(H30="Short",I30-J30,0))</f>
        <v/>
      </c>
      <c r="L30" s="7" t="n">
        <v>0</v>
      </c>
      <c r="M30" s="5" t="inlineStr">
        <is>
          <t>Win</t>
        </is>
      </c>
      <c r="N30" s="6">
        <f>N29+K30</f>
        <v/>
      </c>
    </row>
    <row r="31">
      <c r="A31" s="2" t="inlineStr">
        <is>
          <t>2015-Q4</t>
        </is>
      </c>
      <c r="B31" s="2" t="inlineStr">
        <is>
          <t>NQZ5</t>
        </is>
      </c>
      <c r="C31" s="2" t="n">
        <v>15</v>
      </c>
      <c r="D31" s="2" t="n">
        <v>63</v>
      </c>
      <c r="E31" s="3" t="n">
        <v>4439</v>
      </c>
      <c r="F31" s="3" t="n">
        <v>4111.5</v>
      </c>
      <c r="G31" s="3">
        <f>E31-F31</f>
        <v/>
      </c>
      <c r="H31" s="2" t="inlineStr">
        <is>
          <t>Long</t>
        </is>
      </c>
      <c r="I31" s="3" t="n">
        <v>4439</v>
      </c>
      <c r="J31" s="3" t="n">
        <v>4592.5</v>
      </c>
      <c r="K31" s="3">
        <f>IF(H31="Long",J31-I31,IF(H31="Short",I31-J31,0))</f>
        <v/>
      </c>
      <c r="L31" s="4" t="n">
        <v>13.51</v>
      </c>
      <c r="M31" s="2" t="inlineStr">
        <is>
          <t>Period-Close</t>
        </is>
      </c>
      <c r="N31" s="3">
        <f>N30+K31</f>
        <v/>
      </c>
    </row>
    <row r="32">
      <c r="A32" s="2" t="inlineStr">
        <is>
          <t>2016-Q1</t>
        </is>
      </c>
      <c r="B32" s="2" t="inlineStr">
        <is>
          <t>NQH6</t>
        </is>
      </c>
      <c r="C32" s="2" t="n">
        <v>13</v>
      </c>
      <c r="D32" s="2" t="n">
        <v>63</v>
      </c>
      <c r="E32" s="3" t="n">
        <v>4606.75</v>
      </c>
      <c r="F32" s="3" t="n">
        <v>4075.75</v>
      </c>
      <c r="G32" s="3">
        <f>E32-F32</f>
        <v/>
      </c>
      <c r="H32" s="2" t="inlineStr">
        <is>
          <t>Short</t>
        </is>
      </c>
      <c r="I32" s="3" t="n">
        <v>4075.75</v>
      </c>
      <c r="J32" s="3" t="n">
        <v>4478.5</v>
      </c>
      <c r="K32" s="3">
        <f>IF(H32="Long",J32-I32,IF(H32="Short",I32-J32,0))</f>
        <v/>
      </c>
      <c r="L32" s="4" t="n">
        <v>81.83</v>
      </c>
      <c r="M32" s="2" t="inlineStr">
        <is>
          <t>Period-Close</t>
        </is>
      </c>
      <c r="N32" s="3">
        <f>N31+K32</f>
        <v/>
      </c>
    </row>
    <row r="33">
      <c r="A33" s="5" t="inlineStr">
        <is>
          <t>2016-Q2</t>
        </is>
      </c>
      <c r="B33" s="5" t="inlineStr">
        <is>
          <t>NQM6</t>
        </is>
      </c>
      <c r="C33" s="5" t="n">
        <v>14</v>
      </c>
      <c r="D33" s="5" t="n">
        <v>64</v>
      </c>
      <c r="E33" s="6" t="n">
        <v>4563.25</v>
      </c>
      <c r="F33" s="6" t="n">
        <v>4426.5</v>
      </c>
      <c r="G33" s="6">
        <f>E33-F33</f>
        <v/>
      </c>
      <c r="H33" s="5" t="inlineStr">
        <is>
          <t>Short</t>
        </is>
      </c>
      <c r="I33" s="6" t="n">
        <v>4426.5</v>
      </c>
      <c r="J33" s="6" t="n">
        <v>4289.75</v>
      </c>
      <c r="K33" s="6">
        <f>IF(H33="Long",J33-I33,IF(H33="Short",I33-J33,0))</f>
        <v/>
      </c>
      <c r="L33" s="7" t="n">
        <v>11.52</v>
      </c>
      <c r="M33" s="5" t="inlineStr">
        <is>
          <t>Win</t>
        </is>
      </c>
      <c r="N33" s="6">
        <f>N32+K33</f>
        <v/>
      </c>
    </row>
    <row r="34">
      <c r="A34" s="5" t="inlineStr">
        <is>
          <t>2016-Q2</t>
        </is>
      </c>
      <c r="B34" s="5" t="inlineStr">
        <is>
          <t>NQM6</t>
        </is>
      </c>
      <c r="C34" s="5" t="n">
        <v>14</v>
      </c>
      <c r="D34" s="5" t="n">
        <v>64</v>
      </c>
      <c r="E34" s="6" t="n">
        <v>4563.25</v>
      </c>
      <c r="F34" s="6" t="n">
        <v>4426.5</v>
      </c>
      <c r="G34" s="6">
        <f>E34-F34</f>
        <v/>
      </c>
      <c r="H34" s="5" t="inlineStr">
        <is>
          <t>Short</t>
        </is>
      </c>
      <c r="I34" s="6" t="n">
        <v>4426.5</v>
      </c>
      <c r="J34" s="6" t="n">
        <v>4289.75</v>
      </c>
      <c r="K34" s="6">
        <f>IF(H34="Long",J34-I34,IF(H34="Short",I34-J34,0))</f>
        <v/>
      </c>
      <c r="L34" s="7" t="n">
        <v>87.02</v>
      </c>
      <c r="M34" s="5" t="inlineStr">
        <is>
          <t>Win</t>
        </is>
      </c>
      <c r="N34" s="6">
        <f>N33+K34</f>
        <v/>
      </c>
    </row>
    <row r="35">
      <c r="A35" s="5" t="inlineStr">
        <is>
          <t>2016-Q3</t>
        </is>
      </c>
      <c r="B35" s="5" t="inlineStr">
        <is>
          <t>NQU6</t>
        </is>
      </c>
      <c r="C35" s="5" t="n">
        <v>14</v>
      </c>
      <c r="D35" s="5" t="n">
        <v>65</v>
      </c>
      <c r="E35" s="6" t="n">
        <v>4608.25</v>
      </c>
      <c r="F35" s="6" t="n">
        <v>4365.75</v>
      </c>
      <c r="G35" s="6">
        <f>E35-F35</f>
        <v/>
      </c>
      <c r="H35" s="5" t="inlineStr">
        <is>
          <t>Long</t>
        </is>
      </c>
      <c r="I35" s="6" t="n">
        <v>4608.25</v>
      </c>
      <c r="J35" s="6" t="n">
        <v>4850.75</v>
      </c>
      <c r="K35" s="6">
        <f>IF(H35="Long",J35-I35,IF(H35="Short",I35-J35,0))</f>
        <v/>
      </c>
      <c r="L35" s="7" t="n">
        <v>8.25</v>
      </c>
      <c r="M35" s="5" t="inlineStr">
        <is>
          <t>Win</t>
        </is>
      </c>
      <c r="N35" s="6">
        <f>N34+K35</f>
        <v/>
      </c>
    </row>
    <row r="36">
      <c r="A36" s="8" t="inlineStr">
        <is>
          <t>2016-Q4</t>
        </is>
      </c>
      <c r="B36" s="8" t="inlineStr">
        <is>
          <t>NQZ6</t>
        </is>
      </c>
      <c r="C36" s="8" t="n">
        <v>13</v>
      </c>
      <c r="D36" s="8" t="n">
        <v>64</v>
      </c>
      <c r="E36" s="9" t="n">
        <v>4901.5</v>
      </c>
      <c r="F36" s="9" t="n">
        <v>4754.5</v>
      </c>
      <c r="G36" s="9">
        <f>E36-F36</f>
        <v/>
      </c>
      <c r="H36" s="8" t="inlineStr">
        <is>
          <t>Long</t>
        </is>
      </c>
      <c r="I36" s="9" t="n">
        <v>4901.5</v>
      </c>
      <c r="J36" s="9" t="n">
        <v>4754.5</v>
      </c>
      <c r="K36" s="9">
        <f>IF(H36="Long",J36-I36,IF(H36="Short",I36-J36,0))</f>
        <v/>
      </c>
      <c r="L36" s="10" t="n">
        <v>100</v>
      </c>
      <c r="M36" s="8" t="inlineStr">
        <is>
          <t>Loss</t>
        </is>
      </c>
      <c r="N36" s="9">
        <f>N35+K36</f>
        <v/>
      </c>
    </row>
    <row r="37">
      <c r="A37" s="5" t="inlineStr">
        <is>
          <t>2016-Q4</t>
        </is>
      </c>
      <c r="B37" s="5" t="inlineStr">
        <is>
          <t>NQZ6</t>
        </is>
      </c>
      <c r="C37" s="5" t="n">
        <v>13</v>
      </c>
      <c r="D37" s="5" t="n">
        <v>64</v>
      </c>
      <c r="E37" s="6" t="n">
        <v>4901.5</v>
      </c>
      <c r="F37" s="6" t="n">
        <v>4754.5</v>
      </c>
      <c r="G37" s="6">
        <f>E37-F37</f>
        <v/>
      </c>
      <c r="H37" s="5" t="inlineStr">
        <is>
          <t>Short</t>
        </is>
      </c>
      <c r="I37" s="6" t="n">
        <v>4754.5</v>
      </c>
      <c r="J37" s="6" t="n">
        <v>4607.5</v>
      </c>
      <c r="K37" s="6">
        <f>IF(H37="Long",J37-I37,IF(H37="Short",I37-J37,0))</f>
        <v/>
      </c>
      <c r="L37" s="7" t="n">
        <v>56.46</v>
      </c>
      <c r="M37" s="5" t="inlineStr">
        <is>
          <t>Win</t>
        </is>
      </c>
      <c r="N37" s="6">
        <f>N36+K37</f>
        <v/>
      </c>
    </row>
    <row r="38">
      <c r="A38" s="5" t="inlineStr">
        <is>
          <t>2017-Q1</t>
        </is>
      </c>
      <c r="B38" s="5" t="inlineStr">
        <is>
          <t>NQH7</t>
        </is>
      </c>
      <c r="C38" s="5" t="n">
        <v>18</v>
      </c>
      <c r="D38" s="5" t="n">
        <v>59</v>
      </c>
      <c r="E38" s="6" t="n">
        <v>5083</v>
      </c>
      <c r="F38" s="6" t="n">
        <v>4876.75</v>
      </c>
      <c r="G38" s="6">
        <f>E38-F38</f>
        <v/>
      </c>
      <c r="H38" s="5" t="inlineStr">
        <is>
          <t>Long</t>
        </is>
      </c>
      <c r="I38" s="6" t="n">
        <v>5083</v>
      </c>
      <c r="J38" s="6" t="n">
        <v>5289.25</v>
      </c>
      <c r="K38" s="6">
        <f>IF(H38="Long",J38-I38,IF(H38="Short",I38-J38,0))</f>
        <v/>
      </c>
      <c r="L38" s="7" t="n">
        <v>0</v>
      </c>
      <c r="M38" s="5" t="inlineStr">
        <is>
          <t>Win</t>
        </is>
      </c>
      <c r="N38" s="6">
        <f>N37+K38</f>
        <v/>
      </c>
    </row>
    <row r="39">
      <c r="A39" s="5" t="inlineStr">
        <is>
          <t>2017-Q2</t>
        </is>
      </c>
      <c r="B39" s="5" t="inlineStr">
        <is>
          <t>NQM7</t>
        </is>
      </c>
      <c r="C39" s="5" t="n">
        <v>12</v>
      </c>
      <c r="D39" s="5" t="n">
        <v>65</v>
      </c>
      <c r="E39" s="6" t="n">
        <v>5481.25</v>
      </c>
      <c r="F39" s="6" t="n">
        <v>5347.5</v>
      </c>
      <c r="G39" s="6">
        <f>E39-F39</f>
        <v/>
      </c>
      <c r="H39" s="5" t="inlineStr">
        <is>
          <t>Long</t>
        </is>
      </c>
      <c r="I39" s="6" t="n">
        <v>5481.25</v>
      </c>
      <c r="J39" s="6" t="n">
        <v>5615</v>
      </c>
      <c r="K39" s="6">
        <f>IF(H39="Long",J39-I39,IF(H39="Short",I39-J39,0))</f>
        <v/>
      </c>
      <c r="L39" s="7" t="n">
        <v>0</v>
      </c>
      <c r="M39" s="5" t="inlineStr">
        <is>
          <t>Win</t>
        </is>
      </c>
      <c r="N39" s="6">
        <f>N38+K39</f>
        <v/>
      </c>
    </row>
    <row r="40">
      <c r="A40" s="2" t="inlineStr">
        <is>
          <t>2017-Q3</t>
        </is>
      </c>
      <c r="B40" s="2" t="inlineStr">
        <is>
          <t>NQU7</t>
        </is>
      </c>
      <c r="C40" s="2" t="n">
        <v>13</v>
      </c>
      <c r="D40" s="2" t="n">
        <v>65</v>
      </c>
      <c r="E40" s="3" t="n">
        <v>5858.75</v>
      </c>
      <c r="F40" s="3" t="n">
        <v>5560.25</v>
      </c>
      <c r="G40" s="3">
        <f>E40-F40</f>
        <v/>
      </c>
      <c r="H40" s="2" t="inlineStr">
        <is>
          <t>Long</t>
        </is>
      </c>
      <c r="I40" s="3" t="n">
        <v>5858.75</v>
      </c>
      <c r="J40" s="3" t="n">
        <v>5980</v>
      </c>
      <c r="K40" s="3">
        <f>IF(H40="Long",J40-I40,IF(H40="Short",I40-J40,0))</f>
        <v/>
      </c>
      <c r="L40" s="4" t="n">
        <v>35.68</v>
      </c>
      <c r="M40" s="2" t="inlineStr">
        <is>
          <t>Period-Close</t>
        </is>
      </c>
      <c r="N40" s="3">
        <f>N39+K40</f>
        <v/>
      </c>
    </row>
    <row r="41">
      <c r="A41" s="5" t="inlineStr">
        <is>
          <t>2017-Q4</t>
        </is>
      </c>
      <c r="B41" s="5" t="inlineStr">
        <is>
          <t>NQZ7</t>
        </is>
      </c>
      <c r="C41" s="5" t="n">
        <v>13</v>
      </c>
      <c r="D41" s="5" t="n">
        <v>64</v>
      </c>
      <c r="E41" s="6" t="n">
        <v>6107.25</v>
      </c>
      <c r="F41" s="6" t="n">
        <v>5958.5</v>
      </c>
      <c r="G41" s="6">
        <f>E41-F41</f>
        <v/>
      </c>
      <c r="H41" s="5" t="inlineStr">
        <is>
          <t>Long</t>
        </is>
      </c>
      <c r="I41" s="6" t="n">
        <v>6107.25</v>
      </c>
      <c r="J41" s="6" t="n">
        <v>6256</v>
      </c>
      <c r="K41" s="6">
        <f>IF(H41="Long",J41-I41,IF(H41="Short",I41-J41,0))</f>
        <v/>
      </c>
      <c r="L41" s="7" t="n">
        <v>64.70999999999999</v>
      </c>
      <c r="M41" s="5" t="inlineStr">
        <is>
          <t>Win</t>
        </is>
      </c>
      <c r="N41" s="6">
        <f>N40+K41</f>
        <v/>
      </c>
    </row>
    <row r="42">
      <c r="A42" s="8" t="inlineStr">
        <is>
          <t>2018-Q1</t>
        </is>
      </c>
      <c r="B42" s="8" t="inlineStr">
        <is>
          <t>NQH8</t>
        </is>
      </c>
      <c r="C42" s="8" t="n">
        <v>18</v>
      </c>
      <c r="D42" s="8" t="n">
        <v>58</v>
      </c>
      <c r="E42" s="9" t="n">
        <v>6857</v>
      </c>
      <c r="F42" s="9" t="n">
        <v>6397.75</v>
      </c>
      <c r="G42" s="9">
        <f>E42-F42</f>
        <v/>
      </c>
      <c r="H42" s="8" t="inlineStr">
        <is>
          <t>Long</t>
        </is>
      </c>
      <c r="I42" s="9" t="n">
        <v>6857</v>
      </c>
      <c r="J42" s="9" t="n">
        <v>6397.75</v>
      </c>
      <c r="K42" s="9">
        <f>IF(H42="Long",J42-I42,IF(H42="Short",I42-J42,0))</f>
        <v/>
      </c>
      <c r="L42" s="10" t="n">
        <v>100</v>
      </c>
      <c r="M42" s="8" t="inlineStr">
        <is>
          <t>Loss</t>
        </is>
      </c>
      <c r="N42" s="9">
        <f>N41+K42</f>
        <v/>
      </c>
    </row>
    <row r="43">
      <c r="A43" s="8" t="inlineStr">
        <is>
          <t>2018-Q1</t>
        </is>
      </c>
      <c r="B43" s="8" t="inlineStr">
        <is>
          <t>NQH8</t>
        </is>
      </c>
      <c r="C43" s="8" t="n">
        <v>18</v>
      </c>
      <c r="D43" s="8" t="n">
        <v>58</v>
      </c>
      <c r="E43" s="9" t="n">
        <v>6857</v>
      </c>
      <c r="F43" s="9" t="n">
        <v>6397.75</v>
      </c>
      <c r="G43" s="9">
        <f>E43-F43</f>
        <v/>
      </c>
      <c r="H43" s="8" t="inlineStr">
        <is>
          <t>Short</t>
        </is>
      </c>
      <c r="I43" s="9" t="n">
        <v>6397.75</v>
      </c>
      <c r="J43" s="9" t="n">
        <v>6857</v>
      </c>
      <c r="K43" s="9">
        <f>IF(H43="Long",J43-I43,IF(H43="Short",I43-J43,0))</f>
        <v/>
      </c>
      <c r="L43" s="10" t="n">
        <v>100</v>
      </c>
      <c r="M43" s="8" t="inlineStr">
        <is>
          <t>Loss</t>
        </is>
      </c>
      <c r="N43" s="9">
        <f>N42+K43</f>
        <v/>
      </c>
    </row>
    <row r="44">
      <c r="A44" s="5" t="inlineStr">
        <is>
          <t>2018-Q2</t>
        </is>
      </c>
      <c r="B44" s="5" t="inlineStr">
        <is>
          <t>NQM8</t>
        </is>
      </c>
      <c r="C44" s="5" t="n">
        <v>13</v>
      </c>
      <c r="D44" s="5" t="n">
        <v>65</v>
      </c>
      <c r="E44" s="6" t="n">
        <v>6713</v>
      </c>
      <c r="F44" s="6" t="n">
        <v>6306.75</v>
      </c>
      <c r="G44" s="6">
        <f>E44-F44</f>
        <v/>
      </c>
      <c r="H44" s="5" t="inlineStr">
        <is>
          <t>Long</t>
        </is>
      </c>
      <c r="I44" s="6" t="n">
        <v>6713</v>
      </c>
      <c r="J44" s="6" t="n">
        <v>7119.25</v>
      </c>
      <c r="K44" s="6">
        <f>IF(H44="Long",J44-I44,IF(H44="Short",I44-J44,0))</f>
        <v/>
      </c>
      <c r="L44" s="7" t="n">
        <v>69.84999999999999</v>
      </c>
      <c r="M44" s="5" t="inlineStr">
        <is>
          <t>Win</t>
        </is>
      </c>
      <c r="N44" s="6">
        <f>N43+K44</f>
        <v/>
      </c>
    </row>
    <row r="45">
      <c r="A45" s="2" t="inlineStr">
        <is>
          <t>2018-Q3</t>
        </is>
      </c>
      <c r="B45" s="2" t="inlineStr">
        <is>
          <t>NQU8</t>
        </is>
      </c>
      <c r="C45" s="2" t="n">
        <v>13</v>
      </c>
      <c r="D45" s="2" t="n">
        <v>66</v>
      </c>
      <c r="E45" s="3" t="n">
        <v>7414.25</v>
      </c>
      <c r="F45" s="3" t="n">
        <v>6987.5</v>
      </c>
      <c r="G45" s="3">
        <f>E45-F45</f>
        <v/>
      </c>
      <c r="H45" s="2" t="inlineStr">
        <is>
          <t>Long</t>
        </is>
      </c>
      <c r="I45" s="3" t="n">
        <v>7414.25</v>
      </c>
      <c r="J45" s="3" t="n">
        <v>7687</v>
      </c>
      <c r="K45" s="3">
        <f>IF(H45="Long",J45-I45,IF(H45="Short",I45-J45,0))</f>
        <v/>
      </c>
      <c r="L45" s="4" t="n">
        <v>58</v>
      </c>
      <c r="M45" s="2" t="inlineStr">
        <is>
          <t>Period-Close</t>
        </is>
      </c>
      <c r="N45" s="3">
        <f>N44+K45</f>
        <v/>
      </c>
    </row>
    <row r="46">
      <c r="A46" s="5" t="inlineStr">
        <is>
          <t>2018-Q4</t>
        </is>
      </c>
      <c r="B46" s="5" t="inlineStr">
        <is>
          <t>NQZ8</t>
        </is>
      </c>
      <c r="C46" s="5" t="n">
        <v>18</v>
      </c>
      <c r="D46" s="5" t="n">
        <v>61</v>
      </c>
      <c r="E46" s="6" t="n">
        <v>7728.75</v>
      </c>
      <c r="F46" s="6" t="n">
        <v>6907.75</v>
      </c>
      <c r="G46" s="6">
        <f>E46-F46</f>
        <v/>
      </c>
      <c r="H46" s="5" t="inlineStr">
        <is>
          <t>Short</t>
        </is>
      </c>
      <c r="I46" s="6" t="n">
        <v>6907.75</v>
      </c>
      <c r="J46" s="6" t="n">
        <v>6086.75</v>
      </c>
      <c r="K46" s="6">
        <f>IF(H46="Long",J46-I46,IF(H46="Short",I46-J46,0))</f>
        <v/>
      </c>
      <c r="L46" s="7" t="n">
        <v>39.37</v>
      </c>
      <c r="M46" s="5" t="inlineStr">
        <is>
          <t>Win</t>
        </is>
      </c>
      <c r="N46" s="6">
        <f>N45+K46</f>
        <v/>
      </c>
    </row>
    <row r="47">
      <c r="A47" s="5" t="inlineStr">
        <is>
          <t>2019-Q1</t>
        </is>
      </c>
      <c r="B47" s="5" t="inlineStr">
        <is>
          <t>NQH9</t>
        </is>
      </c>
      <c r="C47" s="5" t="n">
        <v>17</v>
      </c>
      <c r="D47" s="5" t="n">
        <v>60</v>
      </c>
      <c r="E47" s="6" t="n">
        <v>6828.25</v>
      </c>
      <c r="F47" s="6" t="n">
        <v>6136.5</v>
      </c>
      <c r="G47" s="6">
        <f>E47-F47</f>
        <v/>
      </c>
      <c r="H47" s="5" t="inlineStr">
        <is>
          <t>Long</t>
        </is>
      </c>
      <c r="I47" s="6" t="n">
        <v>6828.25</v>
      </c>
      <c r="J47" s="6" t="n">
        <v>7520</v>
      </c>
      <c r="K47" s="6">
        <f>IF(H47="Long",J47-I47,IF(H47="Short",I47-J47,0))</f>
        <v/>
      </c>
      <c r="L47" s="7" t="n">
        <v>0</v>
      </c>
      <c r="M47" s="5" t="inlineStr">
        <is>
          <t>Win</t>
        </is>
      </c>
      <c r="N47" s="6">
        <f>N46+K47</f>
        <v/>
      </c>
    </row>
    <row r="48">
      <c r="A48" s="8" t="inlineStr">
        <is>
          <t>2019-Q2</t>
        </is>
      </c>
      <c r="B48" s="8" t="inlineStr">
        <is>
          <t>NQM9</t>
        </is>
      </c>
      <c r="C48" s="8" t="n">
        <v>17</v>
      </c>
      <c r="D48" s="8" t="n">
        <v>60</v>
      </c>
      <c r="E48" s="9" t="n">
        <v>7733.5</v>
      </c>
      <c r="F48" s="9" t="n">
        <v>7445</v>
      </c>
      <c r="G48" s="9">
        <f>E48-F48</f>
        <v/>
      </c>
      <c r="H48" s="8" t="inlineStr">
        <is>
          <t>Long</t>
        </is>
      </c>
      <c r="I48" s="9" t="n">
        <v>7733.5</v>
      </c>
      <c r="J48" s="9" t="n">
        <v>7445</v>
      </c>
      <c r="K48" s="9">
        <f>IF(H48="Long",J48-I48,IF(H48="Short",I48-J48,0))</f>
        <v/>
      </c>
      <c r="L48" s="10" t="n">
        <v>100</v>
      </c>
      <c r="M48" s="8" t="inlineStr">
        <is>
          <t>Loss</t>
        </is>
      </c>
      <c r="N48" s="9">
        <f>N47+K48</f>
        <v/>
      </c>
    </row>
    <row r="49">
      <c r="A49" s="5" t="inlineStr">
        <is>
          <t>2019-Q2</t>
        </is>
      </c>
      <c r="B49" s="5" t="inlineStr">
        <is>
          <t>NQM9</t>
        </is>
      </c>
      <c r="C49" s="5" t="n">
        <v>17</v>
      </c>
      <c r="D49" s="5" t="n">
        <v>60</v>
      </c>
      <c r="E49" s="6" t="n">
        <v>7733.5</v>
      </c>
      <c r="F49" s="6" t="n">
        <v>7445</v>
      </c>
      <c r="G49" s="6">
        <f>E49-F49</f>
        <v/>
      </c>
      <c r="H49" s="5" t="inlineStr">
        <is>
          <t>Short</t>
        </is>
      </c>
      <c r="I49" s="6" t="n">
        <v>7445</v>
      </c>
      <c r="J49" s="6" t="n">
        <v>7156.5</v>
      </c>
      <c r="K49" s="6">
        <f>IF(H49="Long",J49-I49,IF(H49="Short",I49-J49,0))</f>
        <v/>
      </c>
      <c r="L49" s="7" t="n">
        <v>67.94</v>
      </c>
      <c r="M49" s="5" t="inlineStr">
        <is>
          <t>Win</t>
        </is>
      </c>
      <c r="N49" s="6">
        <f>N48+K49</f>
        <v/>
      </c>
    </row>
    <row r="50">
      <c r="A50" s="8" t="inlineStr">
        <is>
          <t>2019-Q3</t>
        </is>
      </c>
      <c r="B50" s="8" t="inlineStr">
        <is>
          <t>NQU9</t>
        </is>
      </c>
      <c r="C50" s="8" t="n">
        <v>18</v>
      </c>
      <c r="D50" s="8" t="n">
        <v>61</v>
      </c>
      <c r="E50" s="9" t="n">
        <v>8001.5</v>
      </c>
      <c r="F50" s="9" t="n">
        <v>7743</v>
      </c>
      <c r="G50" s="9">
        <f>E50-F50</f>
        <v/>
      </c>
      <c r="H50" s="8" t="inlineStr">
        <is>
          <t>Long</t>
        </is>
      </c>
      <c r="I50" s="9" t="n">
        <v>8001.5</v>
      </c>
      <c r="J50" s="9" t="n">
        <v>7743</v>
      </c>
      <c r="K50" s="9">
        <f>IF(H50="Long",J50-I50,IF(H50="Short",I50-J50,0))</f>
        <v/>
      </c>
      <c r="L50" s="10" t="n">
        <v>100</v>
      </c>
      <c r="M50" s="8" t="inlineStr">
        <is>
          <t>Loss</t>
        </is>
      </c>
      <c r="N50" s="9">
        <f>N49+K50</f>
        <v/>
      </c>
    </row>
    <row r="51">
      <c r="A51" s="5" t="inlineStr">
        <is>
          <t>2019-Q3</t>
        </is>
      </c>
      <c r="B51" s="5" t="inlineStr">
        <is>
          <t>NQU9</t>
        </is>
      </c>
      <c r="C51" s="5" t="n">
        <v>18</v>
      </c>
      <c r="D51" s="5" t="n">
        <v>61</v>
      </c>
      <c r="E51" s="6" t="n">
        <v>8001.5</v>
      </c>
      <c r="F51" s="6" t="n">
        <v>7743</v>
      </c>
      <c r="G51" s="6">
        <f>E51-F51</f>
        <v/>
      </c>
      <c r="H51" s="5" t="inlineStr">
        <is>
          <t>Short</t>
        </is>
      </c>
      <c r="I51" s="6" t="n">
        <v>7743</v>
      </c>
      <c r="J51" s="6" t="n">
        <v>7484.5</v>
      </c>
      <c r="K51" s="6">
        <f>IF(H51="Long",J51-I51,IF(H51="Short",I51-J51,0))</f>
        <v/>
      </c>
      <c r="L51" s="7" t="n">
        <v>0</v>
      </c>
      <c r="M51" s="5" t="inlineStr">
        <is>
          <t>Win</t>
        </is>
      </c>
      <c r="N51" s="6">
        <f>N50+K51</f>
        <v/>
      </c>
    </row>
    <row r="52">
      <c r="A52" s="5" t="inlineStr">
        <is>
          <t>2019-Q4</t>
        </is>
      </c>
      <c r="B52" s="5" t="inlineStr">
        <is>
          <t>NQZ9</t>
        </is>
      </c>
      <c r="C52" s="5" t="n">
        <v>17</v>
      </c>
      <c r="D52" s="5" t="n">
        <v>62</v>
      </c>
      <c r="E52" s="6" t="n">
        <v>7994.75</v>
      </c>
      <c r="F52" s="6" t="n">
        <v>7474.25</v>
      </c>
      <c r="G52" s="6">
        <f>E52-F52</f>
        <v/>
      </c>
      <c r="H52" s="5" t="inlineStr">
        <is>
          <t>Long</t>
        </is>
      </c>
      <c r="I52" s="6" t="n">
        <v>7994.75</v>
      </c>
      <c r="J52" s="6" t="n">
        <v>8515.25</v>
      </c>
      <c r="K52" s="6">
        <f>IF(H52="Long",J52-I52,IF(H52="Short",I52-J52,0))</f>
        <v/>
      </c>
      <c r="L52" s="7" t="n">
        <v>0</v>
      </c>
      <c r="M52" s="5" t="inlineStr">
        <is>
          <t>Win</t>
        </is>
      </c>
      <c r="N52" s="6">
        <f>N51+K52</f>
        <v/>
      </c>
    </row>
    <row r="53">
      <c r="A53" s="5" t="inlineStr">
        <is>
          <t>2020-Q1</t>
        </is>
      </c>
      <c r="B53" s="5" t="inlineStr">
        <is>
          <t>NQH0</t>
        </is>
      </c>
      <c r="C53" s="5" t="n">
        <v>16</v>
      </c>
      <c r="D53" s="5" t="n">
        <v>62</v>
      </c>
      <c r="E53" s="6" t="n">
        <v>9189.25</v>
      </c>
      <c r="F53" s="6" t="n">
        <v>8678</v>
      </c>
      <c r="G53" s="6">
        <f>E53-F53</f>
        <v/>
      </c>
      <c r="H53" s="5" t="inlineStr">
        <is>
          <t>Long</t>
        </is>
      </c>
      <c r="I53" s="6" t="n">
        <v>9189.25</v>
      </c>
      <c r="J53" s="6" t="n">
        <v>9700.5</v>
      </c>
      <c r="K53" s="6">
        <f>IF(H53="Long",J53-I53,IF(H53="Short",I53-J53,0))</f>
        <v/>
      </c>
      <c r="L53" s="7" t="n">
        <v>51.59</v>
      </c>
      <c r="M53" s="5" t="inlineStr">
        <is>
          <t>Win</t>
        </is>
      </c>
      <c r="N53" s="6">
        <f>N52+K53</f>
        <v/>
      </c>
    </row>
    <row r="54">
      <c r="A54" s="8" t="inlineStr">
        <is>
          <t>2020-Q1</t>
        </is>
      </c>
      <c r="B54" s="8" t="inlineStr">
        <is>
          <t>NQH0</t>
        </is>
      </c>
      <c r="C54" s="8" t="n">
        <v>16</v>
      </c>
      <c r="D54" s="8" t="n">
        <v>62</v>
      </c>
      <c r="E54" s="9" t="n">
        <v>9189.25</v>
      </c>
      <c r="F54" s="9" t="n">
        <v>8678</v>
      </c>
      <c r="G54" s="9">
        <f>E54-F54</f>
        <v/>
      </c>
      <c r="H54" s="8" t="inlineStr">
        <is>
          <t>Long</t>
        </is>
      </c>
      <c r="I54" s="9" t="n">
        <v>9189.25</v>
      </c>
      <c r="J54" s="9" t="n">
        <v>8678</v>
      </c>
      <c r="K54" s="9">
        <f>IF(H54="Long",J54-I54,IF(H54="Short",I54-J54,0))</f>
        <v/>
      </c>
      <c r="L54" s="10" t="n">
        <v>100</v>
      </c>
      <c r="M54" s="8" t="inlineStr">
        <is>
          <t>Loss</t>
        </is>
      </c>
      <c r="N54" s="9">
        <f>N53+K54</f>
        <v/>
      </c>
    </row>
    <row r="55">
      <c r="A55" s="2" t="inlineStr">
        <is>
          <t>2020-Q2</t>
        </is>
      </c>
      <c r="B55" s="2" t="inlineStr">
        <is>
          <t>NQM0</t>
        </is>
      </c>
      <c r="C55" s="2" t="n">
        <v>15</v>
      </c>
      <c r="D55" s="2" t="n">
        <v>62</v>
      </c>
      <c r="E55" s="3" t="n">
        <v>8966.75</v>
      </c>
      <c r="F55" s="3" t="n">
        <v>7376</v>
      </c>
      <c r="G55" s="3">
        <f>E55-F55</f>
        <v/>
      </c>
      <c r="H55" s="2" t="inlineStr">
        <is>
          <t>Long</t>
        </is>
      </c>
      <c r="I55" s="3" t="n">
        <v>8966.75</v>
      </c>
      <c r="J55" s="3" t="n">
        <v>10034.75</v>
      </c>
      <c r="K55" s="3">
        <f>IF(H55="Long",J55-I55,IF(H55="Short",I55-J55,0))</f>
        <v/>
      </c>
      <c r="L55" s="4" t="n">
        <v>25.81</v>
      </c>
      <c r="M55" s="2" t="inlineStr">
        <is>
          <t>Period-Close</t>
        </is>
      </c>
      <c r="N55" s="3">
        <f>N54+K55</f>
        <v/>
      </c>
    </row>
    <row r="56">
      <c r="A56" s="5" t="inlineStr">
        <is>
          <t>2020-Q3</t>
        </is>
      </c>
      <c r="B56" s="5" t="inlineStr">
        <is>
          <t>NQU0</t>
        </is>
      </c>
      <c r="C56" s="5" t="n">
        <v>16</v>
      </c>
      <c r="D56" s="5" t="n">
        <v>63</v>
      </c>
      <c r="E56" s="6" t="n">
        <v>11058.5</v>
      </c>
      <c r="F56" s="6" t="n">
        <v>10076</v>
      </c>
      <c r="G56" s="6">
        <f>E56-F56</f>
        <v/>
      </c>
      <c r="H56" s="5" t="inlineStr">
        <is>
          <t>Long</t>
        </is>
      </c>
      <c r="I56" s="6" t="n">
        <v>11058.5</v>
      </c>
      <c r="J56" s="6" t="n">
        <v>12041</v>
      </c>
      <c r="K56" s="6">
        <f>IF(H56="Long",J56-I56,IF(H56="Short",I56-J56,0))</f>
        <v/>
      </c>
      <c r="L56" s="7" t="n">
        <v>21.68</v>
      </c>
      <c r="M56" s="5" t="inlineStr">
        <is>
          <t>Win</t>
        </is>
      </c>
      <c r="N56" s="6">
        <f>N55+K56</f>
        <v/>
      </c>
    </row>
    <row r="57">
      <c r="A57" s="2" t="inlineStr">
        <is>
          <t>2020-Q3</t>
        </is>
      </c>
      <c r="B57" s="2" t="inlineStr">
        <is>
          <t>NQU0</t>
        </is>
      </c>
      <c r="C57" s="2" t="n">
        <v>16</v>
      </c>
      <c r="D57" s="2" t="n">
        <v>63</v>
      </c>
      <c r="E57" s="3" t="n">
        <v>11058.5</v>
      </c>
      <c r="F57" s="3" t="n">
        <v>10076</v>
      </c>
      <c r="G57" s="3">
        <f>E57-F57</f>
        <v/>
      </c>
      <c r="H57" s="2" t="inlineStr">
        <is>
          <t>Long</t>
        </is>
      </c>
      <c r="I57" s="3" t="n">
        <v>11058.5</v>
      </c>
      <c r="J57" s="3" t="n">
        <v>11443.25</v>
      </c>
      <c r="K57" s="3">
        <f>IF(H57="Long",J57-I57,IF(H57="Short",I57-J57,0))</f>
        <v/>
      </c>
      <c r="L57" s="4" t="n">
        <v>40.92</v>
      </c>
      <c r="M57" s="2" t="inlineStr">
        <is>
          <t>Period-Close</t>
        </is>
      </c>
      <c r="N57" s="3">
        <f>N56+K57</f>
        <v/>
      </c>
    </row>
    <row r="58">
      <c r="A58" s="8" t="inlineStr">
        <is>
          <t>2020-Q4</t>
        </is>
      </c>
      <c r="B58" s="8" t="inlineStr">
        <is>
          <t>NQZ0</t>
        </is>
      </c>
      <c r="C58" s="8" t="n">
        <v>15</v>
      </c>
      <c r="D58" s="8" t="n">
        <v>63</v>
      </c>
      <c r="E58" s="9" t="n">
        <v>12249</v>
      </c>
      <c r="F58" s="9" t="n">
        <v>11197.5</v>
      </c>
      <c r="G58" s="9">
        <f>E58-F58</f>
        <v/>
      </c>
      <c r="H58" s="8" t="inlineStr">
        <is>
          <t>Short</t>
        </is>
      </c>
      <c r="I58" s="9" t="n">
        <v>11197.5</v>
      </c>
      <c r="J58" s="9" t="n">
        <v>12249</v>
      </c>
      <c r="K58" s="9">
        <f>IF(H58="Long",J58-I58,IF(H58="Short",I58-J58,0))</f>
        <v/>
      </c>
      <c r="L58" s="10" t="n">
        <v>100</v>
      </c>
      <c r="M58" s="8" t="inlineStr">
        <is>
          <t>Loss</t>
        </is>
      </c>
      <c r="N58" s="9">
        <f>N57+K58</f>
        <v/>
      </c>
    </row>
    <row r="59">
      <c r="A59" s="2" t="inlineStr">
        <is>
          <t>2020-Q4</t>
        </is>
      </c>
      <c r="B59" s="2" t="inlineStr">
        <is>
          <t>NQZ0</t>
        </is>
      </c>
      <c r="C59" s="2" t="n">
        <v>15</v>
      </c>
      <c r="D59" s="2" t="n">
        <v>63</v>
      </c>
      <c r="E59" s="3" t="n">
        <v>12249</v>
      </c>
      <c r="F59" s="3" t="n">
        <v>11197.5</v>
      </c>
      <c r="G59" s="3">
        <f>E59-F59</f>
        <v/>
      </c>
      <c r="H59" s="2" t="inlineStr">
        <is>
          <t>Long</t>
        </is>
      </c>
      <c r="I59" s="3" t="n">
        <v>12249</v>
      </c>
      <c r="J59" s="3" t="n">
        <v>12883</v>
      </c>
      <c r="K59" s="3">
        <f>IF(H59="Long",J59-I59,IF(H59="Short",I59-J59,0))</f>
        <v/>
      </c>
      <c r="L59" s="4" t="n">
        <v>15.5</v>
      </c>
      <c r="M59" s="2" t="inlineStr">
        <is>
          <t>Period-Close</t>
        </is>
      </c>
      <c r="N59" s="3">
        <f>N58+K59</f>
        <v/>
      </c>
    </row>
    <row r="60">
      <c r="A60" s="5" t="inlineStr">
        <is>
          <t>2021-Q1</t>
        </is>
      </c>
      <c r="B60" s="5" t="inlineStr">
        <is>
          <t>NQH1</t>
        </is>
      </c>
      <c r="C60" s="5" t="n">
        <v>13</v>
      </c>
      <c r="D60" s="5" t="n">
        <v>63</v>
      </c>
      <c r="E60" s="6" t="n">
        <v>13125</v>
      </c>
      <c r="F60" s="6" t="n">
        <v>12491.25</v>
      </c>
      <c r="G60" s="6">
        <f>E60-F60</f>
        <v/>
      </c>
      <c r="H60" s="5" t="inlineStr">
        <is>
          <t>Long</t>
        </is>
      </c>
      <c r="I60" s="6" t="n">
        <v>13125</v>
      </c>
      <c r="J60" s="6" t="n">
        <v>13758.75</v>
      </c>
      <c r="K60" s="6">
        <f>IF(H60="Long",J60-I60,IF(H60="Short",I60-J60,0))</f>
        <v/>
      </c>
      <c r="L60" s="7" t="n">
        <v>62.76</v>
      </c>
      <c r="M60" s="5" t="inlineStr">
        <is>
          <t>Win</t>
        </is>
      </c>
      <c r="N60" s="6">
        <f>N59+K60</f>
        <v/>
      </c>
    </row>
    <row r="61">
      <c r="A61" s="8" t="inlineStr">
        <is>
          <t>2021-Q1</t>
        </is>
      </c>
      <c r="B61" s="8" t="inlineStr">
        <is>
          <t>NQH1</t>
        </is>
      </c>
      <c r="C61" s="8" t="n">
        <v>13</v>
      </c>
      <c r="D61" s="8" t="n">
        <v>63</v>
      </c>
      <c r="E61" s="9" t="n">
        <v>13125</v>
      </c>
      <c r="F61" s="9" t="n">
        <v>12491.25</v>
      </c>
      <c r="G61" s="9">
        <f>E61-F61</f>
        <v/>
      </c>
      <c r="H61" s="8" t="inlineStr">
        <is>
          <t>Long</t>
        </is>
      </c>
      <c r="I61" s="9" t="n">
        <v>13125</v>
      </c>
      <c r="J61" s="9" t="n">
        <v>12491.25</v>
      </c>
      <c r="K61" s="9">
        <f>IF(H61="Long",J61-I61,IF(H61="Short",I61-J61,0))</f>
        <v/>
      </c>
      <c r="L61" s="10" t="n">
        <v>100</v>
      </c>
      <c r="M61" s="8" t="inlineStr">
        <is>
          <t>Loss</t>
        </is>
      </c>
      <c r="N61" s="9">
        <f>N60+K61</f>
        <v/>
      </c>
    </row>
    <row r="62">
      <c r="A62" s="8" t="inlineStr">
        <is>
          <t>2021-Q2</t>
        </is>
      </c>
      <c r="B62" s="8" t="inlineStr">
        <is>
          <t>NQM1</t>
        </is>
      </c>
      <c r="C62" s="8" t="n">
        <v>15</v>
      </c>
      <c r="D62" s="8" t="n">
        <v>63</v>
      </c>
      <c r="E62" s="9" t="n">
        <v>14059.5</v>
      </c>
      <c r="F62" s="9" t="n">
        <v>13104.25</v>
      </c>
      <c r="G62" s="9">
        <f>E62-F62</f>
        <v/>
      </c>
      <c r="H62" s="8" t="inlineStr">
        <is>
          <t>Short</t>
        </is>
      </c>
      <c r="I62" s="9" t="n">
        <v>13104.25</v>
      </c>
      <c r="J62" s="9" t="n">
        <v>14059.5</v>
      </c>
      <c r="K62" s="9">
        <f>IF(H62="Long",J62-I62,IF(H62="Short",I62-J62,0))</f>
        <v/>
      </c>
      <c r="L62" s="10" t="n">
        <v>100</v>
      </c>
      <c r="M62" s="8" t="inlineStr">
        <is>
          <t>Loss</t>
        </is>
      </c>
      <c r="N62" s="9">
        <f>N61+K62</f>
        <v/>
      </c>
    </row>
    <row r="63">
      <c r="A63" s="2" t="inlineStr">
        <is>
          <t>2021-Q2</t>
        </is>
      </c>
      <c r="B63" s="2" t="inlineStr">
        <is>
          <t>NQM1</t>
        </is>
      </c>
      <c r="C63" s="2" t="n">
        <v>15</v>
      </c>
      <c r="D63" s="2" t="n">
        <v>63</v>
      </c>
      <c r="E63" s="3" t="n">
        <v>14059.5</v>
      </c>
      <c r="F63" s="3" t="n">
        <v>13104.25</v>
      </c>
      <c r="G63" s="3">
        <f>E63-F63</f>
        <v/>
      </c>
      <c r="H63" s="2" t="inlineStr">
        <is>
          <t>Long</t>
        </is>
      </c>
      <c r="I63" s="3" t="n">
        <v>14059.5</v>
      </c>
      <c r="J63" s="3" t="n">
        <v>14560.5</v>
      </c>
      <c r="K63" s="3">
        <f>IF(H63="Long",J63-I63,IF(H63="Short",I63-J63,0))</f>
        <v/>
      </c>
      <c r="L63" s="4" t="n">
        <v>24</v>
      </c>
      <c r="M63" s="2" t="inlineStr">
        <is>
          <t>Period-Close</t>
        </is>
      </c>
      <c r="N63" s="3">
        <f>N62+K63</f>
        <v/>
      </c>
    </row>
    <row r="64">
      <c r="A64" s="5" t="inlineStr">
        <is>
          <t>2021-Q3</t>
        </is>
      </c>
      <c r="B64" s="5" t="inlineStr">
        <is>
          <t>NQU1</t>
        </is>
      </c>
      <c r="C64" s="5" t="n">
        <v>15</v>
      </c>
      <c r="D64" s="5" t="n">
        <v>64</v>
      </c>
      <c r="E64" s="6" t="n">
        <v>14996</v>
      </c>
      <c r="F64" s="6" t="n">
        <v>14471</v>
      </c>
      <c r="G64" s="6">
        <f>E64-F64</f>
        <v/>
      </c>
      <c r="H64" s="5" t="inlineStr">
        <is>
          <t>Long</t>
        </is>
      </c>
      <c r="I64" s="6" t="n">
        <v>14996</v>
      </c>
      <c r="J64" s="6" t="n">
        <v>15521</v>
      </c>
      <c r="K64" s="6">
        <f>IF(H64="Long",J64-I64,IF(H64="Short",I64-J64,0))</f>
        <v/>
      </c>
      <c r="L64" s="7" t="n">
        <v>54.38</v>
      </c>
      <c r="M64" s="5" t="inlineStr">
        <is>
          <t>Win</t>
        </is>
      </c>
      <c r="N64" s="6">
        <f>N63+K64</f>
        <v/>
      </c>
    </row>
    <row r="65">
      <c r="A65" s="2" t="inlineStr">
        <is>
          <t>2021-Q3</t>
        </is>
      </c>
      <c r="B65" s="2" t="inlineStr">
        <is>
          <t>NQU1</t>
        </is>
      </c>
      <c r="C65" s="2" t="n">
        <v>15</v>
      </c>
      <c r="D65" s="2" t="n">
        <v>64</v>
      </c>
      <c r="E65" s="3" t="n">
        <v>14996</v>
      </c>
      <c r="F65" s="3" t="n">
        <v>14471</v>
      </c>
      <c r="G65" s="3">
        <f>E65-F65</f>
        <v/>
      </c>
      <c r="H65" s="2" t="inlineStr">
        <is>
          <t>Long</t>
        </is>
      </c>
      <c r="I65" s="3" t="n">
        <v>14996</v>
      </c>
      <c r="J65" s="3" t="n">
        <v>14714.5</v>
      </c>
      <c r="K65" s="3">
        <f>IF(H65="Long",J65-I65,IF(H65="Short",I65-J65,0))</f>
        <v/>
      </c>
      <c r="L65" s="4" t="n">
        <v>62.05</v>
      </c>
      <c r="M65" s="2" t="inlineStr">
        <is>
          <t>Period-Close</t>
        </is>
      </c>
      <c r="N65" s="3">
        <f>N64+K65</f>
        <v/>
      </c>
    </row>
    <row r="66">
      <c r="A66" s="5" t="inlineStr">
        <is>
          <t>2021-Q4</t>
        </is>
      </c>
      <c r="B66" s="5" t="inlineStr">
        <is>
          <t>NQZ1</t>
        </is>
      </c>
      <c r="C66" s="5" t="n">
        <v>14</v>
      </c>
      <c r="D66" s="5" t="n">
        <v>64</v>
      </c>
      <c r="E66" s="6" t="n">
        <v>15163.5</v>
      </c>
      <c r="F66" s="6" t="n">
        <v>14367.75</v>
      </c>
      <c r="G66" s="6">
        <f>E66-F66</f>
        <v/>
      </c>
      <c r="H66" s="5" t="inlineStr">
        <is>
          <t>Long</t>
        </is>
      </c>
      <c r="I66" s="6" t="n">
        <v>15163.5</v>
      </c>
      <c r="J66" s="6" t="n">
        <v>15959.25</v>
      </c>
      <c r="K66" s="6">
        <f>IF(H66="Long",J66-I66,IF(H66="Short",I66-J66,0))</f>
        <v/>
      </c>
      <c r="L66" s="7" t="n">
        <v>0</v>
      </c>
      <c r="M66" s="5" t="inlineStr">
        <is>
          <t>Win</t>
        </is>
      </c>
      <c r="N66" s="6">
        <f>N65+K66</f>
        <v/>
      </c>
    </row>
    <row r="67">
      <c r="A67" s="5" t="inlineStr">
        <is>
          <t>2022-Q1</t>
        </is>
      </c>
      <c r="B67" s="5" t="inlineStr">
        <is>
          <t>NQH2</t>
        </is>
      </c>
      <c r="C67" s="5" t="n">
        <v>13</v>
      </c>
      <c r="D67" s="5" t="n">
        <v>64</v>
      </c>
      <c r="E67" s="6" t="n">
        <v>16564</v>
      </c>
      <c r="F67" s="6" t="n">
        <v>15152.5</v>
      </c>
      <c r="G67" s="6">
        <f>E67-F67</f>
        <v/>
      </c>
      <c r="H67" s="5" t="inlineStr">
        <is>
          <t>Short</t>
        </is>
      </c>
      <c r="I67" s="6" t="n">
        <v>15152.5</v>
      </c>
      <c r="J67" s="6" t="n">
        <v>13741</v>
      </c>
      <c r="K67" s="6">
        <f>IF(H67="Long",J67-I67,IF(H67="Short",I67-J67,0))</f>
        <v/>
      </c>
      <c r="L67" s="7" t="n">
        <v>13.3</v>
      </c>
      <c r="M67" s="5" t="inlineStr">
        <is>
          <t>Win</t>
        </is>
      </c>
      <c r="N67" s="6">
        <f>N66+K67</f>
        <v/>
      </c>
    </row>
    <row r="68">
      <c r="A68" s="5" t="inlineStr">
        <is>
          <t>2022-Q1</t>
        </is>
      </c>
      <c r="B68" s="5" t="inlineStr">
        <is>
          <t>NQH2</t>
        </is>
      </c>
      <c r="C68" s="5" t="n">
        <v>13</v>
      </c>
      <c r="D68" s="5" t="n">
        <v>64</v>
      </c>
      <c r="E68" s="6" t="n">
        <v>16564</v>
      </c>
      <c r="F68" s="6" t="n">
        <v>15152.5</v>
      </c>
      <c r="G68" s="6">
        <f>E68-F68</f>
        <v/>
      </c>
      <c r="H68" s="5" t="inlineStr">
        <is>
          <t>Short</t>
        </is>
      </c>
      <c r="I68" s="6" t="n">
        <v>15152.5</v>
      </c>
      <c r="J68" s="6" t="n">
        <v>13741</v>
      </c>
      <c r="K68" s="6">
        <f>IF(H68="Long",J68-I68,IF(H68="Short",I68-J68,0))</f>
        <v/>
      </c>
      <c r="L68" s="7" t="n">
        <v>7.62</v>
      </c>
      <c r="M68" s="5" t="inlineStr">
        <is>
          <t>Win</t>
        </is>
      </c>
      <c r="N68" s="6">
        <f>N67+K68</f>
        <v/>
      </c>
    </row>
    <row r="69">
      <c r="A69" s="5" t="inlineStr">
        <is>
          <t>2022-Q2</t>
        </is>
      </c>
      <c r="B69" s="5" t="inlineStr">
        <is>
          <t>NQM2</t>
        </is>
      </c>
      <c r="C69" s="5" t="n">
        <v>13</v>
      </c>
      <c r="D69" s="5" t="n">
        <v>64</v>
      </c>
      <c r="E69" s="6" t="n">
        <v>15198</v>
      </c>
      <c r="F69" s="6" t="n">
        <v>13729.5</v>
      </c>
      <c r="G69" s="6">
        <f>E69-F69</f>
        <v/>
      </c>
      <c r="H69" s="5" t="inlineStr">
        <is>
          <t>Short</t>
        </is>
      </c>
      <c r="I69" s="6" t="n">
        <v>13729.5</v>
      </c>
      <c r="J69" s="6" t="n">
        <v>12261</v>
      </c>
      <c r="K69" s="6">
        <f>IF(H69="Long",J69-I69,IF(H69="Short",I69-J69,0))</f>
        <v/>
      </c>
      <c r="L69" s="7" t="n">
        <v>3.51</v>
      </c>
      <c r="M69" s="5" t="inlineStr">
        <is>
          <t>Win</t>
        </is>
      </c>
      <c r="N69" s="6">
        <f>N68+K69</f>
        <v/>
      </c>
    </row>
    <row r="70">
      <c r="A70" s="5" t="inlineStr">
        <is>
          <t>2022-Q3</t>
        </is>
      </c>
      <c r="B70" s="5" t="inlineStr">
        <is>
          <t>NQU2</t>
        </is>
      </c>
      <c r="C70" s="5" t="n">
        <v>14</v>
      </c>
      <c r="D70" s="5" t="n">
        <v>65</v>
      </c>
      <c r="E70" s="6" t="n">
        <v>12211</v>
      </c>
      <c r="F70" s="6" t="n">
        <v>11381.75</v>
      </c>
      <c r="G70" s="6">
        <f>E70-F70</f>
        <v/>
      </c>
      <c r="H70" s="5" t="inlineStr">
        <is>
          <t>Long</t>
        </is>
      </c>
      <c r="I70" s="6" t="n">
        <v>12211</v>
      </c>
      <c r="J70" s="6" t="n">
        <v>13040.25</v>
      </c>
      <c r="K70" s="6">
        <f>IF(H70="Long",J70-I70,IF(H70="Short",I70-J70,0))</f>
        <v/>
      </c>
      <c r="L70" s="7" t="n">
        <v>16.76</v>
      </c>
      <c r="M70" s="5" t="inlineStr">
        <is>
          <t>Win</t>
        </is>
      </c>
      <c r="N70" s="6">
        <f>N69+K70</f>
        <v/>
      </c>
    </row>
    <row r="71">
      <c r="A71" s="8" t="inlineStr">
        <is>
          <t>2022-Q3</t>
        </is>
      </c>
      <c r="B71" s="8" t="inlineStr">
        <is>
          <t>NQU2</t>
        </is>
      </c>
      <c r="C71" s="8" t="n">
        <v>14</v>
      </c>
      <c r="D71" s="8" t="n">
        <v>65</v>
      </c>
      <c r="E71" s="9" t="n">
        <v>12211</v>
      </c>
      <c r="F71" s="9" t="n">
        <v>11381.75</v>
      </c>
      <c r="G71" s="9">
        <f>E71-F71</f>
        <v/>
      </c>
      <c r="H71" s="8" t="inlineStr">
        <is>
          <t>Long</t>
        </is>
      </c>
      <c r="I71" s="9" t="n">
        <v>12211</v>
      </c>
      <c r="J71" s="9" t="n">
        <v>11381.75</v>
      </c>
      <c r="K71" s="9">
        <f>IF(H71="Long",J71-I71,IF(H71="Short",I71-J71,0))</f>
        <v/>
      </c>
      <c r="L71" s="10" t="n">
        <v>100</v>
      </c>
      <c r="M71" s="8" t="inlineStr">
        <is>
          <t>Loss</t>
        </is>
      </c>
      <c r="N71" s="9">
        <f>N70+K71</f>
        <v/>
      </c>
    </row>
    <row r="72">
      <c r="A72" s="2" t="inlineStr">
        <is>
          <t>2022-Q4</t>
        </is>
      </c>
      <c r="B72" s="2" t="inlineStr">
        <is>
          <t>NQZ2</t>
        </is>
      </c>
      <c r="C72" s="2" t="n">
        <v>13</v>
      </c>
      <c r="D72" s="2" t="n">
        <v>64</v>
      </c>
      <c r="E72" s="3" t="n">
        <v>11729.75</v>
      </c>
      <c r="F72" s="3" t="n">
        <v>10484.75</v>
      </c>
      <c r="G72" s="3">
        <f>E72-F72</f>
        <v/>
      </c>
      <c r="H72" s="2" t="inlineStr">
        <is>
          <t>Long</t>
        </is>
      </c>
      <c r="I72" s="3" t="n">
        <v>11729.75</v>
      </c>
      <c r="J72" s="3" t="n">
        <v>11041.75</v>
      </c>
      <c r="K72" s="3">
        <f>IF(H72="Long",J72-I72,IF(H72="Short",I72-J72,0))</f>
        <v/>
      </c>
      <c r="L72" s="4" t="n">
        <v>77.98999999999999</v>
      </c>
      <c r="M72" s="2" t="inlineStr">
        <is>
          <t>Period-Close</t>
        </is>
      </c>
      <c r="N72" s="3">
        <f>N71+K72</f>
        <v/>
      </c>
    </row>
    <row r="73">
      <c r="A73" s="5" t="inlineStr">
        <is>
          <t>2023-Q1</t>
        </is>
      </c>
      <c r="B73" s="5" t="inlineStr">
        <is>
          <t>NQH3</t>
        </is>
      </c>
      <c r="C73" s="5" t="n">
        <v>18</v>
      </c>
      <c r="D73" s="5" t="n">
        <v>59</v>
      </c>
      <c r="E73" s="6" t="n">
        <v>11759.5</v>
      </c>
      <c r="F73" s="6" t="n">
        <v>10751</v>
      </c>
      <c r="G73" s="6">
        <f>E73-F73</f>
        <v/>
      </c>
      <c r="H73" s="5" t="inlineStr">
        <is>
          <t>Long</t>
        </is>
      </c>
      <c r="I73" s="6" t="n">
        <v>11759.5</v>
      </c>
      <c r="J73" s="6" t="n">
        <v>12768</v>
      </c>
      <c r="K73" s="6">
        <f>IF(H73="Long",J73-I73,IF(H73="Short",I73-J73,0))</f>
        <v/>
      </c>
      <c r="L73" s="7" t="n">
        <v>15.37</v>
      </c>
      <c r="M73" s="5" t="inlineStr">
        <is>
          <t>Win</t>
        </is>
      </c>
      <c r="N73" s="6">
        <f>N72+K73</f>
        <v/>
      </c>
    </row>
    <row r="74">
      <c r="A74" s="5" t="inlineStr">
        <is>
          <t>2023-Q2</t>
        </is>
      </c>
      <c r="B74" s="5" t="inlineStr">
        <is>
          <t>NQM3</t>
        </is>
      </c>
      <c r="C74" s="5" t="n">
        <v>13</v>
      </c>
      <c r="D74" s="5" t="n">
        <v>65</v>
      </c>
      <c r="E74" s="6" t="n">
        <v>13348.75</v>
      </c>
      <c r="F74" s="6" t="n">
        <v>12925.5</v>
      </c>
      <c r="G74" s="6">
        <f>E74-F74</f>
        <v/>
      </c>
      <c r="H74" s="5" t="inlineStr">
        <is>
          <t>Long</t>
        </is>
      </c>
      <c r="I74" s="6" t="n">
        <v>13348.75</v>
      </c>
      <c r="J74" s="6" t="n">
        <v>13772</v>
      </c>
      <c r="K74" s="6">
        <f>IF(H74="Long",J74-I74,IF(H74="Short",I74-J74,0))</f>
        <v/>
      </c>
      <c r="L74" s="7" t="n">
        <v>9.039999999999999</v>
      </c>
      <c r="M74" s="5" t="inlineStr">
        <is>
          <t>Win</t>
        </is>
      </c>
      <c r="N74" s="6">
        <f>N73+K74</f>
        <v/>
      </c>
    </row>
    <row r="75">
      <c r="A75" s="8" t="inlineStr">
        <is>
          <t>2023-Q3</t>
        </is>
      </c>
      <c r="B75" s="8" t="inlineStr">
        <is>
          <t>NQU3</t>
        </is>
      </c>
      <c r="C75" s="8" t="n">
        <v>13</v>
      </c>
      <c r="D75" s="8" t="n">
        <v>65</v>
      </c>
      <c r="E75" s="9" t="n">
        <v>15857.25</v>
      </c>
      <c r="F75" s="9" t="n">
        <v>15063.25</v>
      </c>
      <c r="G75" s="9">
        <f>E75-F75</f>
        <v/>
      </c>
      <c r="H75" s="8" t="inlineStr">
        <is>
          <t>Long</t>
        </is>
      </c>
      <c r="I75" s="9" t="n">
        <v>15857.25</v>
      </c>
      <c r="J75" s="9" t="n">
        <v>15063.25</v>
      </c>
      <c r="K75" s="9">
        <f>IF(H75="Long",J75-I75,IF(H75="Short",I75-J75,0))</f>
        <v/>
      </c>
      <c r="L75" s="10" t="n">
        <v>100</v>
      </c>
      <c r="M75" s="8" t="inlineStr">
        <is>
          <t>Loss</t>
        </is>
      </c>
      <c r="N75" s="9">
        <f>N74+K75</f>
        <v/>
      </c>
    </row>
    <row r="76">
      <c r="A76" s="2" t="inlineStr">
        <is>
          <t>2023-Q3</t>
        </is>
      </c>
      <c r="B76" s="2" t="inlineStr">
        <is>
          <t>NQU3</t>
        </is>
      </c>
      <c r="C76" s="2" t="n">
        <v>13</v>
      </c>
      <c r="D76" s="2" t="n">
        <v>65</v>
      </c>
      <c r="E76" s="3" t="n">
        <v>15857.25</v>
      </c>
      <c r="F76" s="3" t="n">
        <v>15063.25</v>
      </c>
      <c r="G76" s="3">
        <f>E76-F76</f>
        <v/>
      </c>
      <c r="H76" s="2" t="inlineStr">
        <is>
          <t>Short</t>
        </is>
      </c>
      <c r="I76" s="3" t="n">
        <v>15063.25</v>
      </c>
      <c r="J76" s="3" t="n">
        <v>14891.5</v>
      </c>
      <c r="K76" s="3">
        <f>IF(H76="Long",J76-I76,IF(H76="Short",I76-J76,0))</f>
        <v/>
      </c>
      <c r="L76" s="4" t="n">
        <v>82.68000000000001</v>
      </c>
      <c r="M76" s="2" t="inlineStr">
        <is>
          <t>Period-Close</t>
        </is>
      </c>
      <c r="N76" s="3">
        <f>N75+K76</f>
        <v/>
      </c>
    </row>
    <row r="77">
      <c r="A77" s="8" t="inlineStr">
        <is>
          <t>2023-Q4</t>
        </is>
      </c>
      <c r="B77" s="8" t="inlineStr">
        <is>
          <t>NQZ3</t>
        </is>
      </c>
      <c r="C77" s="8" t="n">
        <v>13</v>
      </c>
      <c r="D77" s="8" t="n">
        <v>64</v>
      </c>
      <c r="E77" s="9" t="n">
        <v>15468.75</v>
      </c>
      <c r="F77" s="9" t="n">
        <v>14589</v>
      </c>
      <c r="G77" s="9">
        <f>E77-F77</f>
        <v/>
      </c>
      <c r="H77" s="8" t="inlineStr">
        <is>
          <t>Short</t>
        </is>
      </c>
      <c r="I77" s="9" t="n">
        <v>14589</v>
      </c>
      <c r="J77" s="9" t="n">
        <v>15468.75</v>
      </c>
      <c r="K77" s="9">
        <f>IF(H77="Long",J77-I77,IF(H77="Short",I77-J77,0))</f>
        <v/>
      </c>
      <c r="L77" s="10" t="n">
        <v>100</v>
      </c>
      <c r="M77" s="8" t="inlineStr">
        <is>
          <t>Loss</t>
        </is>
      </c>
      <c r="N77" s="9">
        <f>N76+K77</f>
        <v/>
      </c>
    </row>
    <row r="78">
      <c r="A78" s="5" t="inlineStr">
        <is>
          <t>2023-Q4</t>
        </is>
      </c>
      <c r="B78" s="5" t="inlineStr">
        <is>
          <t>NQZ3</t>
        </is>
      </c>
      <c r="C78" s="5" t="n">
        <v>13</v>
      </c>
      <c r="D78" s="5" t="n">
        <v>64</v>
      </c>
      <c r="E78" s="6" t="n">
        <v>15468.75</v>
      </c>
      <c r="F78" s="6" t="n">
        <v>14589</v>
      </c>
      <c r="G78" s="6">
        <f>E78-F78</f>
        <v/>
      </c>
      <c r="H78" s="5" t="inlineStr">
        <is>
          <t>Long</t>
        </is>
      </c>
      <c r="I78" s="6" t="n">
        <v>15468.75</v>
      </c>
      <c r="J78" s="6" t="n">
        <v>16348.5</v>
      </c>
      <c r="K78" s="6">
        <f>IF(H78="Long",J78-I78,IF(H78="Short",I78-J78,0))</f>
        <v/>
      </c>
      <c r="L78" s="7" t="n">
        <v>0.4</v>
      </c>
      <c r="M78" s="5" t="inlineStr">
        <is>
          <t>Win</t>
        </is>
      </c>
      <c r="N78" s="6">
        <f>N77+K78</f>
        <v/>
      </c>
    </row>
    <row r="79">
      <c r="A79" s="5" t="inlineStr">
        <is>
          <t>2024-Q1</t>
        </is>
      </c>
      <c r="B79" s="5" t="inlineStr">
        <is>
          <t>NQH4</t>
        </is>
      </c>
      <c r="C79" s="5" t="n">
        <v>18</v>
      </c>
      <c r="D79" s="5" t="n">
        <v>59</v>
      </c>
      <c r="E79" s="6" t="n">
        <v>17499.5</v>
      </c>
      <c r="F79" s="6" t="n">
        <v>16334.25</v>
      </c>
      <c r="G79" s="6">
        <f>E79-F79</f>
        <v/>
      </c>
      <c r="H79" s="5" t="inlineStr">
        <is>
          <t>Long</t>
        </is>
      </c>
      <c r="I79" s="6" t="n">
        <v>17499.5</v>
      </c>
      <c r="J79" s="6" t="n">
        <v>18664.75</v>
      </c>
      <c r="K79" s="6">
        <f>IF(H79="Long",J79-I79,IF(H79="Short",I79-J79,0))</f>
        <v/>
      </c>
      <c r="L79" s="7" t="n">
        <v>23.86</v>
      </c>
      <c r="M79" s="5" t="inlineStr">
        <is>
          <t>Win</t>
        </is>
      </c>
      <c r="N79" s="6">
        <f>N78+K79</f>
        <v/>
      </c>
    </row>
    <row r="80">
      <c r="A80" s="5" t="inlineStr">
        <is>
          <t>2024-Q2</t>
        </is>
      </c>
      <c r="B80" s="5" t="inlineStr">
        <is>
          <t>NQM4</t>
        </is>
      </c>
      <c r="C80" s="5" t="n">
        <v>18</v>
      </c>
      <c r="D80" s="5" t="n">
        <v>60</v>
      </c>
      <c r="E80" s="6" t="n">
        <v>18611</v>
      </c>
      <c r="F80" s="6" t="n">
        <v>17113.25</v>
      </c>
      <c r="G80" s="6">
        <f>E80-F80</f>
        <v/>
      </c>
      <c r="H80" s="5" t="inlineStr">
        <is>
          <t>Long</t>
        </is>
      </c>
      <c r="I80" s="6" t="n">
        <v>18611</v>
      </c>
      <c r="J80" s="6" t="n">
        <v>20108.75</v>
      </c>
      <c r="K80" s="6">
        <f>IF(H80="Long",J80-I80,IF(H80="Short",I80-J80,0))</f>
        <v/>
      </c>
      <c r="L80" s="7" t="n">
        <v>24.69</v>
      </c>
      <c r="M80" s="5" t="inlineStr">
        <is>
          <t>Win</t>
        </is>
      </c>
      <c r="N80" s="6">
        <f>N79+K80</f>
        <v/>
      </c>
    </row>
    <row r="81">
      <c r="A81" s="5" t="inlineStr">
        <is>
          <t>2024-Q3</t>
        </is>
      </c>
      <c r="B81" s="5" t="inlineStr">
        <is>
          <t>NQU4</t>
        </is>
      </c>
      <c r="C81" s="5" t="n">
        <v>18</v>
      </c>
      <c r="D81" s="5" t="n">
        <v>61</v>
      </c>
      <c r="E81" s="6" t="n">
        <v>20983.75</v>
      </c>
      <c r="F81" s="6" t="n">
        <v>19654</v>
      </c>
      <c r="G81" s="6">
        <f>E81-F81</f>
        <v/>
      </c>
      <c r="H81" s="5" t="inlineStr">
        <is>
          <t>Short</t>
        </is>
      </c>
      <c r="I81" s="6" t="n">
        <v>19654</v>
      </c>
      <c r="J81" s="6" t="n">
        <v>18324.25</v>
      </c>
      <c r="K81" s="6">
        <f>IF(H81="Long",J81-I81,IF(H81="Short",I81-J81,0))</f>
        <v/>
      </c>
      <c r="L81" s="7" t="n">
        <v>4.74</v>
      </c>
      <c r="M81" s="5" t="inlineStr">
        <is>
          <t>Win</t>
        </is>
      </c>
      <c r="N81" s="6">
        <f>N80+K81</f>
        <v/>
      </c>
    </row>
    <row r="82">
      <c r="A82" s="2" t="inlineStr">
        <is>
          <t>2024-Q3</t>
        </is>
      </c>
      <c r="B82" s="2" t="inlineStr">
        <is>
          <t>NQU4</t>
        </is>
      </c>
      <c r="C82" s="2" t="n">
        <v>18</v>
      </c>
      <c r="D82" s="2" t="n">
        <v>61</v>
      </c>
      <c r="E82" s="3" t="n">
        <v>20983.75</v>
      </c>
      <c r="F82" s="3" t="n">
        <v>19654</v>
      </c>
      <c r="G82" s="3">
        <f>E82-F82</f>
        <v/>
      </c>
      <c r="H82" s="2" t="inlineStr">
        <is>
          <t>Short</t>
        </is>
      </c>
      <c r="I82" s="3" t="n">
        <v>19654</v>
      </c>
      <c r="J82" s="3" t="n">
        <v>20247</v>
      </c>
      <c r="K82" s="3">
        <f>IF(H82="Long",J82-I82,IF(H82="Short",I82-J82,0))</f>
        <v/>
      </c>
      <c r="L82" s="4" t="n">
        <v>66.48</v>
      </c>
      <c r="M82" s="2" t="inlineStr">
        <is>
          <t>Period-Close</t>
        </is>
      </c>
      <c r="N82" s="3">
        <f>N81+K82</f>
        <v/>
      </c>
    </row>
    <row r="83">
      <c r="A83" s="5" t="inlineStr">
        <is>
          <t>2024-Q4</t>
        </is>
      </c>
      <c r="B83" s="5" t="inlineStr">
        <is>
          <t>NQZ4</t>
        </is>
      </c>
      <c r="C83" s="5" t="n">
        <v>17</v>
      </c>
      <c r="D83" s="5" t="n">
        <v>62</v>
      </c>
      <c r="E83" s="6" t="n">
        <v>20680</v>
      </c>
      <c r="F83" s="6" t="n">
        <v>19818</v>
      </c>
      <c r="G83" s="6">
        <f>E83-F83</f>
        <v/>
      </c>
      <c r="H83" s="5" t="inlineStr">
        <is>
          <t>Long</t>
        </is>
      </c>
      <c r="I83" s="6" t="n">
        <v>20680</v>
      </c>
      <c r="J83" s="6" t="n">
        <v>21542</v>
      </c>
      <c r="K83" s="6">
        <f>IF(H83="Long",J83-I83,IF(H83="Short",I83-J83,0))</f>
        <v/>
      </c>
      <c r="L83" s="7" t="n">
        <v>77.90000000000001</v>
      </c>
      <c r="M83" s="5" t="inlineStr">
        <is>
          <t>Win</t>
        </is>
      </c>
      <c r="N83" s="6">
        <f>N82+K83</f>
        <v/>
      </c>
    </row>
    <row r="84">
      <c r="A84" s="8" t="inlineStr">
        <is>
          <t>2025-Q1</t>
        </is>
      </c>
      <c r="B84" s="8" t="inlineStr">
        <is>
          <t>NQH5</t>
        </is>
      </c>
      <c r="C84" s="8" t="n">
        <v>16</v>
      </c>
      <c r="D84" s="8" t="n">
        <v>61</v>
      </c>
      <c r="E84" s="9" t="n">
        <v>21896.75</v>
      </c>
      <c r="F84" s="9" t="n">
        <v>20694</v>
      </c>
      <c r="G84" s="9">
        <f>E84-F84</f>
        <v/>
      </c>
      <c r="H84" s="8" t="inlineStr">
        <is>
          <t>Long</t>
        </is>
      </c>
      <c r="I84" s="9" t="n">
        <v>21896.75</v>
      </c>
      <c r="J84" s="9" t="n">
        <v>20694</v>
      </c>
      <c r="K84" s="9">
        <f>IF(H84="Long",J84-I84,IF(H84="Short",I84-J84,0))</f>
        <v/>
      </c>
      <c r="L84" s="10" t="n">
        <v>100</v>
      </c>
      <c r="M84" s="8" t="inlineStr">
        <is>
          <t>Loss</t>
        </is>
      </c>
      <c r="N84" s="9">
        <f>N83+K84</f>
        <v/>
      </c>
    </row>
    <row r="85">
      <c r="A85" s="5" t="inlineStr">
        <is>
          <t>2025-Q1</t>
        </is>
      </c>
      <c r="B85" s="5" t="inlineStr">
        <is>
          <t>NQH5</t>
        </is>
      </c>
      <c r="C85" s="5" t="n">
        <v>16</v>
      </c>
      <c r="D85" s="5" t="n">
        <v>61</v>
      </c>
      <c r="E85" s="6" t="n">
        <v>21896.75</v>
      </c>
      <c r="F85" s="6" t="n">
        <v>20694</v>
      </c>
      <c r="G85" s="6">
        <f>E85-F85</f>
        <v/>
      </c>
      <c r="H85" s="5" t="inlineStr">
        <is>
          <t>Short</t>
        </is>
      </c>
      <c r="I85" s="6" t="n">
        <v>20694</v>
      </c>
      <c r="J85" s="6" t="n">
        <v>19491.25</v>
      </c>
      <c r="K85" s="6">
        <f>IF(H85="Long",J85-I85,IF(H85="Short",I85-J85,0))</f>
        <v/>
      </c>
      <c r="L85" s="7" t="n">
        <v>35.5</v>
      </c>
      <c r="M85" s="5" t="inlineStr">
        <is>
          <t>Win</t>
        </is>
      </c>
      <c r="N85" s="6">
        <f>N84+K85</f>
        <v/>
      </c>
    </row>
    <row r="86">
      <c r="A86" s="2" t="inlineStr">
        <is>
          <t>2025-Q2</t>
        </is>
      </c>
      <c r="B86" s="2" t="inlineStr">
        <is>
          <t>NQM5</t>
        </is>
      </c>
      <c r="C86" s="2" t="n">
        <v>16</v>
      </c>
      <c r="D86" s="2" t="n">
        <v>61</v>
      </c>
      <c r="E86" s="3" t="n">
        <v>20044.25</v>
      </c>
      <c r="F86" s="3" t="n">
        <v>16460</v>
      </c>
      <c r="G86" s="3">
        <f>E86-F86</f>
        <v/>
      </c>
      <c r="H86" s="2" t="inlineStr">
        <is>
          <t>Long</t>
        </is>
      </c>
      <c r="I86" s="3" t="n">
        <v>20044.25</v>
      </c>
      <c r="J86" s="3" t="n">
        <v>22880.75</v>
      </c>
      <c r="K86" s="3">
        <f>IF(H86="Long",J86-I86,IF(H86="Short",I86-J86,0))</f>
        <v/>
      </c>
      <c r="L86" s="4" t="n">
        <v>10.2</v>
      </c>
      <c r="M86" s="2" t="inlineStr">
        <is>
          <t>Period-Close</t>
        </is>
      </c>
      <c r="N86" s="3">
        <f>N85+K86</f>
        <v/>
      </c>
    </row>
    <row r="87">
      <c r="A87" s="5" t="inlineStr">
        <is>
          <t>2025-Q3</t>
        </is>
      </c>
      <c r="B87" s="5" t="inlineStr">
        <is>
          <t>NQU5</t>
        </is>
      </c>
      <c r="C87" s="5" t="n">
        <v>17</v>
      </c>
      <c r="D87" s="5" t="n">
        <v>62</v>
      </c>
      <c r="E87" s="6" t="n">
        <v>23320.75</v>
      </c>
      <c r="F87" s="6" t="n">
        <v>22582</v>
      </c>
      <c r="G87" s="6">
        <f>E87-F87</f>
        <v/>
      </c>
      <c r="H87" s="5" t="inlineStr">
        <is>
          <t>Long</t>
        </is>
      </c>
      <c r="I87" s="6" t="n">
        <v>23320.75</v>
      </c>
      <c r="J87" s="6" t="n">
        <v>24059.5</v>
      </c>
      <c r="K87" s="6">
        <f>IF(H87="Long",J87-I87,IF(H87="Short",I87-J87,0))</f>
        <v/>
      </c>
      <c r="L87" s="7" t="n">
        <v>73.87</v>
      </c>
      <c r="M87" s="5" t="inlineStr">
        <is>
          <t>Win</t>
        </is>
      </c>
      <c r="N87" s="6">
        <f>N86+K87</f>
        <v/>
      </c>
    </row>
    <row r="88">
      <c r="A88" s="5" t="inlineStr">
        <is>
          <t>2025-Q3</t>
        </is>
      </c>
      <c r="B88" s="5" t="inlineStr">
        <is>
          <t>NQU5</t>
        </is>
      </c>
      <c r="C88" s="5" t="n">
        <v>17</v>
      </c>
      <c r="D88" s="5" t="n">
        <v>62</v>
      </c>
      <c r="E88" s="6" t="n">
        <v>23320.75</v>
      </c>
      <c r="F88" s="6" t="n">
        <v>22582</v>
      </c>
      <c r="G88" s="6">
        <f>E88-F88</f>
        <v/>
      </c>
      <c r="H88" s="5" t="inlineStr">
        <is>
          <t>Long</t>
        </is>
      </c>
      <c r="I88" s="6" t="n">
        <v>23320.75</v>
      </c>
      <c r="J88" s="6" t="n">
        <v>24059.5</v>
      </c>
      <c r="K88" s="6">
        <f>IF(H88="Long",J88-I88,IF(H88="Short",I88-J88,0))</f>
        <v/>
      </c>
      <c r="L88" s="7" t="n">
        <v>40</v>
      </c>
      <c r="M88" s="5" t="inlineStr">
        <is>
          <t>Win</t>
        </is>
      </c>
      <c r="N88" s="6">
        <f>N87+K88</f>
        <v/>
      </c>
    </row>
    <row r="89">
      <c r="A89" s="8" t="inlineStr">
        <is>
          <t>2025-Q4</t>
        </is>
      </c>
      <c r="B89" s="8" t="inlineStr">
        <is>
          <t>NQZ5</t>
        </is>
      </c>
      <c r="C89" s="8" t="n">
        <v>16</v>
      </c>
      <c r="D89" s="8" t="n">
        <v>63</v>
      </c>
      <c r="E89" s="9" t="n">
        <v>25394</v>
      </c>
      <c r="F89" s="9" t="n">
        <v>24158.5</v>
      </c>
      <c r="G89" s="9">
        <f>E89-F89</f>
        <v/>
      </c>
      <c r="H89" s="8" t="inlineStr">
        <is>
          <t>Long</t>
        </is>
      </c>
      <c r="I89" s="9" t="n">
        <v>25394</v>
      </c>
      <c r="J89" s="9" t="n">
        <v>24158.5</v>
      </c>
      <c r="K89" s="9">
        <f>IF(H89="Long",J89-I89,IF(H89="Short",I89-J89,0))</f>
        <v/>
      </c>
      <c r="L89" s="10" t="n">
        <v>100</v>
      </c>
      <c r="M89" s="8" t="inlineStr">
        <is>
          <t>Loss</t>
        </is>
      </c>
      <c r="N89" s="9">
        <f>N88+K89</f>
        <v/>
      </c>
    </row>
    <row r="90">
      <c r="A90" s="8" t="inlineStr">
        <is>
          <t>2025-Q4</t>
        </is>
      </c>
      <c r="B90" s="8" t="inlineStr">
        <is>
          <t>NQZ5</t>
        </is>
      </c>
      <c r="C90" s="8" t="n">
        <v>16</v>
      </c>
      <c r="D90" s="8" t="n">
        <v>63</v>
      </c>
      <c r="E90" s="9" t="n">
        <v>25394</v>
      </c>
      <c r="F90" s="9" t="n">
        <v>24158.5</v>
      </c>
      <c r="G90" s="9">
        <f>E90-F90</f>
        <v/>
      </c>
      <c r="H90" s="8" t="inlineStr">
        <is>
          <t>Short</t>
        </is>
      </c>
      <c r="I90" s="9" t="n">
        <v>24158.5</v>
      </c>
      <c r="J90" s="9" t="n">
        <v>25394</v>
      </c>
      <c r="K90" s="9">
        <f>IF(H90="Long",J90-I90,IF(H90="Short",I90-J90,0))</f>
        <v/>
      </c>
      <c r="L90" s="10" t="n">
        <v>100</v>
      </c>
      <c r="M90" s="8" t="inlineStr">
        <is>
          <t>Loss</t>
        </is>
      </c>
      <c r="N90" s="9">
        <f>N89+K90</f>
        <v/>
      </c>
    </row>
    <row r="91">
      <c r="A91" s="8" t="inlineStr">
        <is>
          <t>2026-Q1</t>
        </is>
      </c>
      <c r="B91" s="8" t="inlineStr">
        <is>
          <t>NQH6</t>
        </is>
      </c>
      <c r="C91" s="8" t="n">
        <v>15</v>
      </c>
      <c r="D91" s="8" t="n">
        <v>42</v>
      </c>
      <c r="E91" s="9" t="n">
        <v>26045.5</v>
      </c>
      <c r="F91" s="9" t="n">
        <v>25265.25</v>
      </c>
      <c r="G91" s="9">
        <f>E91-F91</f>
        <v/>
      </c>
      <c r="H91" s="8" t="inlineStr">
        <is>
          <t>Short</t>
        </is>
      </c>
      <c r="I91" s="9" t="n">
        <v>25265.25</v>
      </c>
      <c r="J91" s="9" t="n">
        <v>26045.5</v>
      </c>
      <c r="K91" s="9">
        <f>IF(H91="Long",J91-I91,IF(H91="Short",I91-J91,0))</f>
        <v/>
      </c>
      <c r="L91" s="10" t="n">
        <v>100</v>
      </c>
      <c r="M91" s="8" t="inlineStr">
        <is>
          <t>Loss</t>
        </is>
      </c>
      <c r="N91" s="9">
        <f>N90+K91</f>
        <v/>
      </c>
    </row>
    <row r="92">
      <c r="A92" s="8" t="inlineStr">
        <is>
          <t>2026-Q1</t>
        </is>
      </c>
      <c r="B92" s="8" t="inlineStr">
        <is>
          <t>NQH6</t>
        </is>
      </c>
      <c r="C92" s="8" t="n">
        <v>15</v>
      </c>
      <c r="D92" s="8" t="n">
        <v>42</v>
      </c>
      <c r="E92" s="9" t="n">
        <v>26045.5</v>
      </c>
      <c r="F92" s="9" t="n">
        <v>25265.25</v>
      </c>
      <c r="G92" s="9">
        <f>E92-F92</f>
        <v/>
      </c>
      <c r="H92" s="8" t="inlineStr">
        <is>
          <t>Long</t>
        </is>
      </c>
      <c r="I92" s="9" t="n">
        <v>26045.5</v>
      </c>
      <c r="J92" s="9" t="n">
        <v>25265.25</v>
      </c>
      <c r="K92" s="9">
        <f>IF(H92="Long",J92-I92,IF(H92="Short",I92-J92,0))</f>
        <v/>
      </c>
      <c r="L92" s="10" t="n">
        <v>100</v>
      </c>
      <c r="M92" s="8" t="inlineStr">
        <is>
          <t>Loss</t>
        </is>
      </c>
      <c r="N92" s="9">
        <f>N91+K92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t="inlineStr">
        <is>
          <t>Total Rows</t>
        </is>
      </c>
      <c r="B2">
        <f>COUNTA('ORB Results'!M2:M92)</f>
        <v/>
      </c>
    </row>
    <row r="3">
      <c r="A3" t="inlineStr">
        <is>
          <t>Trades (excl No-Op)</t>
        </is>
      </c>
      <c r="B3">
        <f>COUNTIF('ORB Results'!M2:M92,"Win")+COUNTIF('ORB Results'!M2:M92,"Loss")+COUNTIF('ORB Results'!M2:M92,"EOD-Close")+COUNTIF('ORB Results'!M2:M92,"Period-Close")</f>
        <v/>
      </c>
    </row>
    <row r="4">
      <c r="A4" t="inlineStr">
        <is>
          <t>Wins</t>
        </is>
      </c>
      <c r="B4">
        <f>COUNTIF('ORB Results'!M2:M92,"Win")</f>
        <v/>
      </c>
    </row>
    <row r="5">
      <c r="A5" t="inlineStr">
        <is>
          <t>Losses</t>
        </is>
      </c>
      <c r="B5">
        <f>COUNTIF('ORB Results'!M2:M92,"Loss")</f>
        <v/>
      </c>
    </row>
    <row r="6">
      <c r="A6" t="inlineStr">
        <is>
          <t>EOD/Period Close</t>
        </is>
      </c>
      <c r="B6">
        <f>COUNTIF('ORB Results'!M2:M92,"EOD-Close")+COUNTIF('ORB Results'!M2:M92,"Period-Close")</f>
        <v/>
      </c>
    </row>
    <row r="7">
      <c r="A7" t="inlineStr">
        <is>
          <t>No-Op</t>
        </is>
      </c>
      <c r="B7">
        <f>COUNTIF('ORB Results'!M2:M92,"No-Op")</f>
        <v/>
      </c>
    </row>
    <row r="8">
      <c r="A8" t="inlineStr">
        <is>
          <t>Win Rate (W/L only)</t>
        </is>
      </c>
      <c r="B8" s="12">
        <f>IF(B4+B5&gt;0,B4/(B4+B5),0)</f>
        <v/>
      </c>
    </row>
    <row r="9">
      <c r="A9" t="inlineStr">
        <is>
          <t>Win Rate (all trades)</t>
        </is>
      </c>
      <c r="B9" s="12">
        <f>IF(B3&gt;0,COUNTIFS('ORB Results'!M2:M92,"&lt;&gt;No-Op",'ORB Results'!K2:K92,"&gt;"&amp;0)/B3,0)</f>
        <v/>
      </c>
    </row>
    <row r="10">
      <c r="A10" t="inlineStr">
        <is>
          <t>Total P/L</t>
        </is>
      </c>
      <c r="B10" s="13">
        <f>SUM('ORB Results'!K2:K92)</f>
        <v/>
      </c>
    </row>
    <row r="11">
      <c r="A11" t="inlineStr">
        <is>
          <t>Avg Trade P/L</t>
        </is>
      </c>
      <c r="B11" s="13">
        <f>IF(B3&gt;0,B10/B3,0)</f>
        <v/>
      </c>
    </row>
    <row r="12">
      <c r="A12" t="inlineStr">
        <is>
          <t>Avg Drawdown %</t>
        </is>
      </c>
      <c r="B12" s="14">
        <f>AVERAGEIFS('ORB Results'!L2:L92,'ORB Results'!M2:M92,"&lt;&gt;No-Op")</f>
        <v/>
      </c>
    </row>
    <row r="13">
      <c r="A13" t="inlineStr">
        <is>
          <t>Avg Win Drawdown %</t>
        </is>
      </c>
      <c r="B13" s="14">
        <f>AVERAGEIF('ORB Results'!M2:M92,"Win",'ORB Results'!L2:L92)</f>
        <v/>
      </c>
    </row>
    <row r="14">
      <c r="A14" t="inlineStr">
        <is>
          <t>Final Cumulative P/L</t>
        </is>
      </c>
      <c r="B14" s="13">
        <f>'ORB Results'!N92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2026-03-11T12:52:24Z</dcterms:created>
  <dcterms:modified xsi:type="dcterms:W3CDTF">2026-03-11T12:52:24Z</dcterms:modified>
</cp:coreProperties>
</file>