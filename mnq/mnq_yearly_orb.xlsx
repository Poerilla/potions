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2020</t>
        </is>
      </c>
      <c r="B2" s="2" t="inlineStr">
        <is>
          <t>MNQH0</t>
        </is>
      </c>
      <c r="C2" s="2" t="n">
        <v>78</v>
      </c>
      <c r="D2" s="2" t="n">
        <v>234</v>
      </c>
      <c r="E2" s="3" t="n">
        <v>9763</v>
      </c>
      <c r="F2" s="3" t="n">
        <v>6628.75</v>
      </c>
      <c r="G2" s="3">
        <f>E2-F2</f>
        <v/>
      </c>
      <c r="H2" s="2" t="inlineStr">
        <is>
          <t>Long</t>
        </is>
      </c>
      <c r="I2" s="3" t="n">
        <v>9763</v>
      </c>
      <c r="J2" s="3" t="n">
        <v>12897.25</v>
      </c>
      <c r="K2" s="3">
        <f>IF(H2="Long",J2-I2,IF(H2="Short",I2-J2,0))</f>
        <v/>
      </c>
      <c r="L2" s="4" t="n">
        <v>12.63</v>
      </c>
      <c r="M2" s="2" t="inlineStr">
        <is>
          <t>Win</t>
        </is>
      </c>
      <c r="N2" s="3">
        <f>K2</f>
        <v/>
      </c>
    </row>
    <row r="3">
      <c r="A3" s="2" t="inlineStr">
        <is>
          <t>2021</t>
        </is>
      </c>
      <c r="B3" s="2" t="inlineStr">
        <is>
          <t>MNQH1</t>
        </is>
      </c>
      <c r="C3" s="2" t="n">
        <v>76</v>
      </c>
      <c r="D3" s="2" t="n">
        <v>235</v>
      </c>
      <c r="E3" s="3" t="n">
        <v>13900.75</v>
      </c>
      <c r="F3" s="3" t="n">
        <v>12207.5</v>
      </c>
      <c r="G3" s="3">
        <f>E3-F3</f>
        <v/>
      </c>
      <c r="H3" s="2" t="inlineStr">
        <is>
          <t>Long</t>
        </is>
      </c>
      <c r="I3" s="3" t="n">
        <v>13900.75</v>
      </c>
      <c r="J3" s="3" t="n">
        <v>15594</v>
      </c>
      <c r="K3" s="3">
        <f>IF(H3="Long",J3-I3,IF(H3="Short",I3-J3,0))</f>
        <v/>
      </c>
      <c r="L3" s="4" t="n">
        <v>58.23</v>
      </c>
      <c r="M3" s="2" t="inlineStr">
        <is>
          <t>Win</t>
        </is>
      </c>
      <c r="N3" s="3">
        <f>N2+K3</f>
        <v/>
      </c>
    </row>
    <row r="4">
      <c r="A4" s="5" t="inlineStr">
        <is>
          <t>2022</t>
        </is>
      </c>
      <c r="B4" s="5" t="inlineStr">
        <is>
          <t>MNQH2</t>
        </is>
      </c>
      <c r="C4" s="5" t="n">
        <v>77</v>
      </c>
      <c r="D4" s="5" t="n">
        <v>233</v>
      </c>
      <c r="E4" s="6" t="n">
        <v>16564</v>
      </c>
      <c r="F4" s="6" t="n">
        <v>12941.75</v>
      </c>
      <c r="G4" s="6">
        <f>E4-F4</f>
        <v/>
      </c>
      <c r="H4" s="5" t="inlineStr">
        <is>
          <t>Short</t>
        </is>
      </c>
      <c r="I4" s="6" t="n">
        <v>12941.75</v>
      </c>
      <c r="J4" s="6" t="n">
        <v>11040.75</v>
      </c>
      <c r="K4" s="6">
        <f>IF(H4="Long",J4-I4,IF(H4="Short",I4-J4,0))</f>
        <v/>
      </c>
      <c r="L4" s="7" t="n">
        <v>22.05</v>
      </c>
      <c r="M4" s="5" t="inlineStr">
        <is>
          <t>Period-Close</t>
        </is>
      </c>
      <c r="N4" s="6">
        <f>N3+K4</f>
        <v/>
      </c>
    </row>
    <row r="5">
      <c r="A5" s="2" t="inlineStr">
        <is>
          <t>2023</t>
        </is>
      </c>
      <c r="B5" s="2" t="inlineStr">
        <is>
          <t>MNQH3</t>
        </is>
      </c>
      <c r="C5" s="2" t="n">
        <v>77</v>
      </c>
      <c r="D5" s="2" t="n">
        <v>233</v>
      </c>
      <c r="E5" s="3" t="n">
        <v>13311.5</v>
      </c>
      <c r="F5" s="3" t="n">
        <v>10751</v>
      </c>
      <c r="G5" s="3">
        <f>E5-F5</f>
        <v/>
      </c>
      <c r="H5" s="2" t="inlineStr">
        <is>
          <t>Long</t>
        </is>
      </c>
      <c r="I5" s="3" t="n">
        <v>13311.5</v>
      </c>
      <c r="J5" s="3" t="n">
        <v>15872</v>
      </c>
      <c r="K5" s="3">
        <f>IF(H5="Long",J5-I5,IF(H5="Short",I5-J5,0))</f>
        <v/>
      </c>
      <c r="L5" s="4" t="n">
        <v>12.1</v>
      </c>
      <c r="M5" s="2" t="inlineStr">
        <is>
          <t>Win</t>
        </is>
      </c>
      <c r="N5" s="3">
        <f>N4+K5</f>
        <v/>
      </c>
    </row>
    <row r="6">
      <c r="A6" s="2" t="inlineStr">
        <is>
          <t>2024</t>
        </is>
      </c>
      <c r="B6" s="2" t="inlineStr">
        <is>
          <t>MNQH4</t>
        </is>
      </c>
      <c r="C6" s="2" t="n">
        <v>77</v>
      </c>
      <c r="D6" s="2" t="n">
        <v>236</v>
      </c>
      <c r="E6" s="3" t="n">
        <v>18708.5</v>
      </c>
      <c r="F6" s="3" t="n">
        <v>16334.25</v>
      </c>
      <c r="G6" s="3">
        <f>E6-F6</f>
        <v/>
      </c>
      <c r="H6" s="2" t="inlineStr">
        <is>
          <t>Long</t>
        </is>
      </c>
      <c r="I6" s="3" t="n">
        <v>18708.5</v>
      </c>
      <c r="J6" s="3" t="n">
        <v>21082.75</v>
      </c>
      <c r="K6" s="3">
        <f>IF(H6="Long",J6-I6,IF(H6="Short",I6-J6,0))</f>
        <v/>
      </c>
      <c r="L6" s="4" t="n">
        <v>57.39</v>
      </c>
      <c r="M6" s="2" t="inlineStr">
        <is>
          <t>Win</t>
        </is>
      </c>
      <c r="N6" s="3">
        <f>N5+K6</f>
        <v/>
      </c>
    </row>
    <row r="7">
      <c r="A7" s="8" t="inlineStr">
        <is>
          <t>2025</t>
        </is>
      </c>
      <c r="B7" s="8" t="inlineStr">
        <is>
          <t>MNQH5</t>
        </is>
      </c>
      <c r="C7" s="8" t="n">
        <v>77</v>
      </c>
      <c r="D7" s="8" t="n">
        <v>235</v>
      </c>
      <c r="E7" s="9" t="n">
        <v>22320</v>
      </c>
      <c r="F7" s="9" t="n">
        <v>18976.75</v>
      </c>
      <c r="G7" s="9">
        <f>E7-F7</f>
        <v/>
      </c>
      <c r="H7" s="8" t="inlineStr">
        <is>
          <t>Short</t>
        </is>
      </c>
      <c r="I7" s="9" t="n">
        <v>18976.75</v>
      </c>
      <c r="J7" s="9" t="n">
        <v>22320</v>
      </c>
      <c r="K7" s="9">
        <f>IF(H7="Long",J7-I7,IF(H7="Short",I7-J7,0))</f>
        <v/>
      </c>
      <c r="L7" s="10" t="n">
        <v>100</v>
      </c>
      <c r="M7" s="8" t="inlineStr">
        <is>
          <t>Loss</t>
        </is>
      </c>
      <c r="N7" s="9">
        <f>N6+K7</f>
        <v/>
      </c>
    </row>
    <row r="8">
      <c r="A8" s="2" t="inlineStr">
        <is>
          <t>2025</t>
        </is>
      </c>
      <c r="B8" s="2" t="inlineStr">
        <is>
          <t>MNQH5</t>
        </is>
      </c>
      <c r="C8" s="2" t="n">
        <v>77</v>
      </c>
      <c r="D8" s="2" t="n">
        <v>235</v>
      </c>
      <c r="E8" s="3" t="n">
        <v>22320</v>
      </c>
      <c r="F8" s="3" t="n">
        <v>18976.75</v>
      </c>
      <c r="G8" s="3">
        <f>E8-F8</f>
        <v/>
      </c>
      <c r="H8" s="2" t="inlineStr">
        <is>
          <t>Long</t>
        </is>
      </c>
      <c r="I8" s="3" t="n">
        <v>22320</v>
      </c>
      <c r="J8" s="3" t="n">
        <v>25663.25</v>
      </c>
      <c r="K8" s="3">
        <f>IF(H8="Long",J8-I8,IF(H8="Short",I8-J8,0))</f>
        <v/>
      </c>
      <c r="L8" s="4" t="n">
        <v>0</v>
      </c>
      <c r="M8" s="2" t="inlineStr">
        <is>
          <t>Win</t>
        </is>
      </c>
      <c r="N8" s="3">
        <f>N7+K8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Rows</t>
        </is>
      </c>
      <c r="B2">
        <f>COUNTA('ORB Results'!M2:M8)</f>
        <v/>
      </c>
    </row>
    <row r="3">
      <c r="A3" t="inlineStr">
        <is>
          <t>Trades (excl No-Op)</t>
        </is>
      </c>
      <c r="B3">
        <f>COUNTIF('ORB Results'!M2:M8,"Win")+COUNTIF('ORB Results'!M2:M8,"Loss")+COUNTIF('ORB Results'!M2:M8,"EOD-Close")+COUNTIF('ORB Results'!M2:M8,"Period-Close")</f>
        <v/>
      </c>
    </row>
    <row r="4">
      <c r="A4" t="inlineStr">
        <is>
          <t>Wins</t>
        </is>
      </c>
      <c r="B4">
        <f>COUNTIF('ORB Results'!M2:M8,"Win")</f>
        <v/>
      </c>
    </row>
    <row r="5">
      <c r="A5" t="inlineStr">
        <is>
          <t>Losses</t>
        </is>
      </c>
      <c r="B5">
        <f>COUNTIF('ORB Results'!M2:M8,"Loss")</f>
        <v/>
      </c>
    </row>
    <row r="6">
      <c r="A6" t="inlineStr">
        <is>
          <t>EOD/Period Close</t>
        </is>
      </c>
      <c r="B6">
        <f>COUNTIF('ORB Results'!M2:M8,"EOD-Close")+COUNTIF('ORB Results'!M2:M8,"Period-Close")</f>
        <v/>
      </c>
    </row>
    <row r="7">
      <c r="A7" t="inlineStr">
        <is>
          <t>No-Op</t>
        </is>
      </c>
      <c r="B7">
        <f>COUNTIF('ORB Results'!M2:M8,"No-Op")</f>
        <v/>
      </c>
    </row>
    <row r="8">
      <c r="A8" t="inlineStr">
        <is>
          <t>Win Rate (W/L only)</t>
        </is>
      </c>
      <c r="B8" s="12">
        <f>IF(B4+B5&gt;0,B4/(B4+B5),0)</f>
        <v/>
      </c>
    </row>
    <row r="9">
      <c r="A9" t="inlineStr">
        <is>
          <t>Win Rate (all trades)</t>
        </is>
      </c>
      <c r="B9" s="12">
        <f>IF(B3&gt;0,COUNTIFS('ORB Results'!M2:M8,"&lt;&gt;No-Op",'ORB Results'!K2:K8,"&gt;"&amp;0)/B3,0)</f>
        <v/>
      </c>
    </row>
    <row r="10">
      <c r="A10" t="inlineStr">
        <is>
          <t>Total P/L</t>
        </is>
      </c>
      <c r="B10" s="13">
        <f>SUM('ORB Results'!K2:K8)</f>
        <v/>
      </c>
    </row>
    <row r="11">
      <c r="A11" t="inlineStr">
        <is>
          <t>Avg Trade P/L</t>
        </is>
      </c>
      <c r="B11" s="13">
        <f>IF(B3&gt;0,B10/B3,0)</f>
        <v/>
      </c>
    </row>
    <row r="12">
      <c r="A12" t="inlineStr">
        <is>
          <t>Avg Drawdown %</t>
        </is>
      </c>
      <c r="B12" s="14">
        <f>AVERAGEIFS('ORB Results'!L2:L8,'ORB Results'!M2:M8,"&lt;&gt;No-Op")</f>
        <v/>
      </c>
    </row>
    <row r="13">
      <c r="A13" t="inlineStr">
        <is>
          <t>Avg Win Drawdown %</t>
        </is>
      </c>
      <c r="B13" s="14">
        <f>AVERAGEIF('ORB Results'!M2:M8,"Win",'ORB Results'!L2:L8)</f>
        <v/>
      </c>
    </row>
    <row r="14">
      <c r="A14" t="inlineStr">
        <is>
          <t>Final Cumulative P/L</t>
        </is>
      </c>
      <c r="B14" s="13">
        <f>'ORB Results'!N8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2026-04-24T13:54:30Z</dcterms:created>
  <dcterms:modified xsi:type="dcterms:W3CDTF">2026-04-24T13:54:30Z</dcterms:modified>
</cp:coreProperties>
</file>