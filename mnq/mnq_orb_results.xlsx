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2" fontId="0" fillId="5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Symbol</t>
        </is>
      </c>
      <c r="D1" s="1" t="inlineStr">
        <is>
          <t>Range_High</t>
        </is>
      </c>
      <c r="E1" s="1" t="inlineStr">
        <is>
          <t>Range_Low</t>
        </is>
      </c>
      <c r="F1" s="1" t="inlineStr">
        <is>
          <t>Range</t>
        </is>
      </c>
      <c r="G1" s="1" t="inlineStr">
        <is>
          <t>Trade_Direction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Trade_PL</t>
        </is>
      </c>
      <c r="K1" s="1" t="inlineStr">
        <is>
          <t>Drawdown_Pct</t>
        </is>
      </c>
      <c r="L1" s="1" t="inlineStr">
        <is>
          <t>Result</t>
        </is>
      </c>
      <c r="M1" s="1" t="inlineStr">
        <is>
          <t>Cumulative_PL</t>
        </is>
      </c>
    </row>
    <row r="2">
      <c r="A2" s="2" t="inlineStr">
        <is>
          <t>2021-03-04</t>
        </is>
      </c>
      <c r="B2" s="2" t="inlineStr">
        <is>
          <t>Thursday</t>
        </is>
      </c>
      <c r="C2" s="2" t="inlineStr">
        <is>
          <t>MNQH1</t>
        </is>
      </c>
      <c r="D2" s="3" t="n">
        <v>12765</v>
      </c>
      <c r="E2" s="3" t="n">
        <v>12649.5</v>
      </c>
      <c r="F2" s="3">
        <f>D2-E2</f>
        <v/>
      </c>
      <c r="G2" s="2" t="inlineStr">
        <is>
          <t>Short</t>
        </is>
      </c>
      <c r="H2" s="3" t="n">
        <v>12649.5</v>
      </c>
      <c r="I2" s="3" t="n">
        <v>12534</v>
      </c>
      <c r="J2" s="3">
        <f>IF(G2="Long",I2-H2,IF(G2="Short",H2-I2,0))</f>
        <v/>
      </c>
      <c r="K2" s="4" t="n">
        <v>0</v>
      </c>
      <c r="L2" s="2" t="inlineStr">
        <is>
          <t>Win</t>
        </is>
      </c>
      <c r="M2" s="3">
        <f>J2</f>
        <v/>
      </c>
    </row>
    <row r="3">
      <c r="A3" s="5" t="inlineStr">
        <is>
          <t>2021-03-04</t>
        </is>
      </c>
      <c r="B3" s="5" t="inlineStr">
        <is>
          <t>Thursday</t>
        </is>
      </c>
      <c r="C3" s="5" t="inlineStr">
        <is>
          <t>MNQH1</t>
        </is>
      </c>
      <c r="D3" s="6" t="n">
        <v>12765</v>
      </c>
      <c r="E3" s="6" t="n">
        <v>12649.5</v>
      </c>
      <c r="F3" s="6">
        <f>D3-E3</f>
        <v/>
      </c>
      <c r="G3" s="5" t="inlineStr">
        <is>
          <t>Short</t>
        </is>
      </c>
      <c r="H3" s="6" t="n">
        <v>12649.5</v>
      </c>
      <c r="I3" s="6" t="n">
        <v>12765</v>
      </c>
      <c r="J3" s="6">
        <f>IF(G3="Long",I3-H3,IF(G3="Short",H3-I3,0))</f>
        <v/>
      </c>
      <c r="K3" s="7" t="n">
        <v>100</v>
      </c>
      <c r="L3" s="5" t="inlineStr">
        <is>
          <t>Loss</t>
        </is>
      </c>
      <c r="M3" s="6">
        <f>M2+J3</f>
        <v/>
      </c>
    </row>
    <row r="4">
      <c r="A4" s="2" t="inlineStr">
        <is>
          <t>2021-03-05</t>
        </is>
      </c>
      <c r="B4" s="2" t="inlineStr">
        <is>
          <t>Friday</t>
        </is>
      </c>
      <c r="C4" s="2" t="inlineStr">
        <is>
          <t>MNQH1</t>
        </is>
      </c>
      <c r="D4" s="3" t="n">
        <v>12606</v>
      </c>
      <c r="E4" s="3" t="n">
        <v>12446.25</v>
      </c>
      <c r="F4" s="3">
        <f>D4-E4</f>
        <v/>
      </c>
      <c r="G4" s="2" t="inlineStr">
        <is>
          <t>Short</t>
        </is>
      </c>
      <c r="H4" s="3" t="n">
        <v>12446.25</v>
      </c>
      <c r="I4" s="3" t="n">
        <v>12286.5</v>
      </c>
      <c r="J4" s="3">
        <f>IF(G4="Long",I4-H4,IF(G4="Short",H4-I4,0))</f>
        <v/>
      </c>
      <c r="K4" s="4" t="n">
        <v>29.26</v>
      </c>
      <c r="L4" s="2" t="inlineStr">
        <is>
          <t>Win</t>
        </is>
      </c>
      <c r="M4" s="3">
        <f>M3+J4</f>
        <v/>
      </c>
    </row>
    <row r="5">
      <c r="A5" s="5" t="inlineStr">
        <is>
          <t>2021-03-05</t>
        </is>
      </c>
      <c r="B5" s="5" t="inlineStr">
        <is>
          <t>Friday</t>
        </is>
      </c>
      <c r="C5" s="5" t="inlineStr">
        <is>
          <t>MNQH1</t>
        </is>
      </c>
      <c r="D5" s="6" t="n">
        <v>12606</v>
      </c>
      <c r="E5" s="6" t="n">
        <v>12446.25</v>
      </c>
      <c r="F5" s="6">
        <f>D5-E5</f>
        <v/>
      </c>
      <c r="G5" s="5" t="inlineStr">
        <is>
          <t>Short</t>
        </is>
      </c>
      <c r="H5" s="6" t="n">
        <v>12446.25</v>
      </c>
      <c r="I5" s="6" t="n">
        <v>12606</v>
      </c>
      <c r="J5" s="6">
        <f>IF(G5="Long",I5-H5,IF(G5="Short",H5-I5,0))</f>
        <v/>
      </c>
      <c r="K5" s="7" t="n">
        <v>100</v>
      </c>
      <c r="L5" s="5" t="inlineStr">
        <is>
          <t>Loss</t>
        </is>
      </c>
      <c r="M5" s="6">
        <f>M4+J5</f>
        <v/>
      </c>
    </row>
    <row r="6">
      <c r="A6" s="5" t="inlineStr">
        <is>
          <t>2021-03-08</t>
        </is>
      </c>
      <c r="B6" s="5" t="inlineStr">
        <is>
          <t>Monday</t>
        </is>
      </c>
      <c r="C6" s="5" t="inlineStr">
        <is>
          <t>MNQH1</t>
        </is>
      </c>
      <c r="D6" s="6" t="n">
        <v>12686</v>
      </c>
      <c r="E6" s="6" t="n">
        <v>12526.5</v>
      </c>
      <c r="F6" s="6">
        <f>D6-E6</f>
        <v/>
      </c>
      <c r="G6" s="5" t="inlineStr">
        <is>
          <t>Long</t>
        </is>
      </c>
      <c r="H6" s="6" t="n">
        <v>12686</v>
      </c>
      <c r="I6" s="6" t="n">
        <v>12526.5</v>
      </c>
      <c r="J6" s="6">
        <f>IF(G6="Long",I6-H6,IF(G6="Short",H6-I6,0))</f>
        <v/>
      </c>
      <c r="K6" s="7" t="n">
        <v>100</v>
      </c>
      <c r="L6" s="5" t="inlineStr">
        <is>
          <t>Loss</t>
        </is>
      </c>
      <c r="M6" s="6">
        <f>M5+J6</f>
        <v/>
      </c>
    </row>
    <row r="7">
      <c r="A7" s="2" t="inlineStr">
        <is>
          <t>2021-03-08</t>
        </is>
      </c>
      <c r="B7" s="2" t="inlineStr">
        <is>
          <t>Monday</t>
        </is>
      </c>
      <c r="C7" s="2" t="inlineStr">
        <is>
          <t>MNQH1</t>
        </is>
      </c>
      <c r="D7" s="3" t="n">
        <v>12686</v>
      </c>
      <c r="E7" s="3" t="n">
        <v>12526.5</v>
      </c>
      <c r="F7" s="3">
        <f>D7-E7</f>
        <v/>
      </c>
      <c r="G7" s="2" t="inlineStr">
        <is>
          <t>Short</t>
        </is>
      </c>
      <c r="H7" s="3" t="n">
        <v>12526.5</v>
      </c>
      <c r="I7" s="3" t="n">
        <v>12367</v>
      </c>
      <c r="J7" s="3">
        <f>IF(G7="Long",I7-H7,IF(G7="Short",H7-I7,0))</f>
        <v/>
      </c>
      <c r="K7" s="4" t="n">
        <v>38.71</v>
      </c>
      <c r="L7" s="2" t="inlineStr">
        <is>
          <t>Win</t>
        </is>
      </c>
      <c r="M7" s="3">
        <f>M6+J7</f>
        <v/>
      </c>
    </row>
    <row r="8">
      <c r="A8" s="2" t="inlineStr">
        <is>
          <t>2021-03-09</t>
        </is>
      </c>
      <c r="B8" s="2" t="inlineStr">
        <is>
          <t>Tuesday</t>
        </is>
      </c>
      <c r="C8" s="2" t="inlineStr">
        <is>
          <t>MNQH1</t>
        </is>
      </c>
      <c r="D8" s="3" t="n">
        <v>12652.25</v>
      </c>
      <c r="E8" s="3" t="n">
        <v>12587</v>
      </c>
      <c r="F8" s="3">
        <f>D8-E8</f>
        <v/>
      </c>
      <c r="G8" s="2" t="inlineStr">
        <is>
          <t>Long</t>
        </is>
      </c>
      <c r="H8" s="3" t="n">
        <v>12652.25</v>
      </c>
      <c r="I8" s="3" t="n">
        <v>12717.5</v>
      </c>
      <c r="J8" s="3">
        <f>IF(G8="Long",I8-H8,IF(G8="Short",H8-I8,0))</f>
        <v/>
      </c>
      <c r="K8" s="4" t="n">
        <v>15.33</v>
      </c>
      <c r="L8" s="2" t="inlineStr">
        <is>
          <t>Win</t>
        </is>
      </c>
      <c r="M8" s="3">
        <f>M7+J8</f>
        <v/>
      </c>
    </row>
    <row r="9">
      <c r="A9" s="2" t="inlineStr">
        <is>
          <t>2021-03-10</t>
        </is>
      </c>
      <c r="B9" s="2" t="inlineStr">
        <is>
          <t>Wednesday</t>
        </is>
      </c>
      <c r="C9" s="2" t="inlineStr">
        <is>
          <t>MNQH1</t>
        </is>
      </c>
      <c r="D9" s="3" t="n">
        <v>12969.25</v>
      </c>
      <c r="E9" s="3" t="n">
        <v>12870.25</v>
      </c>
      <c r="F9" s="3">
        <f>D9-E9</f>
        <v/>
      </c>
      <c r="G9" s="2" t="inlineStr">
        <is>
          <t>Short</t>
        </is>
      </c>
      <c r="H9" s="3" t="n">
        <v>12870.25</v>
      </c>
      <c r="I9" s="3" t="n">
        <v>12771.25</v>
      </c>
      <c r="J9" s="3">
        <f>IF(G9="Long",I9-H9,IF(G9="Short",H9-I9,0))</f>
        <v/>
      </c>
      <c r="K9" s="4" t="n">
        <v>0</v>
      </c>
      <c r="L9" s="2" t="inlineStr">
        <is>
          <t>Win</t>
        </is>
      </c>
      <c r="M9" s="3">
        <f>M8+J9</f>
        <v/>
      </c>
    </row>
    <row r="10">
      <c r="A10" s="5" t="inlineStr">
        <is>
          <t>2021-03-11</t>
        </is>
      </c>
      <c r="B10" s="5" t="inlineStr">
        <is>
          <t>Thursday</t>
        </is>
      </c>
      <c r="C10" s="5" t="inlineStr">
        <is>
          <t>MNQH1</t>
        </is>
      </c>
      <c r="D10" s="6" t="n">
        <v>13006.75</v>
      </c>
      <c r="E10" s="6" t="n">
        <v>12931.75</v>
      </c>
      <c r="F10" s="6">
        <f>D10-E10</f>
        <v/>
      </c>
      <c r="G10" s="5" t="inlineStr">
        <is>
          <t>Short</t>
        </is>
      </c>
      <c r="H10" s="6" t="n">
        <v>12931.75</v>
      </c>
      <c r="I10" s="6" t="n">
        <v>13006.75</v>
      </c>
      <c r="J10" s="6">
        <f>IF(G10="Long",I10-H10,IF(G10="Short",H10-I10,0))</f>
        <v/>
      </c>
      <c r="K10" s="7" t="n">
        <v>100</v>
      </c>
      <c r="L10" s="5" t="inlineStr">
        <is>
          <t>Loss</t>
        </is>
      </c>
      <c r="M10" s="6">
        <f>M9+J10</f>
        <v/>
      </c>
    </row>
    <row r="11">
      <c r="A11" s="2" t="inlineStr">
        <is>
          <t>2021-03-11</t>
        </is>
      </c>
      <c r="B11" s="2" t="inlineStr">
        <is>
          <t>Thursday</t>
        </is>
      </c>
      <c r="C11" s="2" t="inlineStr">
        <is>
          <t>MNQH1</t>
        </is>
      </c>
      <c r="D11" s="3" t="n">
        <v>13006.75</v>
      </c>
      <c r="E11" s="3" t="n">
        <v>12931.75</v>
      </c>
      <c r="F11" s="3">
        <f>D11-E11</f>
        <v/>
      </c>
      <c r="G11" s="2" t="inlineStr">
        <is>
          <t>Long</t>
        </is>
      </c>
      <c r="H11" s="3" t="n">
        <v>13006.75</v>
      </c>
      <c r="I11" s="3" t="n">
        <v>13081.75</v>
      </c>
      <c r="J11" s="3">
        <f>IF(G11="Long",I11-H11,IF(G11="Short",H11-I11,0))</f>
        <v/>
      </c>
      <c r="K11" s="4" t="n">
        <v>18.33</v>
      </c>
      <c r="L11" s="2" t="inlineStr">
        <is>
          <t>Win</t>
        </is>
      </c>
      <c r="M11" s="3">
        <f>M10+J11</f>
        <v/>
      </c>
    </row>
    <row r="12">
      <c r="A12" s="5" t="inlineStr">
        <is>
          <t>2021-03-12</t>
        </is>
      </c>
      <c r="B12" s="5" t="inlineStr">
        <is>
          <t>Friday</t>
        </is>
      </c>
      <c r="C12" s="5" t="inlineStr">
        <is>
          <t>MNQM1</t>
        </is>
      </c>
      <c r="D12" s="6" t="n">
        <v>12865.25</v>
      </c>
      <c r="E12" s="6" t="n">
        <v>12789</v>
      </c>
      <c r="F12" s="6">
        <f>D12-E12</f>
        <v/>
      </c>
      <c r="G12" s="5" t="inlineStr">
        <is>
          <t>Long</t>
        </is>
      </c>
      <c r="H12" s="6" t="n">
        <v>12865.25</v>
      </c>
      <c r="I12" s="6" t="n">
        <v>12789</v>
      </c>
      <c r="J12" s="6">
        <f>IF(G12="Long",I12-H12,IF(G12="Short",H12-I12,0))</f>
        <v/>
      </c>
      <c r="K12" s="7" t="n">
        <v>100</v>
      </c>
      <c r="L12" s="5" t="inlineStr">
        <is>
          <t>Loss</t>
        </is>
      </c>
      <c r="M12" s="6">
        <f>M11+J12</f>
        <v/>
      </c>
    </row>
    <row r="13">
      <c r="A13" s="5" t="inlineStr">
        <is>
          <t>2021-03-12</t>
        </is>
      </c>
      <c r="B13" s="5" t="inlineStr">
        <is>
          <t>Friday</t>
        </is>
      </c>
      <c r="C13" s="5" t="inlineStr">
        <is>
          <t>MNQM1</t>
        </is>
      </c>
      <c r="D13" s="6" t="n">
        <v>12865.25</v>
      </c>
      <c r="E13" s="6" t="n">
        <v>12789</v>
      </c>
      <c r="F13" s="6">
        <f>D13-E13</f>
        <v/>
      </c>
      <c r="G13" s="5" t="inlineStr">
        <is>
          <t>Short</t>
        </is>
      </c>
      <c r="H13" s="6" t="n">
        <v>12789</v>
      </c>
      <c r="I13" s="6" t="n">
        <v>12865.25</v>
      </c>
      <c r="J13" s="6">
        <f>IF(G13="Long",I13-H13,IF(G13="Short",H13-I13,0))</f>
        <v/>
      </c>
      <c r="K13" s="7" t="n">
        <v>100</v>
      </c>
      <c r="L13" s="5" t="inlineStr">
        <is>
          <t>Loss</t>
        </is>
      </c>
      <c r="M13" s="6">
        <f>M12+J13</f>
        <v/>
      </c>
    </row>
    <row r="14">
      <c r="A14" s="5" t="inlineStr">
        <is>
          <t>2021-03-15</t>
        </is>
      </c>
      <c r="B14" s="5" t="inlineStr">
        <is>
          <t>Monday</t>
        </is>
      </c>
      <c r="C14" s="5" t="inlineStr">
        <is>
          <t>MNQM1</t>
        </is>
      </c>
      <c r="D14" s="6" t="n">
        <v>12941.5</v>
      </c>
      <c r="E14" s="6" t="n">
        <v>12887.5</v>
      </c>
      <c r="F14" s="6">
        <f>D14-E14</f>
        <v/>
      </c>
      <c r="G14" s="5" t="inlineStr">
        <is>
          <t>Long</t>
        </is>
      </c>
      <c r="H14" s="6" t="n">
        <v>12941.5</v>
      </c>
      <c r="I14" s="6" t="n">
        <v>12887.5</v>
      </c>
      <c r="J14" s="6">
        <f>IF(G14="Long",I14-H14,IF(G14="Short",H14-I14,0))</f>
        <v/>
      </c>
      <c r="K14" s="7" t="n">
        <v>100</v>
      </c>
      <c r="L14" s="5" t="inlineStr">
        <is>
          <t>Loss</t>
        </is>
      </c>
      <c r="M14" s="6">
        <f>M13+J14</f>
        <v/>
      </c>
    </row>
    <row r="15">
      <c r="A15" s="5" t="inlineStr">
        <is>
          <t>2021-03-15</t>
        </is>
      </c>
      <c r="B15" s="5" t="inlineStr">
        <is>
          <t>Monday</t>
        </is>
      </c>
      <c r="C15" s="5" t="inlineStr">
        <is>
          <t>MNQM1</t>
        </is>
      </c>
      <c r="D15" s="6" t="n">
        <v>12941.5</v>
      </c>
      <c r="E15" s="6" t="n">
        <v>12887.5</v>
      </c>
      <c r="F15" s="6">
        <f>D15-E15</f>
        <v/>
      </c>
      <c r="G15" s="5" t="inlineStr">
        <is>
          <t>Short</t>
        </is>
      </c>
      <c r="H15" s="6" t="n">
        <v>12887.5</v>
      </c>
      <c r="I15" s="6" t="n">
        <v>12941.5</v>
      </c>
      <c r="J15" s="6">
        <f>IF(G15="Long",I15-H15,IF(G15="Short",H15-I15,0))</f>
        <v/>
      </c>
      <c r="K15" s="7" t="n">
        <v>100</v>
      </c>
      <c r="L15" s="5" t="inlineStr">
        <is>
          <t>Loss</t>
        </is>
      </c>
      <c r="M15" s="6">
        <f>M14+J15</f>
        <v/>
      </c>
    </row>
    <row r="16">
      <c r="A16" s="2" t="inlineStr">
        <is>
          <t>2021-03-16</t>
        </is>
      </c>
      <c r="B16" s="2" t="inlineStr">
        <is>
          <t>Tuesday</t>
        </is>
      </c>
      <c r="C16" s="2" t="inlineStr">
        <is>
          <t>MNQM1</t>
        </is>
      </c>
      <c r="D16" s="3" t="n">
        <v>13190</v>
      </c>
      <c r="E16" s="3" t="n">
        <v>13132.25</v>
      </c>
      <c r="F16" s="3">
        <f>D16-E16</f>
        <v/>
      </c>
      <c r="G16" s="2" t="inlineStr">
        <is>
          <t>Long</t>
        </is>
      </c>
      <c r="H16" s="3" t="n">
        <v>13190</v>
      </c>
      <c r="I16" s="3" t="n">
        <v>13247.75</v>
      </c>
      <c r="J16" s="3">
        <f>IF(G16="Long",I16-H16,IF(G16="Short",H16-I16,0))</f>
        <v/>
      </c>
      <c r="K16" s="4" t="n">
        <v>0</v>
      </c>
      <c r="L16" s="2" t="inlineStr">
        <is>
          <t>Win</t>
        </is>
      </c>
      <c r="M16" s="3">
        <f>M15+J16</f>
        <v/>
      </c>
    </row>
    <row r="17">
      <c r="A17" s="5" t="inlineStr">
        <is>
          <t>2021-03-16</t>
        </is>
      </c>
      <c r="B17" s="5" t="inlineStr">
        <is>
          <t>Tuesday</t>
        </is>
      </c>
      <c r="C17" s="5" t="inlineStr">
        <is>
          <t>MNQM1</t>
        </is>
      </c>
      <c r="D17" s="6" t="n">
        <v>13190</v>
      </c>
      <c r="E17" s="6" t="n">
        <v>13132.25</v>
      </c>
      <c r="F17" s="6">
        <f>D17-E17</f>
        <v/>
      </c>
      <c r="G17" s="5" t="inlineStr">
        <is>
          <t>Long</t>
        </is>
      </c>
      <c r="H17" s="6" t="n">
        <v>13190</v>
      </c>
      <c r="I17" s="6" t="n">
        <v>13132.25</v>
      </c>
      <c r="J17" s="6">
        <f>IF(G17="Long",I17-H17,IF(G17="Short",H17-I17,0))</f>
        <v/>
      </c>
      <c r="K17" s="7" t="n">
        <v>100</v>
      </c>
      <c r="L17" s="5" t="inlineStr">
        <is>
          <t>Loss</t>
        </is>
      </c>
      <c r="M17" s="6">
        <f>M16+J17</f>
        <v/>
      </c>
    </row>
    <row r="18">
      <c r="A18" s="2" t="inlineStr">
        <is>
          <t>2021-03-17</t>
        </is>
      </c>
      <c r="B18" s="2" t="inlineStr">
        <is>
          <t>Wednesday</t>
        </is>
      </c>
      <c r="C18" s="2" t="inlineStr">
        <is>
          <t>MNQM1</t>
        </is>
      </c>
      <c r="D18" s="3" t="n">
        <v>13015.75</v>
      </c>
      <c r="E18" s="3" t="n">
        <v>12934.25</v>
      </c>
      <c r="F18" s="3">
        <f>D18-E18</f>
        <v/>
      </c>
      <c r="G18" s="2" t="inlineStr">
        <is>
          <t>Long</t>
        </is>
      </c>
      <c r="H18" s="3" t="n">
        <v>13015.75</v>
      </c>
      <c r="I18" s="3" t="n">
        <v>13097.25</v>
      </c>
      <c r="J18" s="3">
        <f>IF(G18="Long",I18-H18,IF(G18="Short",H18-I18,0))</f>
        <v/>
      </c>
      <c r="K18" s="4" t="n">
        <v>94.48</v>
      </c>
      <c r="L18" s="2" t="inlineStr">
        <is>
          <t>Win</t>
        </is>
      </c>
      <c r="M18" s="3">
        <f>M17+J18</f>
        <v/>
      </c>
    </row>
    <row r="19">
      <c r="A19" s="2" t="inlineStr">
        <is>
          <t>2021-03-17</t>
        </is>
      </c>
      <c r="B19" s="2" t="inlineStr">
        <is>
          <t>Wednesday</t>
        </is>
      </c>
      <c r="C19" s="2" t="inlineStr">
        <is>
          <t>MNQM1</t>
        </is>
      </c>
      <c r="D19" s="3" t="n">
        <v>13015.75</v>
      </c>
      <c r="E19" s="3" t="n">
        <v>12934.25</v>
      </c>
      <c r="F19" s="3">
        <f>D19-E19</f>
        <v/>
      </c>
      <c r="G19" s="2" t="inlineStr">
        <is>
          <t>Long</t>
        </is>
      </c>
      <c r="H19" s="3" t="n">
        <v>13015.75</v>
      </c>
      <c r="I19" s="3" t="n">
        <v>13097.25</v>
      </c>
      <c r="J19" s="3">
        <f>IF(G19="Long",I19-H19,IF(G19="Short",H19-I19,0))</f>
        <v/>
      </c>
      <c r="K19" s="4" t="n">
        <v>0</v>
      </c>
      <c r="L19" s="2" t="inlineStr">
        <is>
          <t>Win</t>
        </is>
      </c>
      <c r="M19" s="3">
        <f>M18+J19</f>
        <v/>
      </c>
    </row>
    <row r="20">
      <c r="A20" s="2" t="inlineStr">
        <is>
          <t>2021-03-18</t>
        </is>
      </c>
      <c r="B20" s="2" t="inlineStr">
        <is>
          <t>Thursday</t>
        </is>
      </c>
      <c r="C20" s="2" t="inlineStr">
        <is>
          <t>MNQM1</t>
        </is>
      </c>
      <c r="D20" s="3" t="n">
        <v>13022</v>
      </c>
      <c r="E20" s="3" t="n">
        <v>12963.75</v>
      </c>
      <c r="F20" s="3">
        <f>D20-E20</f>
        <v/>
      </c>
      <c r="G20" s="2" t="inlineStr">
        <is>
          <t>Short</t>
        </is>
      </c>
      <c r="H20" s="3" t="n">
        <v>12963.75</v>
      </c>
      <c r="I20" s="3" t="n">
        <v>12905.5</v>
      </c>
      <c r="J20" s="3">
        <f>IF(G20="Long",I20-H20,IF(G20="Short",H20-I20,0))</f>
        <v/>
      </c>
      <c r="K20" s="4" t="n">
        <v>76.81999999999999</v>
      </c>
      <c r="L20" s="2" t="inlineStr">
        <is>
          <t>Win</t>
        </is>
      </c>
      <c r="M20" s="3">
        <f>M19+J20</f>
        <v/>
      </c>
    </row>
    <row r="21">
      <c r="A21" s="2" t="inlineStr">
        <is>
          <t>2021-03-18</t>
        </is>
      </c>
      <c r="B21" s="2" t="inlineStr">
        <is>
          <t>Thursday</t>
        </is>
      </c>
      <c r="C21" s="2" t="inlineStr">
        <is>
          <t>MNQM1</t>
        </is>
      </c>
      <c r="D21" s="3" t="n">
        <v>13022</v>
      </c>
      <c r="E21" s="3" t="n">
        <v>12963.75</v>
      </c>
      <c r="F21" s="3">
        <f>D21-E21</f>
        <v/>
      </c>
      <c r="G21" s="2" t="inlineStr">
        <is>
          <t>Short</t>
        </is>
      </c>
      <c r="H21" s="3" t="n">
        <v>12963.75</v>
      </c>
      <c r="I21" s="3" t="n">
        <v>12905.5</v>
      </c>
      <c r="J21" s="3">
        <f>IF(G21="Long",I21-H21,IF(G21="Short",H21-I21,0))</f>
        <v/>
      </c>
      <c r="K21" s="4" t="n">
        <v>24.89</v>
      </c>
      <c r="L21" s="2" t="inlineStr">
        <is>
          <t>Win</t>
        </is>
      </c>
      <c r="M21" s="3">
        <f>M20+J21</f>
        <v/>
      </c>
    </row>
    <row r="22">
      <c r="A22" s="5" t="inlineStr">
        <is>
          <t>2021-03-19</t>
        </is>
      </c>
      <c r="B22" s="5" t="inlineStr">
        <is>
          <t>Friday</t>
        </is>
      </c>
      <c r="C22" s="5" t="inlineStr">
        <is>
          <t>MNQM1</t>
        </is>
      </c>
      <c r="D22" s="6" t="n">
        <v>12837</v>
      </c>
      <c r="E22" s="6" t="n">
        <v>12725</v>
      </c>
      <c r="F22" s="6">
        <f>D22-E22</f>
        <v/>
      </c>
      <c r="G22" s="5" t="inlineStr">
        <is>
          <t>Short</t>
        </is>
      </c>
      <c r="H22" s="6" t="n">
        <v>12725</v>
      </c>
      <c r="I22" s="6" t="n">
        <v>12837</v>
      </c>
      <c r="J22" s="6">
        <f>IF(G22="Long",I22-H22,IF(G22="Short",H22-I22,0))</f>
        <v/>
      </c>
      <c r="K22" s="7" t="n">
        <v>100</v>
      </c>
      <c r="L22" s="5" t="inlineStr">
        <is>
          <t>Loss</t>
        </is>
      </c>
      <c r="M22" s="6">
        <f>M21+J22</f>
        <v/>
      </c>
    </row>
    <row r="23">
      <c r="A23" s="8" t="inlineStr">
        <is>
          <t>2021-03-19</t>
        </is>
      </c>
      <c r="B23" s="8" t="inlineStr">
        <is>
          <t>Friday</t>
        </is>
      </c>
      <c r="C23" s="8" t="inlineStr">
        <is>
          <t>MNQM1</t>
        </is>
      </c>
      <c r="D23" s="9" t="n">
        <v>12837</v>
      </c>
      <c r="E23" s="9" t="n">
        <v>12725</v>
      </c>
      <c r="F23" s="9">
        <f>D23-E23</f>
        <v/>
      </c>
      <c r="G23" s="8" t="inlineStr">
        <is>
          <t>Long</t>
        </is>
      </c>
      <c r="H23" s="9" t="n">
        <v>12837</v>
      </c>
      <c r="I23" s="9" t="n">
        <v>12837</v>
      </c>
      <c r="J23" s="9">
        <f>IF(G23="Long",I23-H23,IF(G23="Short",H23-I23,0))</f>
        <v/>
      </c>
      <c r="K23" s="10" t="n">
        <v>70.76000000000001</v>
      </c>
      <c r="L23" s="8" t="inlineStr">
        <is>
          <t>EOD-Close</t>
        </is>
      </c>
      <c r="M23" s="9">
        <f>M22+J23</f>
        <v/>
      </c>
    </row>
    <row r="24">
      <c r="A24" s="2" t="inlineStr">
        <is>
          <t>2021-03-22</t>
        </is>
      </c>
      <c r="B24" s="2" t="inlineStr">
        <is>
          <t>Monday</t>
        </is>
      </c>
      <c r="C24" s="2" t="inlineStr">
        <is>
          <t>MNQM1</t>
        </is>
      </c>
      <c r="D24" s="3" t="n">
        <v>12992.5</v>
      </c>
      <c r="E24" s="3" t="n">
        <v>12927.75</v>
      </c>
      <c r="F24" s="3">
        <f>D24-E24</f>
        <v/>
      </c>
      <c r="G24" s="2" t="inlineStr">
        <is>
          <t>Long</t>
        </is>
      </c>
      <c r="H24" s="3" t="n">
        <v>12992.5</v>
      </c>
      <c r="I24" s="3" t="n">
        <v>13057.25</v>
      </c>
      <c r="J24" s="3">
        <f>IF(G24="Long",I24-H24,IF(G24="Short",H24-I24,0))</f>
        <v/>
      </c>
      <c r="K24" s="4" t="n">
        <v>15.06</v>
      </c>
      <c r="L24" s="2" t="inlineStr">
        <is>
          <t>Win</t>
        </is>
      </c>
      <c r="M24" s="3">
        <f>M23+J24</f>
        <v/>
      </c>
    </row>
    <row r="25">
      <c r="A25" s="5" t="inlineStr">
        <is>
          <t>2021-03-23</t>
        </is>
      </c>
      <c r="B25" s="5" t="inlineStr">
        <is>
          <t>Tuesday</t>
        </is>
      </c>
      <c r="C25" s="5" t="inlineStr">
        <is>
          <t>MNQM1</t>
        </is>
      </c>
      <c r="D25" s="6" t="n">
        <v>13119.5</v>
      </c>
      <c r="E25" s="6" t="n">
        <v>13066.75</v>
      </c>
      <c r="F25" s="6">
        <f>D25-E25</f>
        <v/>
      </c>
      <c r="G25" s="5" t="inlineStr">
        <is>
          <t>Short</t>
        </is>
      </c>
      <c r="H25" s="6" t="n">
        <v>13066.75</v>
      </c>
      <c r="I25" s="6" t="n">
        <v>13119.5</v>
      </c>
      <c r="J25" s="6">
        <f>IF(G25="Long",I25-H25,IF(G25="Short",H25-I25,0))</f>
        <v/>
      </c>
      <c r="K25" s="7" t="n">
        <v>100</v>
      </c>
      <c r="L25" s="5" t="inlineStr">
        <is>
          <t>Loss</t>
        </is>
      </c>
      <c r="M25" s="6">
        <f>M24+J25</f>
        <v/>
      </c>
    </row>
    <row r="26">
      <c r="A26" s="5" t="inlineStr">
        <is>
          <t>2021-03-23</t>
        </is>
      </c>
      <c r="B26" s="5" t="inlineStr">
        <is>
          <t>Tuesday</t>
        </is>
      </c>
      <c r="C26" s="5" t="inlineStr">
        <is>
          <t>MNQM1</t>
        </is>
      </c>
      <c r="D26" s="6" t="n">
        <v>13119.5</v>
      </c>
      <c r="E26" s="6" t="n">
        <v>13066.75</v>
      </c>
      <c r="F26" s="6">
        <f>D26-E26</f>
        <v/>
      </c>
      <c r="G26" s="5" t="inlineStr">
        <is>
          <t>Long</t>
        </is>
      </c>
      <c r="H26" s="6" t="n">
        <v>13119.5</v>
      </c>
      <c r="I26" s="6" t="n">
        <v>13066.75</v>
      </c>
      <c r="J26" s="6">
        <f>IF(G26="Long",I26-H26,IF(G26="Short",H26-I26,0))</f>
        <v/>
      </c>
      <c r="K26" s="7" t="n">
        <v>100</v>
      </c>
      <c r="L26" s="5" t="inlineStr">
        <is>
          <t>Loss</t>
        </is>
      </c>
      <c r="M26" s="6">
        <f>M25+J26</f>
        <v/>
      </c>
    </row>
    <row r="27">
      <c r="A27" s="2" t="inlineStr">
        <is>
          <t>2021-03-24</t>
        </is>
      </c>
      <c r="B27" s="2" t="inlineStr">
        <is>
          <t>Wednesday</t>
        </is>
      </c>
      <c r="C27" s="2" t="inlineStr">
        <is>
          <t>MNQM1</t>
        </is>
      </c>
      <c r="D27" s="3" t="n">
        <v>13072.5</v>
      </c>
      <c r="E27" s="3" t="n">
        <v>12988.5</v>
      </c>
      <c r="F27" s="3">
        <f>D27-E27</f>
        <v/>
      </c>
      <c r="G27" s="2" t="inlineStr">
        <is>
          <t>Short</t>
        </is>
      </c>
      <c r="H27" s="3" t="n">
        <v>12988.5</v>
      </c>
      <c r="I27" s="3" t="n">
        <v>12904.5</v>
      </c>
      <c r="J27" s="3">
        <f>IF(G27="Long",I27-H27,IF(G27="Short",H27-I27,0))</f>
        <v/>
      </c>
      <c r="K27" s="4" t="n">
        <v>71.43000000000001</v>
      </c>
      <c r="L27" s="2" t="inlineStr">
        <is>
          <t>Win</t>
        </is>
      </c>
      <c r="M27" s="3">
        <f>M26+J27</f>
        <v/>
      </c>
    </row>
    <row r="28">
      <c r="A28" s="5" t="inlineStr">
        <is>
          <t>2021-03-25</t>
        </is>
      </c>
      <c r="B28" s="5" t="inlineStr">
        <is>
          <t>Thursday</t>
        </is>
      </c>
      <c r="C28" s="5" t="inlineStr">
        <is>
          <t>MNQM1</t>
        </is>
      </c>
      <c r="D28" s="6" t="n">
        <v>12803</v>
      </c>
      <c r="E28" s="6" t="n">
        <v>12688.25</v>
      </c>
      <c r="F28" s="6">
        <f>D28-E28</f>
        <v/>
      </c>
      <c r="G28" s="5" t="inlineStr">
        <is>
          <t>Long</t>
        </is>
      </c>
      <c r="H28" s="6" t="n">
        <v>12803</v>
      </c>
      <c r="I28" s="6" t="n">
        <v>12688.25</v>
      </c>
      <c r="J28" s="6">
        <f>IF(G28="Long",I28-H28,IF(G28="Short",H28-I28,0))</f>
        <v/>
      </c>
      <c r="K28" s="7" t="n">
        <v>100</v>
      </c>
      <c r="L28" s="5" t="inlineStr">
        <is>
          <t>Loss</t>
        </is>
      </c>
      <c r="M28" s="6">
        <f>M27+J28</f>
        <v/>
      </c>
    </row>
    <row r="29">
      <c r="A29" s="5" t="inlineStr">
        <is>
          <t>2021-03-25</t>
        </is>
      </c>
      <c r="B29" s="5" t="inlineStr">
        <is>
          <t>Thursday</t>
        </is>
      </c>
      <c r="C29" s="5" t="inlineStr">
        <is>
          <t>MNQM1</t>
        </is>
      </c>
      <c r="D29" s="6" t="n">
        <v>12803</v>
      </c>
      <c r="E29" s="6" t="n">
        <v>12688.25</v>
      </c>
      <c r="F29" s="6">
        <f>D29-E29</f>
        <v/>
      </c>
      <c r="G29" s="5" t="inlineStr">
        <is>
          <t>Short</t>
        </is>
      </c>
      <c r="H29" s="6" t="n">
        <v>12688.25</v>
      </c>
      <c r="I29" s="6" t="n">
        <v>12803</v>
      </c>
      <c r="J29" s="6">
        <f>IF(G29="Long",I29-H29,IF(G29="Short",H29-I29,0))</f>
        <v/>
      </c>
      <c r="K29" s="7" t="n">
        <v>100</v>
      </c>
      <c r="L29" s="5" t="inlineStr">
        <is>
          <t>Loss</t>
        </is>
      </c>
      <c r="M29" s="6">
        <f>M28+J29</f>
        <v/>
      </c>
    </row>
    <row r="30">
      <c r="A30" s="5" t="inlineStr">
        <is>
          <t>2021-03-26</t>
        </is>
      </c>
      <c r="B30" s="5" t="inlineStr">
        <is>
          <t>Friday</t>
        </is>
      </c>
      <c r="C30" s="5" t="inlineStr">
        <is>
          <t>MNQM1</t>
        </is>
      </c>
      <c r="D30" s="6" t="n">
        <v>12820.75</v>
      </c>
      <c r="E30" s="6" t="n">
        <v>12754</v>
      </c>
      <c r="F30" s="6">
        <f>D30-E30</f>
        <v/>
      </c>
      <c r="G30" s="5" t="inlineStr">
        <is>
          <t>Long</t>
        </is>
      </c>
      <c r="H30" s="6" t="n">
        <v>12820.75</v>
      </c>
      <c r="I30" s="6" t="n">
        <v>12754</v>
      </c>
      <c r="J30" s="6">
        <f>IF(G30="Long",I30-H30,IF(G30="Short",H30-I30,0))</f>
        <v/>
      </c>
      <c r="K30" s="7" t="n">
        <v>100</v>
      </c>
      <c r="L30" s="5" t="inlineStr">
        <is>
          <t>Loss</t>
        </is>
      </c>
      <c r="M30" s="6">
        <f>M29+J30</f>
        <v/>
      </c>
    </row>
    <row r="31">
      <c r="A31" s="5" t="inlineStr">
        <is>
          <t>2021-03-26</t>
        </is>
      </c>
      <c r="B31" s="5" t="inlineStr">
        <is>
          <t>Friday</t>
        </is>
      </c>
      <c r="C31" s="5" t="inlineStr">
        <is>
          <t>MNQM1</t>
        </is>
      </c>
      <c r="D31" s="6" t="n">
        <v>12820.75</v>
      </c>
      <c r="E31" s="6" t="n">
        <v>12754</v>
      </c>
      <c r="F31" s="6">
        <f>D31-E31</f>
        <v/>
      </c>
      <c r="G31" s="5" t="inlineStr">
        <is>
          <t>Short</t>
        </is>
      </c>
      <c r="H31" s="6" t="n">
        <v>12754</v>
      </c>
      <c r="I31" s="6" t="n">
        <v>12820.75</v>
      </c>
      <c r="J31" s="6">
        <f>IF(G31="Long",I31-H31,IF(G31="Short",H31-I31,0))</f>
        <v/>
      </c>
      <c r="K31" s="7" t="n">
        <v>100</v>
      </c>
      <c r="L31" s="5" t="inlineStr">
        <is>
          <t>Loss</t>
        </is>
      </c>
      <c r="M31" s="6">
        <f>M30+J31</f>
        <v/>
      </c>
    </row>
    <row r="32">
      <c r="A32" s="2" t="inlineStr">
        <is>
          <t>2021-03-29</t>
        </is>
      </c>
      <c r="B32" s="2" t="inlineStr">
        <is>
          <t>Monday</t>
        </is>
      </c>
      <c r="C32" s="2" t="inlineStr">
        <is>
          <t>MNQM1</t>
        </is>
      </c>
      <c r="D32" s="3" t="n">
        <v>12977.5</v>
      </c>
      <c r="E32" s="3" t="n">
        <v>12915.5</v>
      </c>
      <c r="F32" s="3">
        <f>D32-E32</f>
        <v/>
      </c>
      <c r="G32" s="2" t="inlineStr">
        <is>
          <t>Short</t>
        </is>
      </c>
      <c r="H32" s="3" t="n">
        <v>12915.5</v>
      </c>
      <c r="I32" s="3" t="n">
        <v>12853.5</v>
      </c>
      <c r="J32" s="3">
        <f>IF(G32="Long",I32-H32,IF(G32="Short",H32-I32,0))</f>
        <v/>
      </c>
      <c r="K32" s="4" t="n">
        <v>0</v>
      </c>
      <c r="L32" s="2" t="inlineStr">
        <is>
          <t>Win</t>
        </is>
      </c>
      <c r="M32" s="3">
        <f>M31+J32</f>
        <v/>
      </c>
    </row>
    <row r="33">
      <c r="A33" s="5" t="inlineStr">
        <is>
          <t>2021-03-29</t>
        </is>
      </c>
      <c r="B33" s="5" t="inlineStr">
        <is>
          <t>Monday</t>
        </is>
      </c>
      <c r="C33" s="5" t="inlineStr">
        <is>
          <t>MNQM1</t>
        </is>
      </c>
      <c r="D33" s="6" t="n">
        <v>12977.5</v>
      </c>
      <c r="E33" s="6" t="n">
        <v>12915.5</v>
      </c>
      <c r="F33" s="6">
        <f>D33-E33</f>
        <v/>
      </c>
      <c r="G33" s="5" t="inlineStr">
        <is>
          <t>Short</t>
        </is>
      </c>
      <c r="H33" s="6" t="n">
        <v>12915.5</v>
      </c>
      <c r="I33" s="6" t="n">
        <v>12977.5</v>
      </c>
      <c r="J33" s="6">
        <f>IF(G33="Long",I33-H33,IF(G33="Short",H33-I33,0))</f>
        <v/>
      </c>
      <c r="K33" s="7" t="n">
        <v>100</v>
      </c>
      <c r="L33" s="5" t="inlineStr">
        <is>
          <t>Loss</t>
        </is>
      </c>
      <c r="M33" s="6">
        <f>M32+J33</f>
        <v/>
      </c>
    </row>
    <row r="34">
      <c r="A34" s="5" t="inlineStr">
        <is>
          <t>2021-03-30</t>
        </is>
      </c>
      <c r="B34" s="5" t="inlineStr">
        <is>
          <t>Tuesday</t>
        </is>
      </c>
      <c r="C34" s="5" t="inlineStr">
        <is>
          <t>MNQM1</t>
        </is>
      </c>
      <c r="D34" s="6" t="n">
        <v>12888</v>
      </c>
      <c r="E34" s="6" t="n">
        <v>12813.75</v>
      </c>
      <c r="F34" s="6">
        <f>D34-E34</f>
        <v/>
      </c>
      <c r="G34" s="5" t="inlineStr">
        <is>
          <t>Short</t>
        </is>
      </c>
      <c r="H34" s="6" t="n">
        <v>12813.75</v>
      </c>
      <c r="I34" s="6" t="n">
        <v>12888</v>
      </c>
      <c r="J34" s="6">
        <f>IF(G34="Long",I34-H34,IF(G34="Short",H34-I34,0))</f>
        <v/>
      </c>
      <c r="K34" s="7" t="n">
        <v>100</v>
      </c>
      <c r="L34" s="5" t="inlineStr">
        <is>
          <t>Loss</t>
        </is>
      </c>
      <c r="M34" s="6">
        <f>M33+J34</f>
        <v/>
      </c>
    </row>
    <row r="35">
      <c r="A35" s="8" t="inlineStr">
        <is>
          <t>2021-03-30</t>
        </is>
      </c>
      <c r="B35" s="8" t="inlineStr">
        <is>
          <t>Tuesday</t>
        </is>
      </c>
      <c r="C35" s="8" t="inlineStr">
        <is>
          <t>MNQM1</t>
        </is>
      </c>
      <c r="D35" s="9" t="n">
        <v>12888</v>
      </c>
      <c r="E35" s="9" t="n">
        <v>12813.75</v>
      </c>
      <c r="F35" s="9">
        <f>D35-E35</f>
        <v/>
      </c>
      <c r="G35" s="8" t="inlineStr">
        <is>
          <t>Long</t>
        </is>
      </c>
      <c r="H35" s="9" t="n">
        <v>12888</v>
      </c>
      <c r="I35" s="9" t="n">
        <v>12895.5</v>
      </c>
      <c r="J35" s="9">
        <f>IF(G35="Long",I35-H35,IF(G35="Short",H35-I35,0))</f>
        <v/>
      </c>
      <c r="K35" s="10" t="n">
        <v>84.51000000000001</v>
      </c>
      <c r="L35" s="8" t="inlineStr">
        <is>
          <t>EOD-Close</t>
        </is>
      </c>
      <c r="M35" s="9">
        <f>M34+J35</f>
        <v/>
      </c>
    </row>
    <row r="36">
      <c r="A36" s="2" t="inlineStr">
        <is>
          <t>2021-03-31</t>
        </is>
      </c>
      <c r="B36" s="2" t="inlineStr">
        <is>
          <t>Wednesday</t>
        </is>
      </c>
      <c r="C36" s="2" t="inlineStr">
        <is>
          <t>MNQM1</t>
        </is>
      </c>
      <c r="D36" s="3" t="n">
        <v>13015.5</v>
      </c>
      <c r="E36" s="3" t="n">
        <v>12953</v>
      </c>
      <c r="F36" s="3">
        <f>D36-E36</f>
        <v/>
      </c>
      <c r="G36" s="2" t="inlineStr">
        <is>
          <t>Long</t>
        </is>
      </c>
      <c r="H36" s="3" t="n">
        <v>13015.5</v>
      </c>
      <c r="I36" s="3" t="n">
        <v>13078</v>
      </c>
      <c r="J36" s="3">
        <f>IF(G36="Long",I36-H36,IF(G36="Short",H36-I36,0))</f>
        <v/>
      </c>
      <c r="K36" s="4" t="n">
        <v>0</v>
      </c>
      <c r="L36" s="2" t="inlineStr">
        <is>
          <t>Win</t>
        </is>
      </c>
      <c r="M36" s="3">
        <f>M35+J36</f>
        <v/>
      </c>
    </row>
    <row r="37">
      <c r="A37" s="8" t="inlineStr">
        <is>
          <t>2021-04-01</t>
        </is>
      </c>
      <c r="B37" s="8" t="inlineStr">
        <is>
          <t>Thursday</t>
        </is>
      </c>
      <c r="C37" s="8" t="inlineStr">
        <is>
          <t>MNQM1</t>
        </is>
      </c>
      <c r="D37" s="9" t="n">
        <v>13294</v>
      </c>
      <c r="E37" s="9" t="n">
        <v>13241.5</v>
      </c>
      <c r="F37" s="9">
        <f>D37-E37</f>
        <v/>
      </c>
      <c r="G37" s="8" t="inlineStr">
        <is>
          <t>Long</t>
        </is>
      </c>
      <c r="H37" s="9" t="n">
        <v>13294</v>
      </c>
      <c r="I37" s="9" t="n">
        <v>13314.25</v>
      </c>
      <c r="J37" s="9">
        <f>IF(G37="Long",I37-H37,IF(G37="Short",H37-I37,0))</f>
        <v/>
      </c>
      <c r="K37" s="10" t="n">
        <v>64.76000000000001</v>
      </c>
      <c r="L37" s="8" t="inlineStr">
        <is>
          <t>EOD-Close</t>
        </is>
      </c>
      <c r="M37" s="9">
        <f>M36+J37</f>
        <v/>
      </c>
    </row>
    <row r="38">
      <c r="A38" s="2" t="inlineStr">
        <is>
          <t>2021-04-05</t>
        </is>
      </c>
      <c r="B38" s="2" t="inlineStr">
        <is>
          <t>Monday</t>
        </is>
      </c>
      <c r="C38" s="2" t="inlineStr">
        <is>
          <t>MNQM1</t>
        </is>
      </c>
      <c r="D38" s="3" t="n">
        <v>13446</v>
      </c>
      <c r="E38" s="3" t="n">
        <v>13409.25</v>
      </c>
      <c r="F38" s="3">
        <f>D38-E38</f>
        <v/>
      </c>
      <c r="G38" s="2" t="inlineStr">
        <is>
          <t>Long</t>
        </is>
      </c>
      <c r="H38" s="3" t="n">
        <v>13446</v>
      </c>
      <c r="I38" s="3" t="n">
        <v>13482.75</v>
      </c>
      <c r="J38" s="3">
        <f>IF(G38="Long",I38-H38,IF(G38="Short",H38-I38,0))</f>
        <v/>
      </c>
      <c r="K38" s="4" t="n">
        <v>0</v>
      </c>
      <c r="L38" s="2" t="inlineStr">
        <is>
          <t>Win</t>
        </is>
      </c>
      <c r="M38" s="3">
        <f>M37+J38</f>
        <v/>
      </c>
    </row>
    <row r="39">
      <c r="A39" s="2" t="inlineStr">
        <is>
          <t>2021-04-06</t>
        </is>
      </c>
      <c r="B39" s="2" t="inlineStr">
        <is>
          <t>Tuesday</t>
        </is>
      </c>
      <c r="C39" s="2" t="inlineStr">
        <is>
          <t>MNQM1</t>
        </is>
      </c>
      <c r="D39" s="3" t="n">
        <v>13586</v>
      </c>
      <c r="E39" s="3" t="n">
        <v>13538.75</v>
      </c>
      <c r="F39" s="3">
        <f>D39-E39</f>
        <v/>
      </c>
      <c r="G39" s="2" t="inlineStr">
        <is>
          <t>Long</t>
        </is>
      </c>
      <c r="H39" s="3" t="n">
        <v>13586</v>
      </c>
      <c r="I39" s="3" t="n">
        <v>13633.25</v>
      </c>
      <c r="J39" s="3">
        <f>IF(G39="Long",I39-H39,IF(G39="Short",H39-I39,0))</f>
        <v/>
      </c>
      <c r="K39" s="4" t="n">
        <v>46.56</v>
      </c>
      <c r="L39" s="2" t="inlineStr">
        <is>
          <t>Win</t>
        </is>
      </c>
      <c r="M39" s="3">
        <f>M38+J39</f>
        <v/>
      </c>
    </row>
    <row r="40">
      <c r="A40" s="8" t="inlineStr">
        <is>
          <t>2021-04-06</t>
        </is>
      </c>
      <c r="B40" s="8" t="inlineStr">
        <is>
          <t>Tuesday</t>
        </is>
      </c>
      <c r="C40" s="8" t="inlineStr">
        <is>
          <t>MNQM1</t>
        </is>
      </c>
      <c r="D40" s="9" t="n">
        <v>13586</v>
      </c>
      <c r="E40" s="9" t="n">
        <v>13538.75</v>
      </c>
      <c r="F40" s="9">
        <f>D40-E40</f>
        <v/>
      </c>
      <c r="G40" s="8" t="inlineStr">
        <is>
          <t>Long</t>
        </is>
      </c>
      <c r="H40" s="9" t="n">
        <v>13586</v>
      </c>
      <c r="I40" s="9" t="n">
        <v>13572</v>
      </c>
      <c r="J40" s="9">
        <f>IF(G40="Long",I40-H40,IF(G40="Short",H40-I40,0))</f>
        <v/>
      </c>
      <c r="K40" s="10" t="n">
        <v>85.19</v>
      </c>
      <c r="L40" s="8" t="inlineStr">
        <is>
          <t>EOD-Close</t>
        </is>
      </c>
      <c r="M40" s="9">
        <f>M39+J40</f>
        <v/>
      </c>
    </row>
    <row r="41">
      <c r="A41" s="2" t="inlineStr">
        <is>
          <t>2021-04-07</t>
        </is>
      </c>
      <c r="B41" s="2" t="inlineStr">
        <is>
          <t>Wednesday</t>
        </is>
      </c>
      <c r="C41" s="2" t="inlineStr">
        <is>
          <t>MNQM1</t>
        </is>
      </c>
      <c r="D41" s="3" t="n">
        <v>13560.5</v>
      </c>
      <c r="E41" s="3" t="n">
        <v>13513</v>
      </c>
      <c r="F41" s="3">
        <f>D41-E41</f>
        <v/>
      </c>
      <c r="G41" s="2" t="inlineStr">
        <is>
          <t>Long</t>
        </is>
      </c>
      <c r="H41" s="3" t="n">
        <v>13560.5</v>
      </c>
      <c r="I41" s="3" t="n">
        <v>13608</v>
      </c>
      <c r="J41" s="3">
        <f>IF(G41="Long",I41-H41,IF(G41="Short",H41-I41,0))</f>
        <v/>
      </c>
      <c r="K41" s="4" t="n">
        <v>0</v>
      </c>
      <c r="L41" s="2" t="inlineStr">
        <is>
          <t>Win</t>
        </is>
      </c>
      <c r="M41" s="3">
        <f>M40+J41</f>
        <v/>
      </c>
    </row>
    <row r="42">
      <c r="A42" s="2" t="inlineStr">
        <is>
          <t>2021-04-07</t>
        </is>
      </c>
      <c r="B42" s="2" t="inlineStr">
        <is>
          <t>Wednesday</t>
        </is>
      </c>
      <c r="C42" s="2" t="inlineStr">
        <is>
          <t>MNQM1</t>
        </is>
      </c>
      <c r="D42" s="3" t="n">
        <v>13560.5</v>
      </c>
      <c r="E42" s="3" t="n">
        <v>13513</v>
      </c>
      <c r="F42" s="3">
        <f>D42-E42</f>
        <v/>
      </c>
      <c r="G42" s="2" t="inlineStr">
        <is>
          <t>Long</t>
        </is>
      </c>
      <c r="H42" s="3" t="n">
        <v>13560.5</v>
      </c>
      <c r="I42" s="3" t="n">
        <v>13608</v>
      </c>
      <c r="J42" s="3">
        <f>IF(G42="Long",I42-H42,IF(G42="Short",H42-I42,0))</f>
        <v/>
      </c>
      <c r="K42" s="4" t="n">
        <v>1.58</v>
      </c>
      <c r="L42" s="2" t="inlineStr">
        <is>
          <t>Win</t>
        </is>
      </c>
      <c r="M42" s="3">
        <f>M41+J42</f>
        <v/>
      </c>
    </row>
    <row r="43">
      <c r="A43" s="5" t="inlineStr">
        <is>
          <t>2021-04-08</t>
        </is>
      </c>
      <c r="B43" s="5" t="inlineStr">
        <is>
          <t>Thursday</t>
        </is>
      </c>
      <c r="C43" s="5" t="inlineStr">
        <is>
          <t>MNQM1</t>
        </is>
      </c>
      <c r="D43" s="6" t="n">
        <v>13746.75</v>
      </c>
      <c r="E43" s="6" t="n">
        <v>13711.25</v>
      </c>
      <c r="F43" s="6">
        <f>D43-E43</f>
        <v/>
      </c>
      <c r="G43" s="5" t="inlineStr">
        <is>
          <t>Short</t>
        </is>
      </c>
      <c r="H43" s="6" t="n">
        <v>13711.25</v>
      </c>
      <c r="I43" s="6" t="n">
        <v>13746.75</v>
      </c>
      <c r="J43" s="6">
        <f>IF(G43="Long",I43-H43,IF(G43="Short",H43-I43,0))</f>
        <v/>
      </c>
      <c r="K43" s="7" t="n">
        <v>100</v>
      </c>
      <c r="L43" s="5" t="inlineStr">
        <is>
          <t>Loss</t>
        </is>
      </c>
      <c r="M43" s="6">
        <f>M42+J43</f>
        <v/>
      </c>
    </row>
    <row r="44">
      <c r="A44" s="5" t="inlineStr">
        <is>
          <t>2021-04-08</t>
        </is>
      </c>
      <c r="B44" s="5" t="inlineStr">
        <is>
          <t>Thursday</t>
        </is>
      </c>
      <c r="C44" s="5" t="inlineStr">
        <is>
          <t>MNQM1</t>
        </is>
      </c>
      <c r="D44" s="6" t="n">
        <v>13746.75</v>
      </c>
      <c r="E44" s="6" t="n">
        <v>13711.25</v>
      </c>
      <c r="F44" s="6">
        <f>D44-E44</f>
        <v/>
      </c>
      <c r="G44" s="5" t="inlineStr">
        <is>
          <t>Long</t>
        </is>
      </c>
      <c r="H44" s="6" t="n">
        <v>13746.75</v>
      </c>
      <c r="I44" s="6" t="n">
        <v>13711.25</v>
      </c>
      <c r="J44" s="6">
        <f>IF(G44="Long",I44-H44,IF(G44="Short",H44-I44,0))</f>
        <v/>
      </c>
      <c r="K44" s="7" t="n">
        <v>100</v>
      </c>
      <c r="L44" s="5" t="inlineStr">
        <is>
          <t>Loss</t>
        </is>
      </c>
      <c r="M44" s="6">
        <f>M43+J44</f>
        <v/>
      </c>
    </row>
    <row r="45">
      <c r="A45" s="2" t="inlineStr">
        <is>
          <t>2021-04-09</t>
        </is>
      </c>
      <c r="B45" s="2" t="inlineStr">
        <is>
          <t>Friday</t>
        </is>
      </c>
      <c r="C45" s="2" t="inlineStr">
        <is>
          <t>MNQM1</t>
        </is>
      </c>
      <c r="D45" s="3" t="n">
        <v>13703</v>
      </c>
      <c r="E45" s="3" t="n">
        <v>13658.25</v>
      </c>
      <c r="F45" s="3">
        <f>D45-E45</f>
        <v/>
      </c>
      <c r="G45" s="2" t="inlineStr">
        <is>
          <t>Long</t>
        </is>
      </c>
      <c r="H45" s="3" t="n">
        <v>13703</v>
      </c>
      <c r="I45" s="3" t="n">
        <v>13747.75</v>
      </c>
      <c r="J45" s="3">
        <f>IF(G45="Long",I45-H45,IF(G45="Short",H45-I45,0))</f>
        <v/>
      </c>
      <c r="K45" s="4" t="n">
        <v>18.44</v>
      </c>
      <c r="L45" s="2" t="inlineStr">
        <is>
          <t>Win</t>
        </is>
      </c>
      <c r="M45" s="3">
        <f>M44+J45</f>
        <v/>
      </c>
    </row>
    <row r="46">
      <c r="A46" s="2" t="inlineStr">
        <is>
          <t>2021-04-12</t>
        </is>
      </c>
      <c r="B46" s="2" t="inlineStr">
        <is>
          <t>Monday</t>
        </is>
      </c>
      <c r="C46" s="2" t="inlineStr">
        <is>
          <t>MNQM1</t>
        </is>
      </c>
      <c r="D46" s="3" t="n">
        <v>13809.5</v>
      </c>
      <c r="E46" s="3" t="n">
        <v>13776.5</v>
      </c>
      <c r="F46" s="3">
        <f>D46-E46</f>
        <v/>
      </c>
      <c r="G46" s="2" t="inlineStr">
        <is>
          <t>Short</t>
        </is>
      </c>
      <c r="H46" s="3" t="n">
        <v>13776.5</v>
      </c>
      <c r="I46" s="3" t="n">
        <v>13743.5</v>
      </c>
      <c r="J46" s="3">
        <f>IF(G46="Long",I46-H46,IF(G46="Short",H46-I46,0))</f>
        <v/>
      </c>
      <c r="K46" s="4" t="n">
        <v>0</v>
      </c>
      <c r="L46" s="2" t="inlineStr">
        <is>
          <t>Win</t>
        </is>
      </c>
      <c r="M46" s="3">
        <f>M45+J46</f>
        <v/>
      </c>
    </row>
    <row r="47">
      <c r="A47" s="2" t="inlineStr">
        <is>
          <t>2021-04-12</t>
        </is>
      </c>
      <c r="B47" s="2" t="inlineStr">
        <is>
          <t>Monday</t>
        </is>
      </c>
      <c r="C47" s="2" t="inlineStr">
        <is>
          <t>MNQM1</t>
        </is>
      </c>
      <c r="D47" s="3" t="n">
        <v>13809.5</v>
      </c>
      <c r="E47" s="3" t="n">
        <v>13776.5</v>
      </c>
      <c r="F47" s="3">
        <f>D47-E47</f>
        <v/>
      </c>
      <c r="G47" s="2" t="inlineStr">
        <is>
          <t>Short</t>
        </is>
      </c>
      <c r="H47" s="3" t="n">
        <v>13776.5</v>
      </c>
      <c r="I47" s="3" t="n">
        <v>13743.5</v>
      </c>
      <c r="J47" s="3">
        <f>IF(G47="Long",I47-H47,IF(G47="Short",H47-I47,0))</f>
        <v/>
      </c>
      <c r="K47" s="4" t="n">
        <v>87.88</v>
      </c>
      <c r="L47" s="2" t="inlineStr">
        <is>
          <t>Win</t>
        </is>
      </c>
      <c r="M47" s="3">
        <f>M46+J47</f>
        <v/>
      </c>
    </row>
    <row r="48">
      <c r="A48" s="8" t="inlineStr">
        <is>
          <t>2021-04-13</t>
        </is>
      </c>
      <c r="B48" s="8" t="inlineStr">
        <is>
          <t>Tuesday</t>
        </is>
      </c>
      <c r="C48" s="8" t="inlineStr">
        <is>
          <t>MNQM1</t>
        </is>
      </c>
      <c r="D48" s="9" t="n">
        <v>13939</v>
      </c>
      <c r="E48" s="9" t="n">
        <v>13866.5</v>
      </c>
      <c r="F48" s="9">
        <f>D48-E48</f>
        <v/>
      </c>
      <c r="G48" s="8" t="inlineStr">
        <is>
          <t>Long</t>
        </is>
      </c>
      <c r="H48" s="9" t="n">
        <v>13939</v>
      </c>
      <c r="I48" s="9" t="n">
        <v>13975.25</v>
      </c>
      <c r="J48" s="9">
        <f>IF(G48="Long",I48-H48,IF(G48="Short",H48-I48,0))</f>
        <v/>
      </c>
      <c r="K48" s="10" t="n">
        <v>75.86</v>
      </c>
      <c r="L48" s="8" t="inlineStr">
        <is>
          <t>EOD-Close</t>
        </is>
      </c>
      <c r="M48" s="9">
        <f>M47+J48</f>
        <v/>
      </c>
    </row>
    <row r="49">
      <c r="A49" s="2" t="inlineStr">
        <is>
          <t>2021-04-14</t>
        </is>
      </c>
      <c r="B49" s="2" t="inlineStr">
        <is>
          <t>Wednesday</t>
        </is>
      </c>
      <c r="C49" s="2" t="inlineStr">
        <is>
          <t>MNQM1</t>
        </is>
      </c>
      <c r="D49" s="3" t="n">
        <v>13988.5</v>
      </c>
      <c r="E49" s="3" t="n">
        <v>13943.25</v>
      </c>
      <c r="F49" s="3">
        <f>D49-E49</f>
        <v/>
      </c>
      <c r="G49" s="2" t="inlineStr">
        <is>
          <t>Short</t>
        </is>
      </c>
      <c r="H49" s="3" t="n">
        <v>13943.25</v>
      </c>
      <c r="I49" s="3" t="n">
        <v>13898</v>
      </c>
      <c r="J49" s="3">
        <f>IF(G49="Long",I49-H49,IF(G49="Short",H49-I49,0))</f>
        <v/>
      </c>
      <c r="K49" s="4" t="n">
        <v>32.04</v>
      </c>
      <c r="L49" s="2" t="inlineStr">
        <is>
          <t>Win</t>
        </is>
      </c>
      <c r="M49" s="3">
        <f>M48+J49</f>
        <v/>
      </c>
    </row>
    <row r="50">
      <c r="A50" s="2" t="inlineStr">
        <is>
          <t>2021-04-15</t>
        </is>
      </c>
      <c r="B50" s="2" t="inlineStr">
        <is>
          <t>Thursday</t>
        </is>
      </c>
      <c r="C50" s="2" t="inlineStr">
        <is>
          <t>MNQM1</t>
        </is>
      </c>
      <c r="D50" s="3" t="n">
        <v>13977.75</v>
      </c>
      <c r="E50" s="3" t="n">
        <v>13923.25</v>
      </c>
      <c r="F50" s="3">
        <f>D50-E50</f>
        <v/>
      </c>
      <c r="G50" s="2" t="inlineStr">
        <is>
          <t>Long</t>
        </is>
      </c>
      <c r="H50" s="3" t="n">
        <v>13977.75</v>
      </c>
      <c r="I50" s="3" t="n">
        <v>14032.25</v>
      </c>
      <c r="J50" s="3">
        <f>IF(G50="Long",I50-H50,IF(G50="Short",H50-I50,0))</f>
        <v/>
      </c>
      <c r="K50" s="4" t="n">
        <v>63.3</v>
      </c>
      <c r="L50" s="2" t="inlineStr">
        <is>
          <t>Win</t>
        </is>
      </c>
      <c r="M50" s="3">
        <f>M49+J50</f>
        <v/>
      </c>
    </row>
    <row r="51">
      <c r="A51" s="5" t="inlineStr">
        <is>
          <t>2021-04-16</t>
        </is>
      </c>
      <c r="B51" s="5" t="inlineStr">
        <is>
          <t>Friday</t>
        </is>
      </c>
      <c r="C51" s="5" t="inlineStr">
        <is>
          <t>MNQM1</t>
        </is>
      </c>
      <c r="D51" s="6" t="n">
        <v>14039</v>
      </c>
      <c r="E51" s="6" t="n">
        <v>13973.25</v>
      </c>
      <c r="F51" s="6">
        <f>D51-E51</f>
        <v/>
      </c>
      <c r="G51" s="5" t="inlineStr">
        <is>
          <t>Short</t>
        </is>
      </c>
      <c r="H51" s="6" t="n">
        <v>13973.25</v>
      </c>
      <c r="I51" s="6" t="n">
        <v>14039</v>
      </c>
      <c r="J51" s="6">
        <f>IF(G51="Long",I51-H51,IF(G51="Short",H51-I51,0))</f>
        <v/>
      </c>
      <c r="K51" s="7" t="n">
        <v>100</v>
      </c>
      <c r="L51" s="5" t="inlineStr">
        <is>
          <t>Loss</t>
        </is>
      </c>
      <c r="M51" s="6">
        <f>M50+J51</f>
        <v/>
      </c>
    </row>
    <row r="52">
      <c r="A52" s="2" t="inlineStr">
        <is>
          <t>2021-04-19</t>
        </is>
      </c>
      <c r="B52" s="2" t="inlineStr">
        <is>
          <t>Monday</t>
        </is>
      </c>
      <c r="C52" s="2" t="inlineStr">
        <is>
          <t>MNQM1</t>
        </is>
      </c>
      <c r="D52" s="3" t="n">
        <v>14013.25</v>
      </c>
      <c r="E52" s="3" t="n">
        <v>13950.75</v>
      </c>
      <c r="F52" s="3">
        <f>D52-E52</f>
        <v/>
      </c>
      <c r="G52" s="2" t="inlineStr">
        <is>
          <t>Short</t>
        </is>
      </c>
      <c r="H52" s="3" t="n">
        <v>13950.75</v>
      </c>
      <c r="I52" s="3" t="n">
        <v>13888.25</v>
      </c>
      <c r="J52" s="3">
        <f>IF(G52="Long",I52-H52,IF(G52="Short",H52-I52,0))</f>
        <v/>
      </c>
      <c r="K52" s="4" t="n">
        <v>0</v>
      </c>
      <c r="L52" s="2" t="inlineStr">
        <is>
          <t>Win</t>
        </is>
      </c>
      <c r="M52" s="3">
        <f>M51+J52</f>
        <v/>
      </c>
    </row>
    <row r="53">
      <c r="A53" s="5" t="inlineStr">
        <is>
          <t>2021-04-20</t>
        </is>
      </c>
      <c r="B53" s="5" t="inlineStr">
        <is>
          <t>Tuesday</t>
        </is>
      </c>
      <c r="C53" s="5" t="inlineStr">
        <is>
          <t>MNQM1</t>
        </is>
      </c>
      <c r="D53" s="6" t="n">
        <v>13906</v>
      </c>
      <c r="E53" s="6" t="n">
        <v>13852</v>
      </c>
      <c r="F53" s="6">
        <f>D53-E53</f>
        <v/>
      </c>
      <c r="G53" s="5" t="inlineStr">
        <is>
          <t>Long</t>
        </is>
      </c>
      <c r="H53" s="6" t="n">
        <v>13906</v>
      </c>
      <c r="I53" s="6" t="n">
        <v>13852</v>
      </c>
      <c r="J53" s="6">
        <f>IF(G53="Long",I53-H53,IF(G53="Short",H53-I53,0))</f>
        <v/>
      </c>
      <c r="K53" s="7" t="n">
        <v>100</v>
      </c>
      <c r="L53" s="5" t="inlineStr">
        <is>
          <t>Loss</t>
        </is>
      </c>
      <c r="M53" s="6">
        <f>M52+J53</f>
        <v/>
      </c>
    </row>
    <row r="54">
      <c r="A54" s="2" t="inlineStr">
        <is>
          <t>2021-04-20</t>
        </is>
      </c>
      <c r="B54" s="2" t="inlineStr">
        <is>
          <t>Tuesday</t>
        </is>
      </c>
      <c r="C54" s="2" t="inlineStr">
        <is>
          <t>MNQM1</t>
        </is>
      </c>
      <c r="D54" s="3" t="n">
        <v>13906</v>
      </c>
      <c r="E54" s="3" t="n">
        <v>13852</v>
      </c>
      <c r="F54" s="3">
        <f>D54-E54</f>
        <v/>
      </c>
      <c r="G54" s="2" t="inlineStr">
        <is>
          <t>Short</t>
        </is>
      </c>
      <c r="H54" s="3" t="n">
        <v>13852</v>
      </c>
      <c r="I54" s="3" t="n">
        <v>13798</v>
      </c>
      <c r="J54" s="3">
        <f>IF(G54="Long",I54-H54,IF(G54="Short",H54-I54,0))</f>
        <v/>
      </c>
      <c r="K54" s="4" t="n">
        <v>0</v>
      </c>
      <c r="L54" s="2" t="inlineStr">
        <is>
          <t>Win</t>
        </is>
      </c>
      <c r="M54" s="3">
        <f>M53+J54</f>
        <v/>
      </c>
    </row>
    <row r="55">
      <c r="A55" s="2" t="inlineStr">
        <is>
          <t>2021-04-21</t>
        </is>
      </c>
      <c r="B55" s="2" t="inlineStr">
        <is>
          <t>Wednesday</t>
        </is>
      </c>
      <c r="C55" s="2" t="inlineStr">
        <is>
          <t>MNQM1</t>
        </is>
      </c>
      <c r="D55" s="3" t="n">
        <v>13763.75</v>
      </c>
      <c r="E55" s="3" t="n">
        <v>13700.25</v>
      </c>
      <c r="F55" s="3">
        <f>D55-E55</f>
        <v/>
      </c>
      <c r="G55" s="2" t="inlineStr">
        <is>
          <t>Long</t>
        </is>
      </c>
      <c r="H55" s="3" t="n">
        <v>13763.75</v>
      </c>
      <c r="I55" s="3" t="n">
        <v>13827.25</v>
      </c>
      <c r="J55" s="3">
        <f>IF(G55="Long",I55-H55,IF(G55="Short",H55-I55,0))</f>
        <v/>
      </c>
      <c r="K55" s="4" t="n">
        <v>6.69</v>
      </c>
      <c r="L55" s="2" t="inlineStr">
        <is>
          <t>Win</t>
        </is>
      </c>
      <c r="M55" s="3">
        <f>M54+J55</f>
        <v/>
      </c>
    </row>
    <row r="56">
      <c r="A56" s="5" t="inlineStr">
        <is>
          <t>2021-04-22</t>
        </is>
      </c>
      <c r="B56" s="5" t="inlineStr">
        <is>
          <t>Thursday</t>
        </is>
      </c>
      <c r="C56" s="5" t="inlineStr">
        <is>
          <t>MNQM1</t>
        </is>
      </c>
      <c r="D56" s="6" t="n">
        <v>13912</v>
      </c>
      <c r="E56" s="6" t="n">
        <v>13871.25</v>
      </c>
      <c r="F56" s="6">
        <f>D56-E56</f>
        <v/>
      </c>
      <c r="G56" s="5" t="inlineStr">
        <is>
          <t>Short</t>
        </is>
      </c>
      <c r="H56" s="6" t="n">
        <v>13871.25</v>
      </c>
      <c r="I56" s="6" t="n">
        <v>13912</v>
      </c>
      <c r="J56" s="6">
        <f>IF(G56="Long",I56-H56,IF(G56="Short",H56-I56,0))</f>
        <v/>
      </c>
      <c r="K56" s="7" t="n">
        <v>100</v>
      </c>
      <c r="L56" s="5" t="inlineStr">
        <is>
          <t>Loss</t>
        </is>
      </c>
      <c r="M56" s="6">
        <f>M55+J56</f>
        <v/>
      </c>
    </row>
    <row r="57">
      <c r="A57" s="5" t="inlineStr">
        <is>
          <t>2021-04-22</t>
        </is>
      </c>
      <c r="B57" s="5" t="inlineStr">
        <is>
          <t>Thursday</t>
        </is>
      </c>
      <c r="C57" s="5" t="inlineStr">
        <is>
          <t>MNQM1</t>
        </is>
      </c>
      <c r="D57" s="6" t="n">
        <v>13912</v>
      </c>
      <c r="E57" s="6" t="n">
        <v>13871.25</v>
      </c>
      <c r="F57" s="6">
        <f>D57-E57</f>
        <v/>
      </c>
      <c r="G57" s="5" t="inlineStr">
        <is>
          <t>Long</t>
        </is>
      </c>
      <c r="H57" s="6" t="n">
        <v>13912</v>
      </c>
      <c r="I57" s="6" t="n">
        <v>13871.25</v>
      </c>
      <c r="J57" s="6">
        <f>IF(G57="Long",I57-H57,IF(G57="Short",H57-I57,0))</f>
        <v/>
      </c>
      <c r="K57" s="7" t="n">
        <v>100</v>
      </c>
      <c r="L57" s="5" t="inlineStr">
        <is>
          <t>Loss</t>
        </is>
      </c>
      <c r="M57" s="6">
        <f>M56+J57</f>
        <v/>
      </c>
    </row>
    <row r="58">
      <c r="A58" s="2" t="inlineStr">
        <is>
          <t>2021-04-23</t>
        </is>
      </c>
      <c r="B58" s="2" t="inlineStr">
        <is>
          <t>Friday</t>
        </is>
      </c>
      <c r="C58" s="2" t="inlineStr">
        <is>
          <t>MNQM1</t>
        </is>
      </c>
      <c r="D58" s="3" t="n">
        <v>13822</v>
      </c>
      <c r="E58" s="3" t="n">
        <v>13775.75</v>
      </c>
      <c r="F58" s="3">
        <f>D58-E58</f>
        <v/>
      </c>
      <c r="G58" s="2" t="inlineStr">
        <is>
          <t>Long</t>
        </is>
      </c>
      <c r="H58" s="3" t="n">
        <v>13822</v>
      </c>
      <c r="I58" s="3" t="n">
        <v>13868.25</v>
      </c>
      <c r="J58" s="3">
        <f>IF(G58="Long",I58-H58,IF(G58="Short",H58-I58,0))</f>
        <v/>
      </c>
      <c r="K58" s="4" t="n">
        <v>4.32</v>
      </c>
      <c r="L58" s="2" t="inlineStr">
        <is>
          <t>Win</t>
        </is>
      </c>
      <c r="M58" s="3">
        <f>M57+J58</f>
        <v/>
      </c>
    </row>
    <row r="59">
      <c r="A59" s="5" t="inlineStr">
        <is>
          <t>2021-04-26</t>
        </is>
      </c>
      <c r="B59" s="5" t="inlineStr">
        <is>
          <t>Monday</t>
        </is>
      </c>
      <c r="C59" s="5" t="inlineStr">
        <is>
          <t>MNQM1</t>
        </is>
      </c>
      <c r="D59" s="6" t="n">
        <v>13950.75</v>
      </c>
      <c r="E59" s="6" t="n">
        <v>13919</v>
      </c>
      <c r="F59" s="6">
        <f>D59-E59</f>
        <v/>
      </c>
      <c r="G59" s="5" t="inlineStr">
        <is>
          <t>Short</t>
        </is>
      </c>
      <c r="H59" s="6" t="n">
        <v>13919</v>
      </c>
      <c r="I59" s="6" t="n">
        <v>13950.75</v>
      </c>
      <c r="J59" s="6">
        <f>IF(G59="Long",I59-H59,IF(G59="Short",H59-I59,0))</f>
        <v/>
      </c>
      <c r="K59" s="7" t="n">
        <v>100</v>
      </c>
      <c r="L59" s="5" t="inlineStr">
        <is>
          <t>Loss</t>
        </is>
      </c>
      <c r="M59" s="6">
        <f>M58+J59</f>
        <v/>
      </c>
    </row>
    <row r="60">
      <c r="A60" s="2" t="inlineStr">
        <is>
          <t>2021-04-26</t>
        </is>
      </c>
      <c r="B60" s="2" t="inlineStr">
        <is>
          <t>Monday</t>
        </is>
      </c>
      <c r="C60" s="2" t="inlineStr">
        <is>
          <t>MNQM1</t>
        </is>
      </c>
      <c r="D60" s="3" t="n">
        <v>13950.75</v>
      </c>
      <c r="E60" s="3" t="n">
        <v>13919</v>
      </c>
      <c r="F60" s="3">
        <f>D60-E60</f>
        <v/>
      </c>
      <c r="G60" s="2" t="inlineStr">
        <is>
          <t>Long</t>
        </is>
      </c>
      <c r="H60" s="3" t="n">
        <v>13950.75</v>
      </c>
      <c r="I60" s="3" t="n">
        <v>13982.5</v>
      </c>
      <c r="J60" s="3">
        <f>IF(G60="Long",I60-H60,IF(G60="Short",H60-I60,0))</f>
        <v/>
      </c>
      <c r="K60" s="4" t="n">
        <v>22.05</v>
      </c>
      <c r="L60" s="2" t="inlineStr">
        <is>
          <t>Win</t>
        </is>
      </c>
      <c r="M60" s="3">
        <f>M59+J60</f>
        <v/>
      </c>
    </row>
    <row r="61">
      <c r="A61" s="2" t="inlineStr">
        <is>
          <t>2021-04-27</t>
        </is>
      </c>
      <c r="B61" s="2" t="inlineStr">
        <is>
          <t>Tuesday</t>
        </is>
      </c>
      <c r="C61" s="2" t="inlineStr">
        <is>
          <t>MNQM1</t>
        </is>
      </c>
      <c r="D61" s="3" t="n">
        <v>14034.75</v>
      </c>
      <c r="E61" s="3" t="n">
        <v>13987.25</v>
      </c>
      <c r="F61" s="3">
        <f>D61-E61</f>
        <v/>
      </c>
      <c r="G61" s="2" t="inlineStr">
        <is>
          <t>Short</t>
        </is>
      </c>
      <c r="H61" s="3" t="n">
        <v>13987.25</v>
      </c>
      <c r="I61" s="3" t="n">
        <v>13939.75</v>
      </c>
      <c r="J61" s="3">
        <f>IF(G61="Long",I61-H61,IF(G61="Short",H61-I61,0))</f>
        <v/>
      </c>
      <c r="K61" s="4" t="n">
        <v>0</v>
      </c>
      <c r="L61" s="2" t="inlineStr">
        <is>
          <t>Win</t>
        </is>
      </c>
      <c r="M61" s="3">
        <f>M60+J61</f>
        <v/>
      </c>
    </row>
    <row r="62">
      <c r="A62" s="5" t="inlineStr">
        <is>
          <t>2021-04-28</t>
        </is>
      </c>
      <c r="B62" s="5" t="inlineStr">
        <is>
          <t>Wednesday</t>
        </is>
      </c>
      <c r="C62" s="5" t="inlineStr">
        <is>
          <t>MNQM1</t>
        </is>
      </c>
      <c r="D62" s="6" t="n">
        <v>13943</v>
      </c>
      <c r="E62" s="6" t="n">
        <v>13885.5</v>
      </c>
      <c r="F62" s="6">
        <f>D62-E62</f>
        <v/>
      </c>
      <c r="G62" s="5" t="inlineStr">
        <is>
          <t>Long</t>
        </is>
      </c>
      <c r="H62" s="6" t="n">
        <v>13943</v>
      </c>
      <c r="I62" s="6" t="n">
        <v>13885.5</v>
      </c>
      <c r="J62" s="6">
        <f>IF(G62="Long",I62-H62,IF(G62="Short",H62-I62,0))</f>
        <v/>
      </c>
      <c r="K62" s="7" t="n">
        <v>100</v>
      </c>
      <c r="L62" s="5" t="inlineStr">
        <is>
          <t>Loss</t>
        </is>
      </c>
      <c r="M62" s="6">
        <f>M61+J62</f>
        <v/>
      </c>
    </row>
    <row r="63">
      <c r="A63" s="5" t="inlineStr">
        <is>
          <t>2021-04-28</t>
        </is>
      </c>
      <c r="B63" s="5" t="inlineStr">
        <is>
          <t>Wednesday</t>
        </is>
      </c>
      <c r="C63" s="5" t="inlineStr">
        <is>
          <t>MNQM1</t>
        </is>
      </c>
      <c r="D63" s="6" t="n">
        <v>13943</v>
      </c>
      <c r="E63" s="6" t="n">
        <v>13885.5</v>
      </c>
      <c r="F63" s="6">
        <f>D63-E63</f>
        <v/>
      </c>
      <c r="G63" s="5" t="inlineStr">
        <is>
          <t>Long</t>
        </is>
      </c>
      <c r="H63" s="6" t="n">
        <v>13943</v>
      </c>
      <c r="I63" s="6" t="n">
        <v>13885.5</v>
      </c>
      <c r="J63" s="6">
        <f>IF(G63="Long",I63-H63,IF(G63="Short",H63-I63,0))</f>
        <v/>
      </c>
      <c r="K63" s="7" t="n">
        <v>100</v>
      </c>
      <c r="L63" s="5" t="inlineStr">
        <is>
          <t>Loss</t>
        </is>
      </c>
      <c r="M63" s="6">
        <f>M62+J63</f>
        <v/>
      </c>
    </row>
    <row r="64">
      <c r="A64" s="2" t="inlineStr">
        <is>
          <t>2021-04-29</t>
        </is>
      </c>
      <c r="B64" s="2" t="inlineStr">
        <is>
          <t>Thursday</t>
        </is>
      </c>
      <c r="C64" s="2" t="inlineStr">
        <is>
          <t>MNQM1</t>
        </is>
      </c>
      <c r="D64" s="3" t="n">
        <v>14061</v>
      </c>
      <c r="E64" s="3" t="n">
        <v>14011.5</v>
      </c>
      <c r="F64" s="3">
        <f>D64-E64</f>
        <v/>
      </c>
      <c r="G64" s="2" t="inlineStr">
        <is>
          <t>Short</t>
        </is>
      </c>
      <c r="H64" s="3" t="n">
        <v>14011.5</v>
      </c>
      <c r="I64" s="3" t="n">
        <v>13962</v>
      </c>
      <c r="J64" s="3">
        <f>IF(G64="Long",I64-H64,IF(G64="Short",H64-I64,0))</f>
        <v/>
      </c>
      <c r="K64" s="4" t="n">
        <v>0</v>
      </c>
      <c r="L64" s="2" t="inlineStr">
        <is>
          <t>Win</t>
        </is>
      </c>
      <c r="M64" s="3">
        <f>M63+J64</f>
        <v/>
      </c>
    </row>
    <row r="65">
      <c r="A65" s="2" t="inlineStr">
        <is>
          <t>2021-04-30</t>
        </is>
      </c>
      <c r="B65" s="2" t="inlineStr">
        <is>
          <t>Friday</t>
        </is>
      </c>
      <c r="C65" s="2" t="inlineStr">
        <is>
          <t>MNQM1</t>
        </is>
      </c>
      <c r="D65" s="3" t="n">
        <v>13892.75</v>
      </c>
      <c r="E65" s="3" t="n">
        <v>13840.25</v>
      </c>
      <c r="F65" s="3">
        <f>D65-E65</f>
        <v/>
      </c>
      <c r="G65" s="2" t="inlineStr">
        <is>
          <t>Long</t>
        </is>
      </c>
      <c r="H65" s="3" t="n">
        <v>13892.75</v>
      </c>
      <c r="I65" s="3" t="n">
        <v>13945.25</v>
      </c>
      <c r="J65" s="3">
        <f>IF(G65="Long",I65-H65,IF(G65="Short",H65-I65,0))</f>
        <v/>
      </c>
      <c r="K65" s="4" t="n">
        <v>34.76</v>
      </c>
      <c r="L65" s="2" t="inlineStr">
        <is>
          <t>Win</t>
        </is>
      </c>
      <c r="M65" s="3">
        <f>M64+J65</f>
        <v/>
      </c>
    </row>
    <row r="66">
      <c r="A66" s="5" t="inlineStr">
        <is>
          <t>2021-04-30</t>
        </is>
      </c>
      <c r="B66" s="5" t="inlineStr">
        <is>
          <t>Friday</t>
        </is>
      </c>
      <c r="C66" s="5" t="inlineStr">
        <is>
          <t>MNQM1</t>
        </is>
      </c>
      <c r="D66" s="6" t="n">
        <v>13892.75</v>
      </c>
      <c r="E66" s="6" t="n">
        <v>13840.25</v>
      </c>
      <c r="F66" s="6">
        <f>D66-E66</f>
        <v/>
      </c>
      <c r="G66" s="5" t="inlineStr">
        <is>
          <t>Long</t>
        </is>
      </c>
      <c r="H66" s="6" t="n">
        <v>13892.75</v>
      </c>
      <c r="I66" s="6" t="n">
        <v>13840.25</v>
      </c>
      <c r="J66" s="6">
        <f>IF(G66="Long",I66-H66,IF(G66="Short",H66-I66,0))</f>
        <v/>
      </c>
      <c r="K66" s="7" t="n">
        <v>100</v>
      </c>
      <c r="L66" s="5" t="inlineStr">
        <is>
          <t>Loss</t>
        </is>
      </c>
      <c r="M66" s="6">
        <f>M65+J66</f>
        <v/>
      </c>
    </row>
    <row r="67">
      <c r="A67" s="5" t="inlineStr">
        <is>
          <t>2021-05-03</t>
        </is>
      </c>
      <c r="B67" s="5" t="inlineStr">
        <is>
          <t>Monday</t>
        </is>
      </c>
      <c r="C67" s="5" t="inlineStr">
        <is>
          <t>MNQM1</t>
        </is>
      </c>
      <c r="D67" s="6" t="n">
        <v>13916.25</v>
      </c>
      <c r="E67" s="6" t="n">
        <v>13854.75</v>
      </c>
      <c r="F67" s="6">
        <f>D67-E67</f>
        <v/>
      </c>
      <c r="G67" s="5" t="inlineStr">
        <is>
          <t>Long</t>
        </is>
      </c>
      <c r="H67" s="6" t="n">
        <v>13916.25</v>
      </c>
      <c r="I67" s="6" t="n">
        <v>13854.75</v>
      </c>
      <c r="J67" s="6">
        <f>IF(G67="Long",I67-H67,IF(G67="Short",H67-I67,0))</f>
        <v/>
      </c>
      <c r="K67" s="7" t="n">
        <v>100</v>
      </c>
      <c r="L67" s="5" t="inlineStr">
        <is>
          <t>Loss</t>
        </is>
      </c>
      <c r="M67" s="6">
        <f>M66+J67</f>
        <v/>
      </c>
    </row>
    <row r="68">
      <c r="A68" s="2" t="inlineStr">
        <is>
          <t>2021-05-03</t>
        </is>
      </c>
      <c r="B68" s="2" t="inlineStr">
        <is>
          <t>Monday</t>
        </is>
      </c>
      <c r="C68" s="2" t="inlineStr">
        <is>
          <t>MNQM1</t>
        </is>
      </c>
      <c r="D68" s="3" t="n">
        <v>13916.25</v>
      </c>
      <c r="E68" s="3" t="n">
        <v>13854.75</v>
      </c>
      <c r="F68" s="3">
        <f>D68-E68</f>
        <v/>
      </c>
      <c r="G68" s="2" t="inlineStr">
        <is>
          <t>Short</t>
        </is>
      </c>
      <c r="H68" s="3" t="n">
        <v>13854.75</v>
      </c>
      <c r="I68" s="3" t="n">
        <v>13793.25</v>
      </c>
      <c r="J68" s="3">
        <f>IF(G68="Long",I68-H68,IF(G68="Short",H68-I68,0))</f>
        <v/>
      </c>
      <c r="K68" s="4" t="n">
        <v>0.41</v>
      </c>
      <c r="L68" s="2" t="inlineStr">
        <is>
          <t>Win</t>
        </is>
      </c>
      <c r="M68" s="3">
        <f>M67+J68</f>
        <v/>
      </c>
    </row>
    <row r="69">
      <c r="A69" s="2" t="inlineStr">
        <is>
          <t>2021-05-04</t>
        </is>
      </c>
      <c r="B69" s="2" t="inlineStr">
        <is>
          <t>Tuesday</t>
        </is>
      </c>
      <c r="C69" s="2" t="inlineStr">
        <is>
          <t>MNQM1</t>
        </is>
      </c>
      <c r="D69" s="3" t="n">
        <v>13696.5</v>
      </c>
      <c r="E69" s="3" t="n">
        <v>13594</v>
      </c>
      <c r="F69" s="3">
        <f>D69-E69</f>
        <v/>
      </c>
      <c r="G69" s="2" t="inlineStr">
        <is>
          <t>Short</t>
        </is>
      </c>
      <c r="H69" s="3" t="n">
        <v>13594</v>
      </c>
      <c r="I69" s="3" t="n">
        <v>13491.5</v>
      </c>
      <c r="J69" s="3">
        <f>IF(G69="Long",I69-H69,IF(G69="Short",H69-I69,0))</f>
        <v/>
      </c>
      <c r="K69" s="4" t="n">
        <v>0</v>
      </c>
      <c r="L69" s="2" t="inlineStr">
        <is>
          <t>Win</t>
        </is>
      </c>
      <c r="M69" s="3">
        <f>M68+J69</f>
        <v/>
      </c>
    </row>
    <row r="70">
      <c r="A70" s="2" t="inlineStr">
        <is>
          <t>2021-05-05</t>
        </is>
      </c>
      <c r="B70" s="2" t="inlineStr">
        <is>
          <t>Wednesday</t>
        </is>
      </c>
      <c r="C70" s="2" t="inlineStr">
        <is>
          <t>MNQM1</t>
        </is>
      </c>
      <c r="D70" s="3" t="n">
        <v>13665.5</v>
      </c>
      <c r="E70" s="3" t="n">
        <v>13604.25</v>
      </c>
      <c r="F70" s="3">
        <f>D70-E70</f>
        <v/>
      </c>
      <c r="G70" s="2" t="inlineStr">
        <is>
          <t>Short</t>
        </is>
      </c>
      <c r="H70" s="3" t="n">
        <v>13604.25</v>
      </c>
      <c r="I70" s="3" t="n">
        <v>13543</v>
      </c>
      <c r="J70" s="3">
        <f>IF(G70="Long",I70-H70,IF(G70="Short",H70-I70,0))</f>
        <v/>
      </c>
      <c r="K70" s="4" t="n">
        <v>1.63</v>
      </c>
      <c r="L70" s="2" t="inlineStr">
        <is>
          <t>Win</t>
        </is>
      </c>
      <c r="M70" s="3">
        <f>M69+J70</f>
        <v/>
      </c>
    </row>
    <row r="71">
      <c r="A71" s="2" t="inlineStr">
        <is>
          <t>2021-05-05</t>
        </is>
      </c>
      <c r="B71" s="2" t="inlineStr">
        <is>
          <t>Wednesday</t>
        </is>
      </c>
      <c r="C71" s="2" t="inlineStr">
        <is>
          <t>MNQM1</t>
        </is>
      </c>
      <c r="D71" s="3" t="n">
        <v>13665.5</v>
      </c>
      <c r="E71" s="3" t="n">
        <v>13604.25</v>
      </c>
      <c r="F71" s="3">
        <f>D71-E71</f>
        <v/>
      </c>
      <c r="G71" s="2" t="inlineStr">
        <is>
          <t>Short</t>
        </is>
      </c>
      <c r="H71" s="3" t="n">
        <v>13604.25</v>
      </c>
      <c r="I71" s="3" t="n">
        <v>13543</v>
      </c>
      <c r="J71" s="3">
        <f>IF(G71="Long",I71-H71,IF(G71="Short",H71-I71,0))</f>
        <v/>
      </c>
      <c r="K71" s="4" t="n">
        <v>0</v>
      </c>
      <c r="L71" s="2" t="inlineStr">
        <is>
          <t>Win</t>
        </is>
      </c>
      <c r="M71" s="3">
        <f>M70+J71</f>
        <v/>
      </c>
    </row>
    <row r="72">
      <c r="A72" s="5" t="inlineStr">
        <is>
          <t>2021-05-06</t>
        </is>
      </c>
      <c r="B72" s="5" t="inlineStr">
        <is>
          <t>Thursday</t>
        </is>
      </c>
      <c r="C72" s="5" t="inlineStr">
        <is>
          <t>MNQM1</t>
        </is>
      </c>
      <c r="D72" s="6" t="n">
        <v>13509</v>
      </c>
      <c r="E72" s="6" t="n">
        <v>13424.25</v>
      </c>
      <c r="F72" s="6">
        <f>D72-E72</f>
        <v/>
      </c>
      <c r="G72" s="5" t="inlineStr">
        <is>
          <t>Short</t>
        </is>
      </c>
      <c r="H72" s="6" t="n">
        <v>13424.25</v>
      </c>
      <c r="I72" s="6" t="n">
        <v>13509</v>
      </c>
      <c r="J72" s="6">
        <f>IF(G72="Long",I72-H72,IF(G72="Short",H72-I72,0))</f>
        <v/>
      </c>
      <c r="K72" s="7" t="n">
        <v>100</v>
      </c>
      <c r="L72" s="5" t="inlineStr">
        <is>
          <t>Loss</t>
        </is>
      </c>
      <c r="M72" s="6">
        <f>M71+J72</f>
        <v/>
      </c>
    </row>
    <row r="73">
      <c r="A73" s="2" t="inlineStr">
        <is>
          <t>2021-05-06</t>
        </is>
      </c>
      <c r="B73" s="2" t="inlineStr">
        <is>
          <t>Thursday</t>
        </is>
      </c>
      <c r="C73" s="2" t="inlineStr">
        <is>
          <t>MNQM1</t>
        </is>
      </c>
      <c r="D73" s="3" t="n">
        <v>13509</v>
      </c>
      <c r="E73" s="3" t="n">
        <v>13424.25</v>
      </c>
      <c r="F73" s="3">
        <f>D73-E73</f>
        <v/>
      </c>
      <c r="G73" s="2" t="inlineStr">
        <is>
          <t>Long</t>
        </is>
      </c>
      <c r="H73" s="3" t="n">
        <v>13509</v>
      </c>
      <c r="I73" s="3" t="n">
        <v>13593.75</v>
      </c>
      <c r="J73" s="3">
        <f>IF(G73="Long",I73-H73,IF(G73="Short",H73-I73,0))</f>
        <v/>
      </c>
      <c r="K73" s="4" t="n">
        <v>50.44</v>
      </c>
      <c r="L73" s="2" t="inlineStr">
        <is>
          <t>Win</t>
        </is>
      </c>
      <c r="M73" s="3">
        <f>M72+J73</f>
        <v/>
      </c>
    </row>
    <row r="74">
      <c r="A74" s="8" t="inlineStr">
        <is>
          <t>2021-05-07</t>
        </is>
      </c>
      <c r="B74" s="8" t="inlineStr">
        <is>
          <t>Friday</t>
        </is>
      </c>
      <c r="C74" s="8" t="inlineStr">
        <is>
          <t>MNQM1</t>
        </is>
      </c>
      <c r="D74" s="9" t="n">
        <v>13740.5</v>
      </c>
      <c r="E74" s="9" t="n">
        <v>13661.75</v>
      </c>
      <c r="F74" s="9">
        <f>D74-E74</f>
        <v/>
      </c>
      <c r="G74" s="8" t="inlineStr">
        <is>
          <t>Long</t>
        </is>
      </c>
      <c r="H74" s="9" t="n">
        <v>13740.5</v>
      </c>
      <c r="I74" s="9" t="n">
        <v>13706.5</v>
      </c>
      <c r="J74" s="9">
        <f>IF(G74="Long",I74-H74,IF(G74="Short",H74-I74,0))</f>
        <v/>
      </c>
      <c r="K74" s="10" t="n">
        <v>99.68000000000001</v>
      </c>
      <c r="L74" s="8" t="inlineStr">
        <is>
          <t>EOD-Close</t>
        </is>
      </c>
      <c r="M74" s="9">
        <f>M73+J74</f>
        <v/>
      </c>
    </row>
    <row r="75">
      <c r="A75" s="2" t="inlineStr">
        <is>
          <t>2021-05-10</t>
        </is>
      </c>
      <c r="B75" s="2" t="inlineStr">
        <is>
          <t>Monday</t>
        </is>
      </c>
      <c r="C75" s="2" t="inlineStr">
        <is>
          <t>MNQM1</t>
        </is>
      </c>
      <c r="D75" s="3" t="n">
        <v>13657.75</v>
      </c>
      <c r="E75" s="3" t="n">
        <v>13536</v>
      </c>
      <c r="F75" s="3">
        <f>D75-E75</f>
        <v/>
      </c>
      <c r="G75" s="2" t="inlineStr">
        <is>
          <t>Short</t>
        </is>
      </c>
      <c r="H75" s="3" t="n">
        <v>13536</v>
      </c>
      <c r="I75" s="3" t="n">
        <v>13414.25</v>
      </c>
      <c r="J75" s="3">
        <f>IF(G75="Long",I75-H75,IF(G75="Short",H75-I75,0))</f>
        <v/>
      </c>
      <c r="K75" s="4" t="n">
        <v>15.2</v>
      </c>
      <c r="L75" s="2" t="inlineStr">
        <is>
          <t>Win</t>
        </is>
      </c>
      <c r="M75" s="3">
        <f>M74+J75</f>
        <v/>
      </c>
    </row>
    <row r="76">
      <c r="A76" s="2" t="inlineStr">
        <is>
          <t>2021-05-11</t>
        </is>
      </c>
      <c r="B76" s="2" t="inlineStr">
        <is>
          <t>Tuesday</t>
        </is>
      </c>
      <c r="C76" s="2" t="inlineStr">
        <is>
          <t>MNQM1</t>
        </is>
      </c>
      <c r="D76" s="3" t="n">
        <v>13227</v>
      </c>
      <c r="E76" s="3" t="n">
        <v>13083.75</v>
      </c>
      <c r="F76" s="3">
        <f>D76-E76</f>
        <v/>
      </c>
      <c r="G76" s="2" t="inlineStr">
        <is>
          <t>Long</t>
        </is>
      </c>
      <c r="H76" s="3" t="n">
        <v>13227</v>
      </c>
      <c r="I76" s="3" t="n">
        <v>13370.25</v>
      </c>
      <c r="J76" s="3">
        <f>IF(G76="Long",I76-H76,IF(G76="Short",H76-I76,0))</f>
        <v/>
      </c>
      <c r="K76" s="4" t="n">
        <v>70.33</v>
      </c>
      <c r="L76" s="2" t="inlineStr">
        <is>
          <t>Win</t>
        </is>
      </c>
      <c r="M76" s="3">
        <f>M75+J76</f>
        <v/>
      </c>
    </row>
    <row r="77">
      <c r="A77" s="2" t="inlineStr">
        <is>
          <t>2021-05-12</t>
        </is>
      </c>
      <c r="B77" s="2" t="inlineStr">
        <is>
          <t>Wednesday</t>
        </is>
      </c>
      <c r="C77" s="2" t="inlineStr">
        <is>
          <t>MNQM1</t>
        </is>
      </c>
      <c r="D77" s="3" t="n">
        <v>13217.75</v>
      </c>
      <c r="E77" s="3" t="n">
        <v>13120.5</v>
      </c>
      <c r="F77" s="3">
        <f>D77-E77</f>
        <v/>
      </c>
      <c r="G77" s="2" t="inlineStr">
        <is>
          <t>Short</t>
        </is>
      </c>
      <c r="H77" s="3" t="n">
        <v>13120.5</v>
      </c>
      <c r="I77" s="3" t="n">
        <v>13023.25</v>
      </c>
      <c r="J77" s="3">
        <f>IF(G77="Long",I77-H77,IF(G77="Short",H77-I77,0))</f>
        <v/>
      </c>
      <c r="K77" s="4" t="n">
        <v>1.54</v>
      </c>
      <c r="L77" s="2" t="inlineStr">
        <is>
          <t>Win</t>
        </is>
      </c>
      <c r="M77" s="3">
        <f>M76+J77</f>
        <v/>
      </c>
    </row>
    <row r="78">
      <c r="A78" s="5" t="inlineStr">
        <is>
          <t>2021-05-13</t>
        </is>
      </c>
      <c r="B78" s="5" t="inlineStr">
        <is>
          <t>Thursday</t>
        </is>
      </c>
      <c r="C78" s="5" t="inlineStr">
        <is>
          <t>MNQM1</t>
        </is>
      </c>
      <c r="D78" s="6" t="n">
        <v>13168.75</v>
      </c>
      <c r="E78" s="6" t="n">
        <v>13110.25</v>
      </c>
      <c r="F78" s="6">
        <f>D78-E78</f>
        <v/>
      </c>
      <c r="G78" s="5" t="inlineStr">
        <is>
          <t>Short</t>
        </is>
      </c>
      <c r="H78" s="6" t="n">
        <v>13110.25</v>
      </c>
      <c r="I78" s="6" t="n">
        <v>13168.75</v>
      </c>
      <c r="J78" s="6">
        <f>IF(G78="Long",I78-H78,IF(G78="Short",H78-I78,0))</f>
        <v/>
      </c>
      <c r="K78" s="7" t="n">
        <v>100</v>
      </c>
      <c r="L78" s="5" t="inlineStr">
        <is>
          <t>Loss</t>
        </is>
      </c>
      <c r="M78" s="6">
        <f>M77+J78</f>
        <v/>
      </c>
    </row>
    <row r="79">
      <c r="A79" s="5" t="inlineStr">
        <is>
          <t>2021-05-13</t>
        </is>
      </c>
      <c r="B79" s="5" t="inlineStr">
        <is>
          <t>Thursday</t>
        </is>
      </c>
      <c r="C79" s="5" t="inlineStr">
        <is>
          <t>MNQM1</t>
        </is>
      </c>
      <c r="D79" s="6" t="n">
        <v>13168.75</v>
      </c>
      <c r="E79" s="6" t="n">
        <v>13110.25</v>
      </c>
      <c r="F79" s="6">
        <f>D79-E79</f>
        <v/>
      </c>
      <c r="G79" s="5" t="inlineStr">
        <is>
          <t>Long</t>
        </is>
      </c>
      <c r="H79" s="6" t="n">
        <v>13168.75</v>
      </c>
      <c r="I79" s="6" t="n">
        <v>13110.25</v>
      </c>
      <c r="J79" s="6">
        <f>IF(G79="Long",I79-H79,IF(G79="Short",H79-I79,0))</f>
        <v/>
      </c>
      <c r="K79" s="7" t="n">
        <v>100</v>
      </c>
      <c r="L79" s="5" t="inlineStr">
        <is>
          <t>Loss</t>
        </is>
      </c>
      <c r="M79" s="6">
        <f>M78+J79</f>
        <v/>
      </c>
    </row>
    <row r="80">
      <c r="A80" s="2" t="inlineStr">
        <is>
          <t>2021-05-14</t>
        </is>
      </c>
      <c r="B80" s="2" t="inlineStr">
        <is>
          <t>Friday</t>
        </is>
      </c>
      <c r="C80" s="2" t="inlineStr">
        <is>
          <t>MNQM1</t>
        </is>
      </c>
      <c r="D80" s="3" t="n">
        <v>13257.25</v>
      </c>
      <c r="E80" s="3" t="n">
        <v>13208.25</v>
      </c>
      <c r="F80" s="3">
        <f>D80-E80</f>
        <v/>
      </c>
      <c r="G80" s="2" t="inlineStr">
        <is>
          <t>Long</t>
        </is>
      </c>
      <c r="H80" s="3" t="n">
        <v>13257.25</v>
      </c>
      <c r="I80" s="3" t="n">
        <v>13306.25</v>
      </c>
      <c r="J80" s="3">
        <f>IF(G80="Long",I80-H80,IF(G80="Short",H80-I80,0))</f>
        <v/>
      </c>
      <c r="K80" s="4" t="n">
        <v>51.02</v>
      </c>
      <c r="L80" s="2" t="inlineStr">
        <is>
          <t>Win</t>
        </is>
      </c>
      <c r="M80" s="3">
        <f>M79+J80</f>
        <v/>
      </c>
    </row>
    <row r="81">
      <c r="A81" s="2" t="inlineStr">
        <is>
          <t>2021-05-17</t>
        </is>
      </c>
      <c r="B81" s="2" t="inlineStr">
        <is>
          <t>Monday</t>
        </is>
      </c>
      <c r="C81" s="2" t="inlineStr">
        <is>
          <t>MNQM1</t>
        </is>
      </c>
      <c r="D81" s="3" t="n">
        <v>13341.5</v>
      </c>
      <c r="E81" s="3" t="n">
        <v>13263.25</v>
      </c>
      <c r="F81" s="3">
        <f>D81-E81</f>
        <v/>
      </c>
      <c r="G81" s="2" t="inlineStr">
        <is>
          <t>Short</t>
        </is>
      </c>
      <c r="H81" s="3" t="n">
        <v>13263.25</v>
      </c>
      <c r="I81" s="3" t="n">
        <v>13185</v>
      </c>
      <c r="J81" s="3">
        <f>IF(G81="Long",I81-H81,IF(G81="Short",H81-I81,0))</f>
        <v/>
      </c>
      <c r="K81" s="4" t="n">
        <v>83.06999999999999</v>
      </c>
      <c r="L81" s="2" t="inlineStr">
        <is>
          <t>Win</t>
        </is>
      </c>
      <c r="M81" s="3">
        <f>M80+J81</f>
        <v/>
      </c>
    </row>
    <row r="82">
      <c r="A82" s="8" t="inlineStr">
        <is>
          <t>2021-05-17</t>
        </is>
      </c>
      <c r="B82" s="8" t="inlineStr">
        <is>
          <t>Monday</t>
        </is>
      </c>
      <c r="C82" s="8" t="inlineStr">
        <is>
          <t>MNQM1</t>
        </is>
      </c>
      <c r="D82" s="9" t="n">
        <v>13341.5</v>
      </c>
      <c r="E82" s="9" t="n">
        <v>13263.25</v>
      </c>
      <c r="F82" s="9">
        <f>D82-E82</f>
        <v/>
      </c>
      <c r="G82" s="8" t="inlineStr">
        <is>
          <t>Short</t>
        </is>
      </c>
      <c r="H82" s="9" t="n">
        <v>13263.25</v>
      </c>
      <c r="I82" s="9" t="n">
        <v>13305.75</v>
      </c>
      <c r="J82" s="9">
        <f>IF(G82="Long",I82-H82,IF(G82="Short",H82-I82,0))</f>
        <v/>
      </c>
      <c r="K82" s="10" t="n">
        <v>55.27</v>
      </c>
      <c r="L82" s="8" t="inlineStr">
        <is>
          <t>EOD-Close</t>
        </is>
      </c>
      <c r="M82" s="9">
        <f>M81+J82</f>
        <v/>
      </c>
    </row>
    <row r="83">
      <c r="A83" s="5" t="inlineStr">
        <is>
          <t>2021-05-18</t>
        </is>
      </c>
      <c r="B83" s="5" t="inlineStr">
        <is>
          <t>Tuesday</t>
        </is>
      </c>
      <c r="C83" s="5" t="inlineStr">
        <is>
          <t>MNQM1</t>
        </is>
      </c>
      <c r="D83" s="6" t="n">
        <v>13361.75</v>
      </c>
      <c r="E83" s="6" t="n">
        <v>13313.5</v>
      </c>
      <c r="F83" s="6">
        <f>D83-E83</f>
        <v/>
      </c>
      <c r="G83" s="5" t="inlineStr">
        <is>
          <t>Long</t>
        </is>
      </c>
      <c r="H83" s="6" t="n">
        <v>13361.75</v>
      </c>
      <c r="I83" s="6" t="n">
        <v>13313.5</v>
      </c>
      <c r="J83" s="6">
        <f>IF(G83="Long",I83-H83,IF(G83="Short",H83-I83,0))</f>
        <v/>
      </c>
      <c r="K83" s="7" t="n">
        <v>100</v>
      </c>
      <c r="L83" s="5" t="inlineStr">
        <is>
          <t>Loss</t>
        </is>
      </c>
      <c r="M83" s="6">
        <f>M82+J83</f>
        <v/>
      </c>
    </row>
    <row r="84">
      <c r="A84" s="2" t="inlineStr">
        <is>
          <t>2021-05-18</t>
        </is>
      </c>
      <c r="B84" s="2" t="inlineStr">
        <is>
          <t>Tuesday</t>
        </is>
      </c>
      <c r="C84" s="2" t="inlineStr">
        <is>
          <t>MNQM1</t>
        </is>
      </c>
      <c r="D84" s="3" t="n">
        <v>13361.75</v>
      </c>
      <c r="E84" s="3" t="n">
        <v>13313.5</v>
      </c>
      <c r="F84" s="3">
        <f>D84-E84</f>
        <v/>
      </c>
      <c r="G84" s="2" t="inlineStr">
        <is>
          <t>Short</t>
        </is>
      </c>
      <c r="H84" s="3" t="n">
        <v>13313.5</v>
      </c>
      <c r="I84" s="3" t="n">
        <v>13265.25</v>
      </c>
      <c r="J84" s="3">
        <f>IF(G84="Long",I84-H84,IF(G84="Short",H84-I84,0))</f>
        <v/>
      </c>
      <c r="K84" s="4" t="n">
        <v>1.55</v>
      </c>
      <c r="L84" s="2" t="inlineStr">
        <is>
          <t>Win</t>
        </is>
      </c>
      <c r="M84" s="3">
        <f>M83+J84</f>
        <v/>
      </c>
    </row>
    <row r="85">
      <c r="A85" s="2" t="inlineStr">
        <is>
          <t>2021-05-19</t>
        </is>
      </c>
      <c r="B85" s="2" t="inlineStr">
        <is>
          <t>Wednesday</t>
        </is>
      </c>
      <c r="C85" s="2" t="inlineStr">
        <is>
          <t>MNQM1</t>
        </is>
      </c>
      <c r="D85" s="3" t="n">
        <v>13065</v>
      </c>
      <c r="E85" s="3" t="n">
        <v>12969.5</v>
      </c>
      <c r="F85" s="3">
        <f>D85-E85</f>
        <v/>
      </c>
      <c r="G85" s="2" t="inlineStr">
        <is>
          <t>Long</t>
        </is>
      </c>
      <c r="H85" s="3" t="n">
        <v>13065</v>
      </c>
      <c r="I85" s="3" t="n">
        <v>13160.5</v>
      </c>
      <c r="J85" s="3">
        <f>IF(G85="Long",I85-H85,IF(G85="Short",H85-I85,0))</f>
        <v/>
      </c>
      <c r="K85" s="4" t="n">
        <v>21.99</v>
      </c>
      <c r="L85" s="2" t="inlineStr">
        <is>
          <t>Win</t>
        </is>
      </c>
      <c r="M85" s="3">
        <f>M84+J85</f>
        <v/>
      </c>
    </row>
    <row r="86">
      <c r="A86" s="2" t="inlineStr">
        <is>
          <t>2021-05-20</t>
        </is>
      </c>
      <c r="B86" s="2" t="inlineStr">
        <is>
          <t>Thursday</t>
        </is>
      </c>
      <c r="C86" s="2" t="inlineStr">
        <is>
          <t>MNQM1</t>
        </is>
      </c>
      <c r="D86" s="3" t="n">
        <v>13393</v>
      </c>
      <c r="E86" s="3" t="n">
        <v>13281.5</v>
      </c>
      <c r="F86" s="3">
        <f>D86-E86</f>
        <v/>
      </c>
      <c r="G86" s="2" t="inlineStr">
        <is>
          <t>Long</t>
        </is>
      </c>
      <c r="H86" s="3" t="n">
        <v>13393</v>
      </c>
      <c r="I86" s="3" t="n">
        <v>13504.5</v>
      </c>
      <c r="J86" s="3">
        <f>IF(G86="Long",I86-H86,IF(G86="Short",H86-I86,0))</f>
        <v/>
      </c>
      <c r="K86" s="4" t="n">
        <v>0</v>
      </c>
      <c r="L86" s="2" t="inlineStr">
        <is>
          <t>Win</t>
        </is>
      </c>
      <c r="M86" s="3">
        <f>M85+J86</f>
        <v/>
      </c>
    </row>
    <row r="87">
      <c r="A87" s="2" t="inlineStr">
        <is>
          <t>2021-05-21</t>
        </is>
      </c>
      <c r="B87" s="2" t="inlineStr">
        <is>
          <t>Friday</t>
        </is>
      </c>
      <c r="C87" s="2" t="inlineStr">
        <is>
          <t>MNQM1</t>
        </is>
      </c>
      <c r="D87" s="3" t="n">
        <v>13569.75</v>
      </c>
      <c r="E87" s="3" t="n">
        <v>13498.75</v>
      </c>
      <c r="F87" s="3">
        <f>D87-E87</f>
        <v/>
      </c>
      <c r="G87" s="2" t="inlineStr">
        <is>
          <t>Short</t>
        </is>
      </c>
      <c r="H87" s="3" t="n">
        <v>13498.75</v>
      </c>
      <c r="I87" s="3" t="n">
        <v>13427.75</v>
      </c>
      <c r="J87" s="3">
        <f>IF(G87="Long",I87-H87,IF(G87="Short",H87-I87,0))</f>
        <v/>
      </c>
      <c r="K87" s="4" t="n">
        <v>13.03</v>
      </c>
      <c r="L87" s="2" t="inlineStr">
        <is>
          <t>Win</t>
        </is>
      </c>
      <c r="M87" s="3">
        <f>M86+J87</f>
        <v/>
      </c>
    </row>
    <row r="88">
      <c r="A88" s="2" t="inlineStr">
        <is>
          <t>2021-05-24</t>
        </is>
      </c>
      <c r="B88" s="2" t="inlineStr">
        <is>
          <t>Monday</t>
        </is>
      </c>
      <c r="C88" s="2" t="inlineStr">
        <is>
          <t>MNQM1</t>
        </is>
      </c>
      <c r="D88" s="3" t="n">
        <v>13583.5</v>
      </c>
      <c r="E88" s="3" t="n">
        <v>13493</v>
      </c>
      <c r="F88" s="3">
        <f>D88-E88</f>
        <v/>
      </c>
      <c r="G88" s="2" t="inlineStr">
        <is>
          <t>Long</t>
        </is>
      </c>
      <c r="H88" s="3" t="n">
        <v>13583.5</v>
      </c>
      <c r="I88" s="3" t="n">
        <v>13674</v>
      </c>
      <c r="J88" s="3">
        <f>IF(G88="Long",I88-H88,IF(G88="Short",H88-I88,0))</f>
        <v/>
      </c>
      <c r="K88" s="4" t="n">
        <v>0</v>
      </c>
      <c r="L88" s="2" t="inlineStr">
        <is>
          <t>Win</t>
        </is>
      </c>
      <c r="M88" s="3">
        <f>M87+J88</f>
        <v/>
      </c>
    </row>
    <row r="89">
      <c r="A89" s="2" t="inlineStr">
        <is>
          <t>2021-05-25</t>
        </is>
      </c>
      <c r="B89" s="2" t="inlineStr">
        <is>
          <t>Tuesday</t>
        </is>
      </c>
      <c r="C89" s="2" t="inlineStr">
        <is>
          <t>MNQM1</t>
        </is>
      </c>
      <c r="D89" s="3" t="n">
        <v>13732.25</v>
      </c>
      <c r="E89" s="3" t="n">
        <v>13670.5</v>
      </c>
      <c r="F89" s="3">
        <f>D89-E89</f>
        <v/>
      </c>
      <c r="G89" s="2" t="inlineStr">
        <is>
          <t>Short</t>
        </is>
      </c>
      <c r="H89" s="3" t="n">
        <v>13670.5</v>
      </c>
      <c r="I89" s="3" t="n">
        <v>13608.75</v>
      </c>
      <c r="J89" s="3">
        <f>IF(G89="Long",I89-H89,IF(G89="Short",H89-I89,0))</f>
        <v/>
      </c>
      <c r="K89" s="4" t="n">
        <v>25.91</v>
      </c>
      <c r="L89" s="2" t="inlineStr">
        <is>
          <t>Win</t>
        </is>
      </c>
      <c r="M89" s="3">
        <f>M88+J89</f>
        <v/>
      </c>
    </row>
    <row r="90">
      <c r="A90" s="5" t="inlineStr">
        <is>
          <t>2021-05-26</t>
        </is>
      </c>
      <c r="B90" s="5" t="inlineStr">
        <is>
          <t>Wednesday</t>
        </is>
      </c>
      <c r="C90" s="5" t="inlineStr">
        <is>
          <t>MNQM1</t>
        </is>
      </c>
      <c r="D90" s="6" t="n">
        <v>13708.75</v>
      </c>
      <c r="E90" s="6" t="n">
        <v>13672</v>
      </c>
      <c r="F90" s="6">
        <f>D90-E90</f>
        <v/>
      </c>
      <c r="G90" s="5" t="inlineStr">
        <is>
          <t>Short</t>
        </is>
      </c>
      <c r="H90" s="6" t="n">
        <v>13672</v>
      </c>
      <c r="I90" s="6" t="n">
        <v>13708.75</v>
      </c>
      <c r="J90" s="6">
        <f>IF(G90="Long",I90-H90,IF(G90="Short",H90-I90,0))</f>
        <v/>
      </c>
      <c r="K90" s="7" t="n">
        <v>100</v>
      </c>
      <c r="L90" s="5" t="inlineStr">
        <is>
          <t>Loss</t>
        </is>
      </c>
      <c r="M90" s="6">
        <f>M89+J90</f>
        <v/>
      </c>
    </row>
    <row r="91">
      <c r="A91" s="8" t="inlineStr">
        <is>
          <t>2021-05-26</t>
        </is>
      </c>
      <c r="B91" s="8" t="inlineStr">
        <is>
          <t>Wednesday</t>
        </is>
      </c>
      <c r="C91" s="8" t="inlineStr">
        <is>
          <t>MNQM1</t>
        </is>
      </c>
      <c r="D91" s="9" t="n">
        <v>13708.75</v>
      </c>
      <c r="E91" s="9" t="n">
        <v>13672</v>
      </c>
      <c r="F91" s="9">
        <f>D91-E91</f>
        <v/>
      </c>
      <c r="G91" s="8" t="inlineStr">
        <is>
          <t>Long</t>
        </is>
      </c>
      <c r="H91" s="9" t="n">
        <v>13708.75</v>
      </c>
      <c r="I91" s="9" t="n">
        <v>13701.75</v>
      </c>
      <c r="J91" s="9">
        <f>IF(G91="Long",I91-H91,IF(G91="Short",H91-I91,0))</f>
        <v/>
      </c>
      <c r="K91" s="10" t="n">
        <v>89.8</v>
      </c>
      <c r="L91" s="8" t="inlineStr">
        <is>
          <t>EOD-Close</t>
        </is>
      </c>
      <c r="M91" s="9">
        <f>M90+J91</f>
        <v/>
      </c>
    </row>
    <row r="92">
      <c r="A92" s="5" t="inlineStr">
        <is>
          <t>2021-05-27</t>
        </is>
      </c>
      <c r="B92" s="5" t="inlineStr">
        <is>
          <t>Thursday</t>
        </is>
      </c>
      <c r="C92" s="5" t="inlineStr">
        <is>
          <t>MNQM1</t>
        </is>
      </c>
      <c r="D92" s="6" t="n">
        <v>13695.25</v>
      </c>
      <c r="E92" s="6" t="n">
        <v>13653</v>
      </c>
      <c r="F92" s="6">
        <f>D92-E92</f>
        <v/>
      </c>
      <c r="G92" s="5" t="inlineStr">
        <is>
          <t>Short</t>
        </is>
      </c>
      <c r="H92" s="6" t="n">
        <v>13653</v>
      </c>
      <c r="I92" s="6" t="n">
        <v>13695.25</v>
      </c>
      <c r="J92" s="6">
        <f>IF(G92="Long",I92-H92,IF(G92="Short",H92-I92,0))</f>
        <v/>
      </c>
      <c r="K92" s="7" t="n">
        <v>100</v>
      </c>
      <c r="L92" s="5" t="inlineStr">
        <is>
          <t>Loss</t>
        </is>
      </c>
      <c r="M92" s="6">
        <f>M91+J92</f>
        <v/>
      </c>
    </row>
    <row r="93">
      <c r="A93" s="5" t="inlineStr">
        <is>
          <t>2021-05-27</t>
        </is>
      </c>
      <c r="B93" s="5" t="inlineStr">
        <is>
          <t>Thursday</t>
        </is>
      </c>
      <c r="C93" s="5" t="inlineStr">
        <is>
          <t>MNQM1</t>
        </is>
      </c>
      <c r="D93" s="6" t="n">
        <v>13695.25</v>
      </c>
      <c r="E93" s="6" t="n">
        <v>13653</v>
      </c>
      <c r="F93" s="6">
        <f>D93-E93</f>
        <v/>
      </c>
      <c r="G93" s="5" t="inlineStr">
        <is>
          <t>Long</t>
        </is>
      </c>
      <c r="H93" s="6" t="n">
        <v>13695.25</v>
      </c>
      <c r="I93" s="6" t="n">
        <v>13653</v>
      </c>
      <c r="J93" s="6">
        <f>IF(G93="Long",I93-H93,IF(G93="Short",H93-I93,0))</f>
        <v/>
      </c>
      <c r="K93" s="7" t="n">
        <v>100</v>
      </c>
      <c r="L93" s="5" t="inlineStr">
        <is>
          <t>Loss</t>
        </is>
      </c>
      <c r="M93" s="6">
        <f>M92+J93</f>
        <v/>
      </c>
    </row>
    <row r="94">
      <c r="A94" s="5" t="inlineStr">
        <is>
          <t>2021-05-28</t>
        </is>
      </c>
      <c r="B94" s="5" t="inlineStr">
        <is>
          <t>Friday</t>
        </is>
      </c>
      <c r="C94" s="5" t="inlineStr">
        <is>
          <t>MNQM1</t>
        </is>
      </c>
      <c r="D94" s="6" t="n">
        <v>13739.75</v>
      </c>
      <c r="E94" s="6" t="n">
        <v>13695.75</v>
      </c>
      <c r="F94" s="6">
        <f>D94-E94</f>
        <v/>
      </c>
      <c r="G94" s="5" t="inlineStr">
        <is>
          <t>Long</t>
        </is>
      </c>
      <c r="H94" s="6" t="n">
        <v>13739.75</v>
      </c>
      <c r="I94" s="6" t="n">
        <v>13695.75</v>
      </c>
      <c r="J94" s="6">
        <f>IF(G94="Long",I94-H94,IF(G94="Short",H94-I94,0))</f>
        <v/>
      </c>
      <c r="K94" s="7" t="n">
        <v>100</v>
      </c>
      <c r="L94" s="5" t="inlineStr">
        <is>
          <t>Loss</t>
        </is>
      </c>
      <c r="M94" s="6">
        <f>M93+J94</f>
        <v/>
      </c>
    </row>
    <row r="95">
      <c r="A95" s="8" t="inlineStr">
        <is>
          <t>2021-05-28</t>
        </is>
      </c>
      <c r="B95" s="8" t="inlineStr">
        <is>
          <t>Friday</t>
        </is>
      </c>
      <c r="C95" s="8" t="inlineStr">
        <is>
          <t>MNQM1</t>
        </is>
      </c>
      <c r="D95" s="9" t="n">
        <v>13739.75</v>
      </c>
      <c r="E95" s="9" t="n">
        <v>13695.75</v>
      </c>
      <c r="F95" s="9">
        <f>D95-E95</f>
        <v/>
      </c>
      <c r="G95" s="8" t="inlineStr">
        <is>
          <t>Short</t>
        </is>
      </c>
      <c r="H95" s="9" t="n">
        <v>13695.75</v>
      </c>
      <c r="I95" s="9" t="n">
        <v>13690.5</v>
      </c>
      <c r="J95" s="9">
        <f>IF(G95="Long",I95-H95,IF(G95="Short",H95-I95,0))</f>
        <v/>
      </c>
      <c r="K95" s="10" t="n">
        <v>1.7</v>
      </c>
      <c r="L95" s="8" t="inlineStr">
        <is>
          <t>EOD-Close</t>
        </is>
      </c>
      <c r="M95" s="9">
        <f>M94+J95</f>
        <v/>
      </c>
    </row>
    <row r="96">
      <c r="A96" s="2" t="inlineStr">
        <is>
          <t>2021-05-31</t>
        </is>
      </c>
      <c r="B96" s="2" t="inlineStr">
        <is>
          <t>Monday</t>
        </is>
      </c>
      <c r="C96" s="2" t="inlineStr">
        <is>
          <t>MNQM1</t>
        </is>
      </c>
      <c r="D96" s="3" t="n">
        <v>13680.25</v>
      </c>
      <c r="E96" s="3" t="n">
        <v>13668.75</v>
      </c>
      <c r="F96" s="3">
        <f>D96-E96</f>
        <v/>
      </c>
      <c r="G96" s="2" t="inlineStr">
        <is>
          <t>Short</t>
        </is>
      </c>
      <c r="H96" s="3" t="n">
        <v>13668.75</v>
      </c>
      <c r="I96" s="3" t="n">
        <v>13657.25</v>
      </c>
      <c r="J96" s="3">
        <f>IF(G96="Long",I96-H96,IF(G96="Short",H96-I96,0))</f>
        <v/>
      </c>
      <c r="K96" s="4" t="n">
        <v>78.26000000000001</v>
      </c>
      <c r="L96" s="2" t="inlineStr">
        <is>
          <t>Win</t>
        </is>
      </c>
      <c r="M96" s="3">
        <f>M95+J96</f>
        <v/>
      </c>
    </row>
    <row r="97">
      <c r="A97" s="2" t="inlineStr">
        <is>
          <t>2021-05-31</t>
        </is>
      </c>
      <c r="B97" s="2" t="inlineStr">
        <is>
          <t>Monday</t>
        </is>
      </c>
      <c r="C97" s="2" t="inlineStr">
        <is>
          <t>MNQM1</t>
        </is>
      </c>
      <c r="D97" s="3" t="n">
        <v>13680.25</v>
      </c>
      <c r="E97" s="3" t="n">
        <v>13668.75</v>
      </c>
      <c r="F97" s="3">
        <f>D97-E97</f>
        <v/>
      </c>
      <c r="G97" s="2" t="inlineStr">
        <is>
          <t>Short</t>
        </is>
      </c>
      <c r="H97" s="3" t="n">
        <v>13668.75</v>
      </c>
      <c r="I97" s="3" t="n">
        <v>13657.25</v>
      </c>
      <c r="J97" s="3">
        <f>IF(G97="Long",I97-H97,IF(G97="Short",H97-I97,0))</f>
        <v/>
      </c>
      <c r="K97" s="4" t="n">
        <v>0</v>
      </c>
      <c r="L97" s="2" t="inlineStr">
        <is>
          <t>Win</t>
        </is>
      </c>
      <c r="M97" s="3">
        <f>M96+J97</f>
        <v/>
      </c>
    </row>
    <row r="98">
      <c r="A98" s="2" t="inlineStr">
        <is>
          <t>2021-06-01</t>
        </is>
      </c>
      <c r="B98" s="2" t="inlineStr">
        <is>
          <t>Tuesday</t>
        </is>
      </c>
      <c r="C98" s="2" t="inlineStr">
        <is>
          <t>MNQM1</t>
        </is>
      </c>
      <c r="D98" s="3" t="n">
        <v>13773</v>
      </c>
      <c r="E98" s="3" t="n">
        <v>13739</v>
      </c>
      <c r="F98" s="3">
        <f>D98-E98</f>
        <v/>
      </c>
      <c r="G98" s="2" t="inlineStr">
        <is>
          <t>Short</t>
        </is>
      </c>
      <c r="H98" s="3" t="n">
        <v>13739</v>
      </c>
      <c r="I98" s="3" t="n">
        <v>13705</v>
      </c>
      <c r="J98" s="3">
        <f>IF(G98="Long",I98-H98,IF(G98="Short",H98-I98,0))</f>
        <v/>
      </c>
      <c r="K98" s="4" t="n">
        <v>0.74</v>
      </c>
      <c r="L98" s="2" t="inlineStr">
        <is>
          <t>Win</t>
        </is>
      </c>
      <c r="M98" s="3">
        <f>M97+J98</f>
        <v/>
      </c>
    </row>
    <row r="99">
      <c r="A99" s="5" t="inlineStr">
        <is>
          <t>2021-06-02</t>
        </is>
      </c>
      <c r="B99" s="5" t="inlineStr">
        <is>
          <t>Wednesday</t>
        </is>
      </c>
      <c r="C99" s="5" t="inlineStr">
        <is>
          <t>MNQM1</t>
        </is>
      </c>
      <c r="D99" s="6" t="n">
        <v>13687.75</v>
      </c>
      <c r="E99" s="6" t="n">
        <v>13651.25</v>
      </c>
      <c r="F99" s="6">
        <f>D99-E99</f>
        <v/>
      </c>
      <c r="G99" s="5" t="inlineStr">
        <is>
          <t>Long</t>
        </is>
      </c>
      <c r="H99" s="6" t="n">
        <v>13687.75</v>
      </c>
      <c r="I99" s="6" t="n">
        <v>13651.25</v>
      </c>
      <c r="J99" s="6">
        <f>IF(G99="Long",I99-H99,IF(G99="Short",H99-I99,0))</f>
        <v/>
      </c>
      <c r="K99" s="7" t="n">
        <v>100</v>
      </c>
      <c r="L99" s="5" t="inlineStr">
        <is>
          <t>Loss</t>
        </is>
      </c>
      <c r="M99" s="6">
        <f>M98+J99</f>
        <v/>
      </c>
    </row>
    <row r="100">
      <c r="A100" s="2" t="inlineStr">
        <is>
          <t>2021-06-02</t>
        </is>
      </c>
      <c r="B100" s="2" t="inlineStr">
        <is>
          <t>Wednesday</t>
        </is>
      </c>
      <c r="C100" s="2" t="inlineStr">
        <is>
          <t>MNQM1</t>
        </is>
      </c>
      <c r="D100" s="3" t="n">
        <v>13687.75</v>
      </c>
      <c r="E100" s="3" t="n">
        <v>13651.25</v>
      </c>
      <c r="F100" s="3">
        <f>D100-E100</f>
        <v/>
      </c>
      <c r="G100" s="2" t="inlineStr">
        <is>
          <t>Short</t>
        </is>
      </c>
      <c r="H100" s="3" t="n">
        <v>13651.25</v>
      </c>
      <c r="I100" s="3" t="n">
        <v>13614.75</v>
      </c>
      <c r="J100" s="3">
        <f>IF(G100="Long",I100-H100,IF(G100="Short",H100-I100,0))</f>
        <v/>
      </c>
      <c r="K100" s="4" t="n">
        <v>0</v>
      </c>
      <c r="L100" s="2" t="inlineStr">
        <is>
          <t>Win</t>
        </is>
      </c>
      <c r="M100" s="3">
        <f>M99+J100</f>
        <v/>
      </c>
    </row>
    <row r="101">
      <c r="A101" s="5" t="inlineStr">
        <is>
          <t>2021-06-03</t>
        </is>
      </c>
      <c r="B101" s="5" t="inlineStr">
        <is>
          <t>Thursday</t>
        </is>
      </c>
      <c r="C101" s="5" t="inlineStr">
        <is>
          <t>MNQM1</t>
        </is>
      </c>
      <c r="D101" s="6" t="n">
        <v>13570.75</v>
      </c>
      <c r="E101" s="6" t="n">
        <v>13488.5</v>
      </c>
      <c r="F101" s="6">
        <f>D101-E101</f>
        <v/>
      </c>
      <c r="G101" s="5" t="inlineStr">
        <is>
          <t>Short</t>
        </is>
      </c>
      <c r="H101" s="6" t="n">
        <v>13488.5</v>
      </c>
      <c r="I101" s="6" t="n">
        <v>13570.75</v>
      </c>
      <c r="J101" s="6">
        <f>IF(G101="Long",I101-H101,IF(G101="Short",H101-I101,0))</f>
        <v/>
      </c>
      <c r="K101" s="7" t="n">
        <v>100</v>
      </c>
      <c r="L101" s="5" t="inlineStr">
        <is>
          <t>Loss</t>
        </is>
      </c>
      <c r="M101" s="6">
        <f>M100+J101</f>
        <v/>
      </c>
    </row>
    <row r="102">
      <c r="A102" s="8" t="inlineStr">
        <is>
          <t>2021-06-03</t>
        </is>
      </c>
      <c r="B102" s="8" t="inlineStr">
        <is>
          <t>Thursday</t>
        </is>
      </c>
      <c r="C102" s="8" t="inlineStr">
        <is>
          <t>MNQM1</t>
        </is>
      </c>
      <c r="D102" s="9" t="n">
        <v>13570.75</v>
      </c>
      <c r="E102" s="9" t="n">
        <v>13488.5</v>
      </c>
      <c r="F102" s="9">
        <f>D102-E102</f>
        <v/>
      </c>
      <c r="G102" s="8" t="inlineStr">
        <is>
          <t>Long</t>
        </is>
      </c>
      <c r="H102" s="9" t="n">
        <v>13570.75</v>
      </c>
      <c r="I102" s="9" t="n">
        <v>13528</v>
      </c>
      <c r="J102" s="9">
        <f>IF(G102="Long",I102-H102,IF(G102="Short",H102-I102,0))</f>
        <v/>
      </c>
      <c r="K102" s="10" t="n">
        <v>62.31</v>
      </c>
      <c r="L102" s="8" t="inlineStr">
        <is>
          <t>EOD-Close</t>
        </is>
      </c>
      <c r="M102" s="9">
        <f>M101+J102</f>
        <v/>
      </c>
    </row>
    <row r="103">
      <c r="A103" s="2" t="inlineStr">
        <is>
          <t>2021-06-04</t>
        </is>
      </c>
      <c r="B103" s="2" t="inlineStr">
        <is>
          <t>Friday</t>
        </is>
      </c>
      <c r="C103" s="2" t="inlineStr">
        <is>
          <t>MNQM1</t>
        </is>
      </c>
      <c r="D103" s="3" t="n">
        <v>13683</v>
      </c>
      <c r="E103" s="3" t="n">
        <v>13605.5</v>
      </c>
      <c r="F103" s="3">
        <f>D103-E103</f>
        <v/>
      </c>
      <c r="G103" s="2" t="inlineStr">
        <is>
          <t>Long</t>
        </is>
      </c>
      <c r="H103" s="3" t="n">
        <v>13683</v>
      </c>
      <c r="I103" s="3" t="n">
        <v>13760.5</v>
      </c>
      <c r="J103" s="3">
        <f>IF(G103="Long",I103-H103,IF(G103="Short",H103-I103,0))</f>
        <v/>
      </c>
      <c r="K103" s="4" t="n">
        <v>0</v>
      </c>
      <c r="L103" s="2" t="inlineStr">
        <is>
          <t>Win</t>
        </is>
      </c>
      <c r="M103" s="3">
        <f>M102+J103</f>
        <v/>
      </c>
    </row>
    <row r="104">
      <c r="A104" s="5" t="inlineStr">
        <is>
          <t>2021-06-07</t>
        </is>
      </c>
      <c r="B104" s="5" t="inlineStr">
        <is>
          <t>Monday</t>
        </is>
      </c>
      <c r="C104" s="5" t="inlineStr">
        <is>
          <t>MNQM1</t>
        </is>
      </c>
      <c r="D104" s="6" t="n">
        <v>13764.75</v>
      </c>
      <c r="E104" s="6" t="n">
        <v>13720.75</v>
      </c>
      <c r="F104" s="6">
        <f>D104-E104</f>
        <v/>
      </c>
      <c r="G104" s="5" t="inlineStr">
        <is>
          <t>Short</t>
        </is>
      </c>
      <c r="H104" s="6" t="n">
        <v>13720.75</v>
      </c>
      <c r="I104" s="6" t="n">
        <v>13764.75</v>
      </c>
      <c r="J104" s="6">
        <f>IF(G104="Long",I104-H104,IF(G104="Short",H104-I104,0))</f>
        <v/>
      </c>
      <c r="K104" s="7" t="n">
        <v>100</v>
      </c>
      <c r="L104" s="5" t="inlineStr">
        <is>
          <t>Loss</t>
        </is>
      </c>
      <c r="M104" s="6">
        <f>M103+J104</f>
        <v/>
      </c>
    </row>
    <row r="105">
      <c r="A105" s="8" t="inlineStr">
        <is>
          <t>2021-06-07</t>
        </is>
      </c>
      <c r="B105" s="8" t="inlineStr">
        <is>
          <t>Monday</t>
        </is>
      </c>
      <c r="C105" s="8" t="inlineStr">
        <is>
          <t>MNQM1</t>
        </is>
      </c>
      <c r="D105" s="9" t="n">
        <v>13764.75</v>
      </c>
      <c r="E105" s="9" t="n">
        <v>13720.75</v>
      </c>
      <c r="F105" s="9">
        <f>D105-E105</f>
        <v/>
      </c>
      <c r="G105" s="8" t="inlineStr">
        <is>
          <t>Long</t>
        </is>
      </c>
      <c r="H105" s="9" t="n">
        <v>13764.75</v>
      </c>
      <c r="I105" s="9" t="n">
        <v>13802</v>
      </c>
      <c r="J105" s="9">
        <f>IF(G105="Long",I105-H105,IF(G105="Short",H105-I105,0))</f>
        <v/>
      </c>
      <c r="K105" s="10" t="n">
        <v>0</v>
      </c>
      <c r="L105" s="8" t="inlineStr">
        <is>
          <t>EOD-Close</t>
        </is>
      </c>
      <c r="M105" s="9">
        <f>M104+J105</f>
        <v/>
      </c>
    </row>
    <row r="106">
      <c r="A106" s="2" t="inlineStr">
        <is>
          <t>2021-06-08</t>
        </is>
      </c>
      <c r="B106" s="2" t="inlineStr">
        <is>
          <t>Tuesday</t>
        </is>
      </c>
      <c r="C106" s="2" t="inlineStr">
        <is>
          <t>MNQM1</t>
        </is>
      </c>
      <c r="D106" s="3" t="n">
        <v>13916.75</v>
      </c>
      <c r="E106" s="3" t="n">
        <v>13863</v>
      </c>
      <c r="F106" s="3">
        <f>D106-E106</f>
        <v/>
      </c>
      <c r="G106" s="2" t="inlineStr">
        <is>
          <t>Short</t>
        </is>
      </c>
      <c r="H106" s="3" t="n">
        <v>13863</v>
      </c>
      <c r="I106" s="3" t="n">
        <v>13809.25</v>
      </c>
      <c r="J106" s="3">
        <f>IF(G106="Long",I106-H106,IF(G106="Short",H106-I106,0))</f>
        <v/>
      </c>
      <c r="K106" s="4" t="n">
        <v>0</v>
      </c>
      <c r="L106" s="2" t="inlineStr">
        <is>
          <t>Win</t>
        </is>
      </c>
      <c r="M106" s="3">
        <f>M105+J106</f>
        <v/>
      </c>
    </row>
    <row r="107">
      <c r="A107" s="2" t="inlineStr">
        <is>
          <t>2021-06-09</t>
        </is>
      </c>
      <c r="B107" s="2" t="inlineStr">
        <is>
          <t>Wednesday</t>
        </is>
      </c>
      <c r="C107" s="2" t="inlineStr">
        <is>
          <t>MNQM1</t>
        </is>
      </c>
      <c r="D107" s="3" t="n">
        <v>13891</v>
      </c>
      <c r="E107" s="3" t="n">
        <v>13858</v>
      </c>
      <c r="F107" s="3">
        <f>D107-E107</f>
        <v/>
      </c>
      <c r="G107" s="2" t="inlineStr">
        <is>
          <t>Short</t>
        </is>
      </c>
      <c r="H107" s="3" t="n">
        <v>13858</v>
      </c>
      <c r="I107" s="3" t="n">
        <v>13825</v>
      </c>
      <c r="J107" s="3">
        <f>IF(G107="Long",I107-H107,IF(G107="Short",H107-I107,0))</f>
        <v/>
      </c>
      <c r="K107" s="4" t="n">
        <v>68.18000000000001</v>
      </c>
      <c r="L107" s="2" t="inlineStr">
        <is>
          <t>Win</t>
        </is>
      </c>
      <c r="M107" s="3">
        <f>M106+J107</f>
        <v/>
      </c>
    </row>
    <row r="108">
      <c r="A108" s="2" t="inlineStr">
        <is>
          <t>2021-06-09</t>
        </is>
      </c>
      <c r="B108" s="2" t="inlineStr">
        <is>
          <t>Wednesday</t>
        </is>
      </c>
      <c r="C108" s="2" t="inlineStr">
        <is>
          <t>MNQM1</t>
        </is>
      </c>
      <c r="D108" s="3" t="n">
        <v>13891</v>
      </c>
      <c r="E108" s="3" t="n">
        <v>13858</v>
      </c>
      <c r="F108" s="3">
        <f>D108-E108</f>
        <v/>
      </c>
      <c r="G108" s="2" t="inlineStr">
        <is>
          <t>Short</t>
        </is>
      </c>
      <c r="H108" s="3" t="n">
        <v>13858</v>
      </c>
      <c r="I108" s="3" t="n">
        <v>13825</v>
      </c>
      <c r="J108" s="3">
        <f>IF(G108="Long",I108-H108,IF(G108="Short",H108-I108,0))</f>
        <v/>
      </c>
      <c r="K108" s="4" t="n">
        <v>26.52</v>
      </c>
      <c r="L108" s="2" t="inlineStr">
        <is>
          <t>Win</t>
        </is>
      </c>
      <c r="M108" s="3">
        <f>M107+J108</f>
        <v/>
      </c>
    </row>
    <row r="109">
      <c r="A109" s="8" t="inlineStr">
        <is>
          <t>2021-06-10</t>
        </is>
      </c>
      <c r="B109" s="8" t="inlineStr">
        <is>
          <t>Thursday</t>
        </is>
      </c>
      <c r="C109" s="8" t="inlineStr">
        <is>
          <t>MNQM1</t>
        </is>
      </c>
      <c r="D109" s="9" t="n">
        <v>13922.25</v>
      </c>
      <c r="E109" s="9" t="n">
        <v>13811.25</v>
      </c>
      <c r="F109" s="9">
        <f>D109-E109</f>
        <v/>
      </c>
      <c r="G109" s="8" t="inlineStr">
        <is>
          <t>Long</t>
        </is>
      </c>
      <c r="H109" s="9" t="n">
        <v>13922.25</v>
      </c>
      <c r="I109" s="9" t="n">
        <v>13960</v>
      </c>
      <c r="J109" s="9">
        <f>IF(G109="Long",I109-H109,IF(G109="Short",H109-I109,0))</f>
        <v/>
      </c>
      <c r="K109" s="10" t="n">
        <v>86.70999999999999</v>
      </c>
      <c r="L109" s="8" t="inlineStr">
        <is>
          <t>EOD-Close</t>
        </is>
      </c>
      <c r="M109" s="9">
        <f>M108+J109</f>
        <v/>
      </c>
    </row>
    <row r="110">
      <c r="A110" s="5" t="inlineStr">
        <is>
          <t>2021-06-11</t>
        </is>
      </c>
      <c r="B110" s="5" t="inlineStr">
        <is>
          <t>Friday</t>
        </is>
      </c>
      <c r="C110" s="5" t="inlineStr">
        <is>
          <t>MNQU1</t>
        </is>
      </c>
      <c r="D110" s="6" t="n">
        <v>13965.5</v>
      </c>
      <c r="E110" s="6" t="n">
        <v>13932.75</v>
      </c>
      <c r="F110" s="6">
        <f>D110-E110</f>
        <v/>
      </c>
      <c r="G110" s="5" t="inlineStr">
        <is>
          <t>Long</t>
        </is>
      </c>
      <c r="H110" s="6" t="n">
        <v>13965.5</v>
      </c>
      <c r="I110" s="6" t="n">
        <v>13932.75</v>
      </c>
      <c r="J110" s="6">
        <f>IF(G110="Long",I110-H110,IF(G110="Short",H110-I110,0))</f>
        <v/>
      </c>
      <c r="K110" s="7" t="n">
        <v>100</v>
      </c>
      <c r="L110" s="5" t="inlineStr">
        <is>
          <t>Loss</t>
        </is>
      </c>
      <c r="M110" s="6">
        <f>M109+J110</f>
        <v/>
      </c>
    </row>
    <row r="111">
      <c r="A111" s="5" t="inlineStr">
        <is>
          <t>2021-06-11</t>
        </is>
      </c>
      <c r="B111" s="5" t="inlineStr">
        <is>
          <t>Friday</t>
        </is>
      </c>
      <c r="C111" s="5" t="inlineStr">
        <is>
          <t>MNQU1</t>
        </is>
      </c>
      <c r="D111" s="6" t="n">
        <v>13965.5</v>
      </c>
      <c r="E111" s="6" t="n">
        <v>13932.75</v>
      </c>
      <c r="F111" s="6">
        <f>D111-E111</f>
        <v/>
      </c>
      <c r="G111" s="5" t="inlineStr">
        <is>
          <t>Short</t>
        </is>
      </c>
      <c r="H111" s="6" t="n">
        <v>13932.75</v>
      </c>
      <c r="I111" s="6" t="n">
        <v>13965.5</v>
      </c>
      <c r="J111" s="6">
        <f>IF(G111="Long",I111-H111,IF(G111="Short",H111-I111,0))</f>
        <v/>
      </c>
      <c r="K111" s="7" t="n">
        <v>100</v>
      </c>
      <c r="L111" s="5" t="inlineStr">
        <is>
          <t>Loss</t>
        </is>
      </c>
      <c r="M111" s="6">
        <f>M110+J111</f>
        <v/>
      </c>
    </row>
    <row r="112">
      <c r="A112" s="2" t="inlineStr">
        <is>
          <t>2021-06-14</t>
        </is>
      </c>
      <c r="B112" s="2" t="inlineStr">
        <is>
          <t>Monday</t>
        </is>
      </c>
      <c r="C112" s="2" t="inlineStr">
        <is>
          <t>MNQU1</t>
        </is>
      </c>
      <c r="D112" s="3" t="n">
        <v>14007.5</v>
      </c>
      <c r="E112" s="3" t="n">
        <v>13957</v>
      </c>
      <c r="F112" s="3">
        <f>D112-E112</f>
        <v/>
      </c>
      <c r="G112" s="2" t="inlineStr">
        <is>
          <t>Long</t>
        </is>
      </c>
      <c r="H112" s="3" t="n">
        <v>14007.5</v>
      </c>
      <c r="I112" s="3" t="n">
        <v>14058</v>
      </c>
      <c r="J112" s="3">
        <f>IF(G112="Long",I112-H112,IF(G112="Short",H112-I112,0))</f>
        <v/>
      </c>
      <c r="K112" s="4" t="n">
        <v>52.97</v>
      </c>
      <c r="L112" s="2" t="inlineStr">
        <is>
          <t>Win</t>
        </is>
      </c>
      <c r="M112" s="3">
        <f>M111+J112</f>
        <v/>
      </c>
    </row>
    <row r="113">
      <c r="A113" s="5" t="inlineStr">
        <is>
          <t>2021-06-15</t>
        </is>
      </c>
      <c r="B113" s="5" t="inlineStr">
        <is>
          <t>Tuesday</t>
        </is>
      </c>
      <c r="C113" s="5" t="inlineStr">
        <is>
          <t>MNQU1</t>
        </is>
      </c>
      <c r="D113" s="6" t="n">
        <v>14113.5</v>
      </c>
      <c r="E113" s="6" t="n">
        <v>14063.25</v>
      </c>
      <c r="F113" s="6">
        <f>D113-E113</f>
        <v/>
      </c>
      <c r="G113" s="5" t="inlineStr">
        <is>
          <t>Long</t>
        </is>
      </c>
      <c r="H113" s="6" t="n">
        <v>14113.5</v>
      </c>
      <c r="I113" s="6" t="n">
        <v>14063.25</v>
      </c>
      <c r="J113" s="6">
        <f>IF(G113="Long",I113-H113,IF(G113="Short",H113-I113,0))</f>
        <v/>
      </c>
      <c r="K113" s="7" t="n">
        <v>100</v>
      </c>
      <c r="L113" s="5" t="inlineStr">
        <is>
          <t>Loss</t>
        </is>
      </c>
      <c r="M113" s="6">
        <f>M112+J113</f>
        <v/>
      </c>
    </row>
    <row r="114">
      <c r="A114" s="2" t="inlineStr">
        <is>
          <t>2021-06-15</t>
        </is>
      </c>
      <c r="B114" s="2" t="inlineStr">
        <is>
          <t>Tuesday</t>
        </is>
      </c>
      <c r="C114" s="2" t="inlineStr">
        <is>
          <t>MNQU1</t>
        </is>
      </c>
      <c r="D114" s="3" t="n">
        <v>14113.5</v>
      </c>
      <c r="E114" s="3" t="n">
        <v>14063.25</v>
      </c>
      <c r="F114" s="3">
        <f>D114-E114</f>
        <v/>
      </c>
      <c r="G114" s="2" t="inlineStr">
        <is>
          <t>Short</t>
        </is>
      </c>
      <c r="H114" s="3" t="n">
        <v>14063.25</v>
      </c>
      <c r="I114" s="3" t="n">
        <v>14013</v>
      </c>
      <c r="J114" s="3">
        <f>IF(G114="Long",I114-H114,IF(G114="Short",H114-I114,0))</f>
        <v/>
      </c>
      <c r="K114" s="4" t="n">
        <v>23.38</v>
      </c>
      <c r="L114" s="2" t="inlineStr">
        <is>
          <t>Win</t>
        </is>
      </c>
      <c r="M114" s="3">
        <f>M113+J114</f>
        <v/>
      </c>
    </row>
    <row r="115">
      <c r="A115" s="5" t="inlineStr">
        <is>
          <t>2021-06-16</t>
        </is>
      </c>
      <c r="B115" s="5" t="inlineStr">
        <is>
          <t>Wednesday</t>
        </is>
      </c>
      <c r="C115" s="5" t="inlineStr">
        <is>
          <t>MNQU1</t>
        </is>
      </c>
      <c r="D115" s="6" t="n">
        <v>14074</v>
      </c>
      <c r="E115" s="6" t="n">
        <v>14042.5</v>
      </c>
      <c r="F115" s="6">
        <f>D115-E115</f>
        <v/>
      </c>
      <c r="G115" s="5" t="inlineStr">
        <is>
          <t>Long</t>
        </is>
      </c>
      <c r="H115" s="6" t="n">
        <v>14074</v>
      </c>
      <c r="I115" s="6" t="n">
        <v>14042.5</v>
      </c>
      <c r="J115" s="6">
        <f>IF(G115="Long",I115-H115,IF(G115="Short",H115-I115,0))</f>
        <v/>
      </c>
      <c r="K115" s="7" t="n">
        <v>100</v>
      </c>
      <c r="L115" s="5" t="inlineStr">
        <is>
          <t>Loss</t>
        </is>
      </c>
      <c r="M115" s="6">
        <f>M114+J115</f>
        <v/>
      </c>
    </row>
    <row r="116">
      <c r="A116" s="2" t="inlineStr">
        <is>
          <t>2021-06-16</t>
        </is>
      </c>
      <c r="B116" s="2" t="inlineStr">
        <is>
          <t>Wednesday</t>
        </is>
      </c>
      <c r="C116" s="2" t="inlineStr">
        <is>
          <t>MNQU1</t>
        </is>
      </c>
      <c r="D116" s="3" t="n">
        <v>14074</v>
      </c>
      <c r="E116" s="3" t="n">
        <v>14042.5</v>
      </c>
      <c r="F116" s="3">
        <f>D116-E116</f>
        <v/>
      </c>
      <c r="G116" s="2" t="inlineStr">
        <is>
          <t>Short</t>
        </is>
      </c>
      <c r="H116" s="3" t="n">
        <v>14042.5</v>
      </c>
      <c r="I116" s="3" t="n">
        <v>14011</v>
      </c>
      <c r="J116" s="3">
        <f>IF(G116="Long",I116-H116,IF(G116="Short",H116-I116,0))</f>
        <v/>
      </c>
      <c r="K116" s="4" t="n">
        <v>0</v>
      </c>
      <c r="L116" s="2" t="inlineStr">
        <is>
          <t>Win</t>
        </is>
      </c>
      <c r="M116" s="3">
        <f>M115+J116</f>
        <v/>
      </c>
    </row>
    <row r="117">
      <c r="A117" s="2" t="inlineStr">
        <is>
          <t>2021-06-17</t>
        </is>
      </c>
      <c r="B117" s="2" t="inlineStr">
        <is>
          <t>Thursday</t>
        </is>
      </c>
      <c r="C117" s="2" t="inlineStr">
        <is>
          <t>MNQU1</t>
        </is>
      </c>
      <c r="D117" s="3" t="n">
        <v>14019.25</v>
      </c>
      <c r="E117" s="3" t="n">
        <v>13932</v>
      </c>
      <c r="F117" s="3">
        <f>D117-E117</f>
        <v/>
      </c>
      <c r="G117" s="2" t="inlineStr">
        <is>
          <t>Long</t>
        </is>
      </c>
      <c r="H117" s="3" t="n">
        <v>14019.25</v>
      </c>
      <c r="I117" s="3" t="n">
        <v>14106.5</v>
      </c>
      <c r="J117" s="3">
        <f>IF(G117="Long",I117-H117,IF(G117="Short",H117-I117,0))</f>
        <v/>
      </c>
      <c r="K117" s="4" t="n">
        <v>10.03</v>
      </c>
      <c r="L117" s="2" t="inlineStr">
        <is>
          <t>Win</t>
        </is>
      </c>
      <c r="M117" s="3">
        <f>M116+J117</f>
        <v/>
      </c>
    </row>
    <row r="118">
      <c r="A118" s="8" t="inlineStr">
        <is>
          <t>2021-06-18</t>
        </is>
      </c>
      <c r="B118" s="8" t="inlineStr">
        <is>
          <t>Friday</t>
        </is>
      </c>
      <c r="C118" s="8" t="inlineStr">
        <is>
          <t>MNQU1</t>
        </is>
      </c>
      <c r="D118" s="9" t="n">
        <v>14132</v>
      </c>
      <c r="E118" s="9" t="n">
        <v>14044.5</v>
      </c>
      <c r="F118" s="9">
        <f>D118-E118</f>
        <v/>
      </c>
      <c r="G118" s="8" t="inlineStr">
        <is>
          <t>Short</t>
        </is>
      </c>
      <c r="H118" s="9" t="n">
        <v>14044.5</v>
      </c>
      <c r="I118" s="9" t="n">
        <v>14041.75</v>
      </c>
      <c r="J118" s="9">
        <f>IF(G118="Long",I118-H118,IF(G118="Short",H118-I118,0))</f>
        <v/>
      </c>
      <c r="K118" s="10" t="n">
        <v>73.70999999999999</v>
      </c>
      <c r="L118" s="8" t="inlineStr">
        <is>
          <t>EOD-Close</t>
        </is>
      </c>
      <c r="M118" s="9">
        <f>M117+J118</f>
        <v/>
      </c>
    </row>
    <row r="119">
      <c r="A119" s="8" t="inlineStr">
        <is>
          <t>2021-06-21</t>
        </is>
      </c>
      <c r="B119" s="8" t="inlineStr">
        <is>
          <t>Monday</t>
        </is>
      </c>
      <c r="C119" s="8" t="inlineStr">
        <is>
          <t>MNQU1</t>
        </is>
      </c>
      <c r="D119" s="9" t="n">
        <v>14072.25</v>
      </c>
      <c r="E119" s="9" t="n">
        <v>13958.75</v>
      </c>
      <c r="F119" s="9">
        <f>D119-E119</f>
        <v/>
      </c>
      <c r="G119" s="8" t="inlineStr">
        <is>
          <t>Long</t>
        </is>
      </c>
      <c r="H119" s="9" t="n">
        <v>14072.25</v>
      </c>
      <c r="I119" s="9" t="n">
        <v>14128.25</v>
      </c>
      <c r="J119" s="9">
        <f>IF(G119="Long",I119-H119,IF(G119="Short",H119-I119,0))</f>
        <v/>
      </c>
      <c r="K119" s="10" t="n">
        <v>0</v>
      </c>
      <c r="L119" s="8" t="inlineStr">
        <is>
          <t>EOD-Close</t>
        </is>
      </c>
      <c r="M119" s="9">
        <f>M118+J119</f>
        <v/>
      </c>
    </row>
    <row r="120">
      <c r="A120" s="2" t="inlineStr">
        <is>
          <t>2021-06-22</t>
        </is>
      </c>
      <c r="B120" s="2" t="inlineStr">
        <is>
          <t>Tuesday</t>
        </is>
      </c>
      <c r="C120" s="2" t="inlineStr">
        <is>
          <t>MNQU1</t>
        </is>
      </c>
      <c r="D120" s="3" t="n">
        <v>14176.75</v>
      </c>
      <c r="E120" s="3" t="n">
        <v>14107.25</v>
      </c>
      <c r="F120" s="3">
        <f>D120-E120</f>
        <v/>
      </c>
      <c r="G120" s="2" t="inlineStr">
        <is>
          <t>Long</t>
        </is>
      </c>
      <c r="H120" s="3" t="n">
        <v>14176.75</v>
      </c>
      <c r="I120" s="3" t="n">
        <v>14246.25</v>
      </c>
      <c r="J120" s="3">
        <f>IF(G120="Long",I120-H120,IF(G120="Short",H120-I120,0))</f>
        <v/>
      </c>
      <c r="K120" s="4" t="n">
        <v>0</v>
      </c>
      <c r="L120" s="2" t="inlineStr">
        <is>
          <t>Win</t>
        </is>
      </c>
      <c r="M120" s="3">
        <f>M119+J120</f>
        <v/>
      </c>
    </row>
    <row r="121">
      <c r="A121" s="5" t="inlineStr">
        <is>
          <t>2021-06-23</t>
        </is>
      </c>
      <c r="B121" s="5" t="inlineStr">
        <is>
          <t>Wednesday</t>
        </is>
      </c>
      <c r="C121" s="5" t="inlineStr">
        <is>
          <t>MNQU1</t>
        </is>
      </c>
      <c r="D121" s="6" t="n">
        <v>14299.75</v>
      </c>
      <c r="E121" s="6" t="n">
        <v>14253.75</v>
      </c>
      <c r="F121" s="6">
        <f>D121-E121</f>
        <v/>
      </c>
      <c r="G121" s="5" t="inlineStr">
        <is>
          <t>Long</t>
        </is>
      </c>
      <c r="H121" s="6" t="n">
        <v>14299.75</v>
      </c>
      <c r="I121" s="6" t="n">
        <v>14253.75</v>
      </c>
      <c r="J121" s="6">
        <f>IF(G121="Long",I121-H121,IF(G121="Short",H121-I121,0))</f>
        <v/>
      </c>
      <c r="K121" s="7" t="n">
        <v>100</v>
      </c>
      <c r="L121" s="5" t="inlineStr">
        <is>
          <t>Loss</t>
        </is>
      </c>
      <c r="M121" s="6">
        <f>M120+J121</f>
        <v/>
      </c>
    </row>
    <row r="122">
      <c r="A122" s="8" t="inlineStr">
        <is>
          <t>2021-06-23</t>
        </is>
      </c>
      <c r="B122" s="8" t="inlineStr">
        <is>
          <t>Wednesday</t>
        </is>
      </c>
      <c r="C122" s="8" t="inlineStr">
        <is>
          <t>MNQU1</t>
        </is>
      </c>
      <c r="D122" s="9" t="n">
        <v>14299.75</v>
      </c>
      <c r="E122" s="9" t="n">
        <v>14253.75</v>
      </c>
      <c r="F122" s="9">
        <f>D122-E122</f>
        <v/>
      </c>
      <c r="G122" s="8" t="inlineStr">
        <is>
          <t>Short</t>
        </is>
      </c>
      <c r="H122" s="9" t="n">
        <v>14253.75</v>
      </c>
      <c r="I122" s="9" t="n">
        <v>14263.25</v>
      </c>
      <c r="J122" s="9">
        <f>IF(G122="Long",I122-H122,IF(G122="Short",H122-I122,0))</f>
        <v/>
      </c>
      <c r="K122" s="10" t="n">
        <v>86.95999999999999</v>
      </c>
      <c r="L122" s="8" t="inlineStr">
        <is>
          <t>EOD-Close</t>
        </is>
      </c>
      <c r="M122" s="9">
        <f>M121+J122</f>
        <v/>
      </c>
    </row>
    <row r="123">
      <c r="A123" s="5" t="inlineStr">
        <is>
          <t>2021-06-24</t>
        </is>
      </c>
      <c r="B123" s="5" t="inlineStr">
        <is>
          <t>Thursday</t>
        </is>
      </c>
      <c r="C123" s="5" t="inlineStr">
        <is>
          <t>MNQU1</t>
        </is>
      </c>
      <c r="D123" s="6" t="n">
        <v>14386.25</v>
      </c>
      <c r="E123" s="6" t="n">
        <v>14344</v>
      </c>
      <c r="F123" s="6">
        <f>D123-E123</f>
        <v/>
      </c>
      <c r="G123" s="5" t="inlineStr">
        <is>
          <t>Long</t>
        </is>
      </c>
      <c r="H123" s="6" t="n">
        <v>14386.25</v>
      </c>
      <c r="I123" s="6" t="n">
        <v>14344</v>
      </c>
      <c r="J123" s="6">
        <f>IF(G123="Long",I123-H123,IF(G123="Short",H123-I123,0))</f>
        <v/>
      </c>
      <c r="K123" s="7" t="n">
        <v>100</v>
      </c>
      <c r="L123" s="5" t="inlineStr">
        <is>
          <t>Loss</t>
        </is>
      </c>
      <c r="M123" s="6">
        <f>M122+J123</f>
        <v/>
      </c>
    </row>
    <row r="124">
      <c r="A124" s="8" t="inlineStr">
        <is>
          <t>2021-06-24</t>
        </is>
      </c>
      <c r="B124" s="8" t="inlineStr">
        <is>
          <t>Thursday</t>
        </is>
      </c>
      <c r="C124" s="8" t="inlineStr">
        <is>
          <t>MNQU1</t>
        </is>
      </c>
      <c r="D124" s="9" t="n">
        <v>14386.25</v>
      </c>
      <c r="E124" s="9" t="n">
        <v>14344</v>
      </c>
      <c r="F124" s="9">
        <f>D124-E124</f>
        <v/>
      </c>
      <c r="G124" s="8" t="inlineStr">
        <is>
          <t>Short</t>
        </is>
      </c>
      <c r="H124" s="9" t="n">
        <v>14344</v>
      </c>
      <c r="I124" s="9" t="n">
        <v>14354.25</v>
      </c>
      <c r="J124" s="9">
        <f>IF(G124="Long",I124-H124,IF(G124="Short",H124-I124,0))</f>
        <v/>
      </c>
      <c r="K124" s="10" t="n">
        <v>85.20999999999999</v>
      </c>
      <c r="L124" s="8" t="inlineStr">
        <is>
          <t>EOD-Close</t>
        </is>
      </c>
      <c r="M124" s="9">
        <f>M123+J124</f>
        <v/>
      </c>
    </row>
    <row r="125">
      <c r="A125" s="2" t="inlineStr">
        <is>
          <t>2021-06-25</t>
        </is>
      </c>
      <c r="B125" s="2" t="inlineStr">
        <is>
          <t>Friday</t>
        </is>
      </c>
      <c r="C125" s="2" t="inlineStr">
        <is>
          <t>MNQU1</t>
        </is>
      </c>
      <c r="D125" s="3" t="n">
        <v>14390.75</v>
      </c>
      <c r="E125" s="3" t="n">
        <v>14361.25</v>
      </c>
      <c r="F125" s="3">
        <f>D125-E125</f>
        <v/>
      </c>
      <c r="G125" s="2" t="inlineStr">
        <is>
          <t>Short</t>
        </is>
      </c>
      <c r="H125" s="3" t="n">
        <v>14361.25</v>
      </c>
      <c r="I125" s="3" t="n">
        <v>14331.75</v>
      </c>
      <c r="J125" s="3">
        <f>IF(G125="Long",I125-H125,IF(G125="Short",H125-I125,0))</f>
        <v/>
      </c>
      <c r="K125" s="4" t="n">
        <v>3.39</v>
      </c>
      <c r="L125" s="2" t="inlineStr">
        <is>
          <t>Win</t>
        </is>
      </c>
      <c r="M125" s="3">
        <f>M124+J125</f>
        <v/>
      </c>
    </row>
    <row r="126">
      <c r="A126" s="2" t="inlineStr">
        <is>
          <t>2021-06-25</t>
        </is>
      </c>
      <c r="B126" s="2" t="inlineStr">
        <is>
          <t>Friday</t>
        </is>
      </c>
      <c r="C126" s="2" t="inlineStr">
        <is>
          <t>MNQU1</t>
        </is>
      </c>
      <c r="D126" s="3" t="n">
        <v>14390.75</v>
      </c>
      <c r="E126" s="3" t="n">
        <v>14361.25</v>
      </c>
      <c r="F126" s="3">
        <f>D126-E126</f>
        <v/>
      </c>
      <c r="G126" s="2" t="inlineStr">
        <is>
          <t>Short</t>
        </is>
      </c>
      <c r="H126" s="3" t="n">
        <v>14361.25</v>
      </c>
      <c r="I126" s="3" t="n">
        <v>14331.75</v>
      </c>
      <c r="J126" s="3">
        <f>IF(G126="Long",I126-H126,IF(G126="Short",H126-I126,0))</f>
        <v/>
      </c>
      <c r="K126" s="4" t="n">
        <v>0</v>
      </c>
      <c r="L126" s="2" t="inlineStr">
        <is>
          <t>Win</t>
        </is>
      </c>
      <c r="M126" s="3">
        <f>M125+J126</f>
        <v/>
      </c>
    </row>
    <row r="127">
      <c r="A127" s="8" t="inlineStr">
        <is>
          <t>2021-06-28</t>
        </is>
      </c>
      <c r="B127" s="8" t="inlineStr">
        <is>
          <t>Monday</t>
        </is>
      </c>
      <c r="C127" s="8" t="inlineStr">
        <is>
          <t>MNQU1</t>
        </is>
      </c>
      <c r="D127" s="9" t="n">
        <v>14458.5</v>
      </c>
      <c r="E127" s="9" t="n">
        <v>14391</v>
      </c>
      <c r="F127" s="9">
        <f>D127-E127</f>
        <v/>
      </c>
      <c r="G127" s="8" t="inlineStr">
        <is>
          <t>Long</t>
        </is>
      </c>
      <c r="H127" s="9" t="n">
        <v>14458.5</v>
      </c>
      <c r="I127" s="9" t="n">
        <v>14511.25</v>
      </c>
      <c r="J127" s="9">
        <f>IF(G127="Long",I127-H127,IF(G127="Short",H127-I127,0))</f>
        <v/>
      </c>
      <c r="K127" s="10" t="n">
        <v>5.19</v>
      </c>
      <c r="L127" s="8" t="inlineStr">
        <is>
          <t>EOD-Close</t>
        </is>
      </c>
      <c r="M127" s="9">
        <f>M126+J127</f>
        <v/>
      </c>
    </row>
    <row r="128">
      <c r="A128" s="8" t="inlineStr">
        <is>
          <t>2021-06-29</t>
        </is>
      </c>
      <c r="B128" s="8" t="inlineStr">
        <is>
          <t>Tuesday</t>
        </is>
      </c>
      <c r="C128" s="8" t="inlineStr">
        <is>
          <t>MNQU1</t>
        </is>
      </c>
      <c r="D128" s="9" t="n">
        <v>14525.25</v>
      </c>
      <c r="E128" s="9" t="n">
        <v>14470</v>
      </c>
      <c r="F128" s="9">
        <f>D128-E128</f>
        <v/>
      </c>
      <c r="G128" s="8" t="inlineStr">
        <is>
          <t>Long</t>
        </is>
      </c>
      <c r="H128" s="9" t="n">
        <v>14525.25</v>
      </c>
      <c r="I128" s="9" t="n">
        <v>14564</v>
      </c>
      <c r="J128" s="9">
        <f>IF(G128="Long",I128-H128,IF(G128="Short",H128-I128,0))</f>
        <v/>
      </c>
      <c r="K128" s="10" t="n">
        <v>59.28</v>
      </c>
      <c r="L128" s="8" t="inlineStr">
        <is>
          <t>EOD-Close</t>
        </is>
      </c>
      <c r="M128" s="9">
        <f>M127+J128</f>
        <v/>
      </c>
    </row>
    <row r="129">
      <c r="A129" s="5" t="inlineStr">
        <is>
          <t>2021-06-30</t>
        </is>
      </c>
      <c r="B129" s="5" t="inlineStr">
        <is>
          <t>Wednesday</t>
        </is>
      </c>
      <c r="C129" s="5" t="inlineStr">
        <is>
          <t>MNQU1</t>
        </is>
      </c>
      <c r="D129" s="6" t="n">
        <v>14568.75</v>
      </c>
      <c r="E129" s="6" t="n">
        <v>14524.75</v>
      </c>
      <c r="F129" s="6">
        <f>D129-E129</f>
        <v/>
      </c>
      <c r="G129" s="5" t="inlineStr">
        <is>
          <t>Long</t>
        </is>
      </c>
      <c r="H129" s="6" t="n">
        <v>14568.75</v>
      </c>
      <c r="I129" s="6" t="n">
        <v>14524.75</v>
      </c>
      <c r="J129" s="6">
        <f>IF(G129="Long",I129-H129,IF(G129="Short",H129-I129,0))</f>
        <v/>
      </c>
      <c r="K129" s="7" t="n">
        <v>100</v>
      </c>
      <c r="L129" s="5" t="inlineStr">
        <is>
          <t>Loss</t>
        </is>
      </c>
      <c r="M129" s="6">
        <f>M128+J129</f>
        <v/>
      </c>
    </row>
    <row r="130">
      <c r="A130" s="8" t="inlineStr">
        <is>
          <t>2021-07-01</t>
        </is>
      </c>
      <c r="B130" s="8" t="inlineStr">
        <is>
          <t>Thursday</t>
        </is>
      </c>
      <c r="C130" s="8" t="inlineStr">
        <is>
          <t>MNQU1</t>
        </is>
      </c>
      <c r="D130" s="9" t="n">
        <v>14564.5</v>
      </c>
      <c r="E130" s="9" t="n">
        <v>14515.5</v>
      </c>
      <c r="F130" s="9">
        <f>D130-E130</f>
        <v/>
      </c>
      <c r="G130" s="8" t="inlineStr">
        <is>
          <t>Short</t>
        </is>
      </c>
      <c r="H130" s="9" t="n">
        <v>14515.5</v>
      </c>
      <c r="I130" s="9" t="n">
        <v>14547.75</v>
      </c>
      <c r="J130" s="9">
        <f>IF(G130="Long",I130-H130,IF(G130="Short",H130-I130,0))</f>
        <v/>
      </c>
      <c r="K130" s="10" t="n">
        <v>77.04000000000001</v>
      </c>
      <c r="L130" s="8" t="inlineStr">
        <is>
          <t>EOD-Close</t>
        </is>
      </c>
      <c r="M130" s="9">
        <f>M129+J130</f>
        <v/>
      </c>
    </row>
    <row r="131">
      <c r="A131" s="2" t="inlineStr">
        <is>
          <t>2021-07-02</t>
        </is>
      </c>
      <c r="B131" s="2" t="inlineStr">
        <is>
          <t>Friday</t>
        </is>
      </c>
      <c r="C131" s="2" t="inlineStr">
        <is>
          <t>MNQU1</t>
        </is>
      </c>
      <c r="D131" s="3" t="n">
        <v>14660.75</v>
      </c>
      <c r="E131" s="3" t="n">
        <v>14619.25</v>
      </c>
      <c r="F131" s="3">
        <f>D131-E131</f>
        <v/>
      </c>
      <c r="G131" s="2" t="inlineStr">
        <is>
          <t>Long</t>
        </is>
      </c>
      <c r="H131" s="3" t="n">
        <v>14660.75</v>
      </c>
      <c r="I131" s="3" t="n">
        <v>14702.25</v>
      </c>
      <c r="J131" s="3">
        <f>IF(G131="Long",I131-H131,IF(G131="Short",H131-I131,0))</f>
        <v/>
      </c>
      <c r="K131" s="4" t="n">
        <v>85.54000000000001</v>
      </c>
      <c r="L131" s="2" t="inlineStr">
        <is>
          <t>Win</t>
        </is>
      </c>
      <c r="M131" s="3">
        <f>M130+J131</f>
        <v/>
      </c>
    </row>
    <row r="132">
      <c r="A132" s="8" t="inlineStr">
        <is>
          <t>2021-07-05</t>
        </is>
      </c>
      <c r="B132" s="8" t="inlineStr">
        <is>
          <t>Monday</t>
        </is>
      </c>
      <c r="C132" s="8" t="inlineStr">
        <is>
          <t>MNQU1</t>
        </is>
      </c>
      <c r="D132" s="9" t="n">
        <v>14704.25</v>
      </c>
      <c r="E132" s="9" t="n">
        <v>14696</v>
      </c>
      <c r="F132" s="9">
        <f>D132-E132</f>
        <v/>
      </c>
      <c r="G132" s="8" t="inlineStr">
        <is>
          <t>Short</t>
        </is>
      </c>
      <c r="H132" s="9" t="n">
        <v>14696</v>
      </c>
      <c r="I132" s="9" t="n">
        <v>14692.25</v>
      </c>
      <c r="J132" s="9">
        <f>IF(G132="Long",I132-H132,IF(G132="Short",H132-I132,0))</f>
        <v/>
      </c>
      <c r="K132" s="10" t="n">
        <v>78.79000000000001</v>
      </c>
      <c r="L132" s="8" t="inlineStr">
        <is>
          <t>EOD-Close</t>
        </is>
      </c>
      <c r="M132" s="9">
        <f>M131+J132</f>
        <v/>
      </c>
    </row>
    <row r="133">
      <c r="A133" s="5" t="inlineStr">
        <is>
          <t>2021-07-06</t>
        </is>
      </c>
      <c r="B133" s="5" t="inlineStr">
        <is>
          <t>Tuesday</t>
        </is>
      </c>
      <c r="C133" s="5" t="inlineStr">
        <is>
          <t>MNQU1</t>
        </is>
      </c>
      <c r="D133" s="6" t="n">
        <v>14773.75</v>
      </c>
      <c r="E133" s="6" t="n">
        <v>14738.75</v>
      </c>
      <c r="F133" s="6">
        <f>D133-E133</f>
        <v/>
      </c>
      <c r="G133" s="5" t="inlineStr">
        <is>
          <t>Long</t>
        </is>
      </c>
      <c r="H133" s="6" t="n">
        <v>14773.75</v>
      </c>
      <c r="I133" s="6" t="n">
        <v>14738.75</v>
      </c>
      <c r="J133" s="6">
        <f>IF(G133="Long",I133-H133,IF(G133="Short",H133-I133,0))</f>
        <v/>
      </c>
      <c r="K133" s="7" t="n">
        <v>100</v>
      </c>
      <c r="L133" s="5" t="inlineStr">
        <is>
          <t>Loss</t>
        </is>
      </c>
      <c r="M133" s="6">
        <f>M132+J133</f>
        <v/>
      </c>
    </row>
    <row r="134">
      <c r="A134" s="2" t="inlineStr">
        <is>
          <t>2021-07-06</t>
        </is>
      </c>
      <c r="B134" s="2" t="inlineStr">
        <is>
          <t>Tuesday</t>
        </is>
      </c>
      <c r="C134" s="2" t="inlineStr">
        <is>
          <t>MNQU1</t>
        </is>
      </c>
      <c r="D134" s="3" t="n">
        <v>14773.75</v>
      </c>
      <c r="E134" s="3" t="n">
        <v>14738.75</v>
      </c>
      <c r="F134" s="3">
        <f>D134-E134</f>
        <v/>
      </c>
      <c r="G134" s="2" t="inlineStr">
        <is>
          <t>Short</t>
        </is>
      </c>
      <c r="H134" s="3" t="n">
        <v>14738.75</v>
      </c>
      <c r="I134" s="3" t="n">
        <v>14703.75</v>
      </c>
      <c r="J134" s="3">
        <f>IF(G134="Long",I134-H134,IF(G134="Short",H134-I134,0))</f>
        <v/>
      </c>
      <c r="K134" s="4" t="n">
        <v>48.57</v>
      </c>
      <c r="L134" s="2" t="inlineStr">
        <is>
          <t>Win</t>
        </is>
      </c>
      <c r="M134" s="3">
        <f>M133+J134</f>
        <v/>
      </c>
    </row>
    <row r="135">
      <c r="A135" s="2" t="inlineStr">
        <is>
          <t>2021-07-07</t>
        </is>
      </c>
      <c r="B135" s="2" t="inlineStr">
        <is>
          <t>Wednesday</t>
        </is>
      </c>
      <c r="C135" s="2" t="inlineStr">
        <is>
          <t>MNQU1</t>
        </is>
      </c>
      <c r="D135" s="3" t="n">
        <v>14883.75</v>
      </c>
      <c r="E135" s="3" t="n">
        <v>14817</v>
      </c>
      <c r="F135" s="3">
        <f>D135-E135</f>
        <v/>
      </c>
      <c r="G135" s="2" t="inlineStr">
        <is>
          <t>Short</t>
        </is>
      </c>
      <c r="H135" s="3" t="n">
        <v>14817</v>
      </c>
      <c r="I135" s="3" t="n">
        <v>14750.25</v>
      </c>
      <c r="J135" s="3">
        <f>IF(G135="Long",I135-H135,IF(G135="Short",H135-I135,0))</f>
        <v/>
      </c>
      <c r="K135" s="4" t="n">
        <v>43.45</v>
      </c>
      <c r="L135" s="2" t="inlineStr">
        <is>
          <t>Win</t>
        </is>
      </c>
      <c r="M135" s="3">
        <f>M134+J135</f>
        <v/>
      </c>
    </row>
    <row r="136">
      <c r="A136" s="8" t="inlineStr">
        <is>
          <t>2021-07-07</t>
        </is>
      </c>
      <c r="B136" s="8" t="inlineStr">
        <is>
          <t>Wednesday</t>
        </is>
      </c>
      <c r="C136" s="8" t="inlineStr">
        <is>
          <t>MNQU1</t>
        </is>
      </c>
      <c r="D136" s="9" t="n">
        <v>14883.75</v>
      </c>
      <c r="E136" s="9" t="n">
        <v>14817</v>
      </c>
      <c r="F136" s="9">
        <f>D136-E136</f>
        <v/>
      </c>
      <c r="G136" s="8" t="inlineStr">
        <is>
          <t>Short</t>
        </is>
      </c>
      <c r="H136" s="9" t="n">
        <v>14817</v>
      </c>
      <c r="I136" s="9" t="n">
        <v>14802</v>
      </c>
      <c r="J136" s="9">
        <f>IF(G136="Long",I136-H136,IF(G136="Short",H136-I136,0))</f>
        <v/>
      </c>
      <c r="K136" s="10" t="n">
        <v>17.23</v>
      </c>
      <c r="L136" s="8" t="inlineStr">
        <is>
          <t>EOD-Close</t>
        </is>
      </c>
      <c r="M136" s="9">
        <f>M135+J136</f>
        <v/>
      </c>
    </row>
    <row r="137">
      <c r="A137" s="5" t="inlineStr">
        <is>
          <t>2021-07-08</t>
        </is>
      </c>
      <c r="B137" s="5" t="inlineStr">
        <is>
          <t>Thursday</t>
        </is>
      </c>
      <c r="C137" s="5" t="inlineStr">
        <is>
          <t>MNQU1</t>
        </is>
      </c>
      <c r="D137" s="6" t="n">
        <v>14641.75</v>
      </c>
      <c r="E137" s="6" t="n">
        <v>14568</v>
      </c>
      <c r="F137" s="6">
        <f>D137-E137</f>
        <v/>
      </c>
      <c r="G137" s="5" t="inlineStr">
        <is>
          <t>Short</t>
        </is>
      </c>
      <c r="H137" s="6" t="n">
        <v>14568</v>
      </c>
      <c r="I137" s="6" t="n">
        <v>14641.75</v>
      </c>
      <c r="J137" s="6">
        <f>IF(G137="Long",I137-H137,IF(G137="Short",H137-I137,0))</f>
        <v/>
      </c>
      <c r="K137" s="7" t="n">
        <v>100</v>
      </c>
      <c r="L137" s="5" t="inlineStr">
        <is>
          <t>Loss</t>
        </is>
      </c>
      <c r="M137" s="6">
        <f>M136+J137</f>
        <v/>
      </c>
    </row>
    <row r="138">
      <c r="A138" s="5" t="inlineStr">
        <is>
          <t>2021-07-08</t>
        </is>
      </c>
      <c r="B138" s="5" t="inlineStr">
        <is>
          <t>Thursday</t>
        </is>
      </c>
      <c r="C138" s="5" t="inlineStr">
        <is>
          <t>MNQU1</t>
        </is>
      </c>
      <c r="D138" s="6" t="n">
        <v>14641.75</v>
      </c>
      <c r="E138" s="6" t="n">
        <v>14568</v>
      </c>
      <c r="F138" s="6">
        <f>D138-E138</f>
        <v/>
      </c>
      <c r="G138" s="5" t="inlineStr">
        <is>
          <t>Long</t>
        </is>
      </c>
      <c r="H138" s="6" t="n">
        <v>14641.75</v>
      </c>
      <c r="I138" s="6" t="n">
        <v>14568</v>
      </c>
      <c r="J138" s="6">
        <f>IF(G138="Long",I138-H138,IF(G138="Short",H138-I138,0))</f>
        <v/>
      </c>
      <c r="K138" s="7" t="n">
        <v>100</v>
      </c>
      <c r="L138" s="5" t="inlineStr">
        <is>
          <t>Loss</t>
        </is>
      </c>
      <c r="M138" s="6">
        <f>M137+J138</f>
        <v/>
      </c>
    </row>
    <row r="139">
      <c r="A139" s="2" t="inlineStr">
        <is>
          <t>2021-07-09</t>
        </is>
      </c>
      <c r="B139" s="2" t="inlineStr">
        <is>
          <t>Friday</t>
        </is>
      </c>
      <c r="C139" s="2" t="inlineStr">
        <is>
          <t>MNQU1</t>
        </is>
      </c>
      <c r="D139" s="3" t="n">
        <v>14722.5</v>
      </c>
      <c r="E139" s="3" t="n">
        <v>14668.25</v>
      </c>
      <c r="F139" s="3">
        <f>D139-E139</f>
        <v/>
      </c>
      <c r="G139" s="2" t="inlineStr">
        <is>
          <t>Long</t>
        </is>
      </c>
      <c r="H139" s="3" t="n">
        <v>14722.5</v>
      </c>
      <c r="I139" s="3" t="n">
        <v>14776.75</v>
      </c>
      <c r="J139" s="3">
        <f>IF(G139="Long",I139-H139,IF(G139="Short",H139-I139,0))</f>
        <v/>
      </c>
      <c r="K139" s="4" t="n">
        <v>35.02</v>
      </c>
      <c r="L139" s="2" t="inlineStr">
        <is>
          <t>Win</t>
        </is>
      </c>
      <c r="M139" s="3">
        <f>M138+J139</f>
        <v/>
      </c>
    </row>
    <row r="140">
      <c r="A140" s="8" t="inlineStr">
        <is>
          <t>2021-07-12</t>
        </is>
      </c>
      <c r="B140" s="8" t="inlineStr">
        <is>
          <t>Monday</t>
        </is>
      </c>
      <c r="C140" s="8" t="inlineStr">
        <is>
          <t>MNQU1</t>
        </is>
      </c>
      <c r="D140" s="9" t="n">
        <v>14888.75</v>
      </c>
      <c r="E140" s="9" t="n">
        <v>14824</v>
      </c>
      <c r="F140" s="9">
        <f>D140-E140</f>
        <v/>
      </c>
      <c r="G140" s="8" t="inlineStr">
        <is>
          <t>Short</t>
        </is>
      </c>
      <c r="H140" s="9" t="n">
        <v>14824</v>
      </c>
      <c r="I140" s="9" t="n">
        <v>14868.5</v>
      </c>
      <c r="J140" s="9">
        <f>IF(G140="Long",I140-H140,IF(G140="Short",H140-I140,0))</f>
        <v/>
      </c>
      <c r="K140" s="10" t="n">
        <v>76.45</v>
      </c>
      <c r="L140" s="8" t="inlineStr">
        <is>
          <t>EOD-Close</t>
        </is>
      </c>
      <c r="M140" s="9">
        <f>M139+J140</f>
        <v/>
      </c>
    </row>
    <row r="141">
      <c r="A141" s="2" t="inlineStr">
        <is>
          <t>2021-07-13</t>
        </is>
      </c>
      <c r="B141" s="2" t="inlineStr">
        <is>
          <t>Tuesday</t>
        </is>
      </c>
      <c r="C141" s="2" t="inlineStr">
        <is>
          <t>MNQU1</t>
        </is>
      </c>
      <c r="D141" s="3" t="n">
        <v>14881.25</v>
      </c>
      <c r="E141" s="3" t="n">
        <v>14842</v>
      </c>
      <c r="F141" s="3">
        <f>D141-E141</f>
        <v/>
      </c>
      <c r="G141" s="2" t="inlineStr">
        <is>
          <t>Long</t>
        </is>
      </c>
      <c r="H141" s="3" t="n">
        <v>14881.25</v>
      </c>
      <c r="I141" s="3" t="n">
        <v>14920.5</v>
      </c>
      <c r="J141" s="3">
        <f>IF(G141="Long",I141-H141,IF(G141="Short",H141-I141,0))</f>
        <v/>
      </c>
      <c r="K141" s="4" t="n">
        <v>0</v>
      </c>
      <c r="L141" s="2" t="inlineStr">
        <is>
          <t>Win</t>
        </is>
      </c>
      <c r="M141" s="3">
        <f>M140+J141</f>
        <v/>
      </c>
    </row>
    <row r="142">
      <c r="A142" s="5" t="inlineStr">
        <is>
          <t>2021-07-13</t>
        </is>
      </c>
      <c r="B142" s="5" t="inlineStr">
        <is>
          <t>Tuesday</t>
        </is>
      </c>
      <c r="C142" s="5" t="inlineStr">
        <is>
          <t>MNQU1</t>
        </is>
      </c>
      <c r="D142" s="6" t="n">
        <v>14881.25</v>
      </c>
      <c r="E142" s="6" t="n">
        <v>14842</v>
      </c>
      <c r="F142" s="6">
        <f>D142-E142</f>
        <v/>
      </c>
      <c r="G142" s="5" t="inlineStr">
        <is>
          <t>Long</t>
        </is>
      </c>
      <c r="H142" s="6" t="n">
        <v>14881.25</v>
      </c>
      <c r="I142" s="6" t="n">
        <v>14842</v>
      </c>
      <c r="J142" s="6">
        <f>IF(G142="Long",I142-H142,IF(G142="Short",H142-I142,0))</f>
        <v/>
      </c>
      <c r="K142" s="7" t="n">
        <v>100</v>
      </c>
      <c r="L142" s="5" t="inlineStr">
        <is>
          <t>Loss</t>
        </is>
      </c>
      <c r="M142" s="6">
        <f>M141+J142</f>
        <v/>
      </c>
    </row>
    <row r="143">
      <c r="A143" s="5" t="inlineStr">
        <is>
          <t>2021-07-14</t>
        </is>
      </c>
      <c r="B143" s="5" t="inlineStr">
        <is>
          <t>Wednesday</t>
        </is>
      </c>
      <c r="C143" s="5" t="inlineStr">
        <is>
          <t>MNQU1</t>
        </is>
      </c>
      <c r="D143" s="6" t="n">
        <v>14991.25</v>
      </c>
      <c r="E143" s="6" t="n">
        <v>14936.25</v>
      </c>
      <c r="F143" s="6">
        <f>D143-E143</f>
        <v/>
      </c>
      <c r="G143" s="5" t="inlineStr">
        <is>
          <t>Long</t>
        </is>
      </c>
      <c r="H143" s="6" t="n">
        <v>14991.25</v>
      </c>
      <c r="I143" s="6" t="n">
        <v>14936.25</v>
      </c>
      <c r="J143" s="6">
        <f>IF(G143="Long",I143-H143,IF(G143="Short",H143-I143,0))</f>
        <v/>
      </c>
      <c r="K143" s="7" t="n">
        <v>100</v>
      </c>
      <c r="L143" s="5" t="inlineStr">
        <is>
          <t>Loss</t>
        </is>
      </c>
      <c r="M143" s="6">
        <f>M142+J143</f>
        <v/>
      </c>
    </row>
    <row r="144">
      <c r="A144" s="2" t="inlineStr">
        <is>
          <t>2021-07-14</t>
        </is>
      </c>
      <c r="B144" s="2" t="inlineStr">
        <is>
          <t>Wednesday</t>
        </is>
      </c>
      <c r="C144" s="2" t="inlineStr">
        <is>
          <t>MNQU1</t>
        </is>
      </c>
      <c r="D144" s="3" t="n">
        <v>14991.25</v>
      </c>
      <c r="E144" s="3" t="n">
        <v>14936.25</v>
      </c>
      <c r="F144" s="3">
        <f>D144-E144</f>
        <v/>
      </c>
      <c r="G144" s="2" t="inlineStr">
        <is>
          <t>Short</t>
        </is>
      </c>
      <c r="H144" s="3" t="n">
        <v>14936.25</v>
      </c>
      <c r="I144" s="3" t="n">
        <v>14881.25</v>
      </c>
      <c r="J144" s="3">
        <f>IF(G144="Long",I144-H144,IF(G144="Short",H144-I144,0))</f>
        <v/>
      </c>
      <c r="K144" s="4" t="n">
        <v>0</v>
      </c>
      <c r="L144" s="2" t="inlineStr">
        <is>
          <t>Win</t>
        </is>
      </c>
      <c r="M144" s="3">
        <f>M143+J144</f>
        <v/>
      </c>
    </row>
    <row r="145">
      <c r="A145" s="8" t="inlineStr">
        <is>
          <t>2021-07-15</t>
        </is>
      </c>
      <c r="B145" s="8" t="inlineStr">
        <is>
          <t>Thursday</t>
        </is>
      </c>
      <c r="C145" s="8" t="inlineStr">
        <is>
          <t>MNQU1</t>
        </is>
      </c>
      <c r="D145" s="9" t="n">
        <v>14902</v>
      </c>
      <c r="E145" s="9" t="n">
        <v>14796</v>
      </c>
      <c r="F145" s="9">
        <f>D145-E145</f>
        <v/>
      </c>
      <c r="G145" s="8" t="inlineStr">
        <is>
          <t>Short</t>
        </is>
      </c>
      <c r="H145" s="9" t="n">
        <v>14796</v>
      </c>
      <c r="I145" s="9" t="n">
        <v>14790.25</v>
      </c>
      <c r="J145" s="9">
        <f>IF(G145="Long",I145-H145,IF(G145="Short",H145-I145,0))</f>
        <v/>
      </c>
      <c r="K145" s="10" t="n">
        <v>31.84</v>
      </c>
      <c r="L145" s="8" t="inlineStr">
        <is>
          <t>EOD-Close</t>
        </is>
      </c>
      <c r="M145" s="9">
        <f>M144+J145</f>
        <v/>
      </c>
    </row>
    <row r="146">
      <c r="A146" s="2" t="inlineStr">
        <is>
          <t>2021-07-16</t>
        </is>
      </c>
      <c r="B146" s="2" t="inlineStr">
        <is>
          <t>Friday</t>
        </is>
      </c>
      <c r="C146" s="2" t="inlineStr">
        <is>
          <t>MNQU1</t>
        </is>
      </c>
      <c r="D146" s="3" t="n">
        <v>14869.5</v>
      </c>
      <c r="E146" s="3" t="n">
        <v>14827.75</v>
      </c>
      <c r="F146" s="3">
        <f>D146-E146</f>
        <v/>
      </c>
      <c r="G146" s="2" t="inlineStr">
        <is>
          <t>Short</t>
        </is>
      </c>
      <c r="H146" s="3" t="n">
        <v>14827.75</v>
      </c>
      <c r="I146" s="3" t="n">
        <v>14786</v>
      </c>
      <c r="J146" s="3">
        <f>IF(G146="Long",I146-H146,IF(G146="Short",H146-I146,0))</f>
        <v/>
      </c>
      <c r="K146" s="4" t="n">
        <v>2.4</v>
      </c>
      <c r="L146" s="2" t="inlineStr">
        <is>
          <t>Win</t>
        </is>
      </c>
      <c r="M146" s="3">
        <f>M145+J146</f>
        <v/>
      </c>
    </row>
    <row r="147">
      <c r="A147" s="5" t="inlineStr">
        <is>
          <t>2021-07-19</t>
        </is>
      </c>
      <c r="B147" s="5" t="inlineStr">
        <is>
          <t>Monday</t>
        </is>
      </c>
      <c r="C147" s="5" t="inlineStr">
        <is>
          <t>MNQU1</t>
        </is>
      </c>
      <c r="D147" s="6" t="n">
        <v>14571</v>
      </c>
      <c r="E147" s="6" t="n">
        <v>14489.5</v>
      </c>
      <c r="F147" s="6">
        <f>D147-E147</f>
        <v/>
      </c>
      <c r="G147" s="5" t="inlineStr">
        <is>
          <t>Short</t>
        </is>
      </c>
      <c r="H147" s="6" t="n">
        <v>14489.5</v>
      </c>
      <c r="I147" s="6" t="n">
        <v>14571</v>
      </c>
      <c r="J147" s="6">
        <f>IF(G147="Long",I147-H147,IF(G147="Short",H147-I147,0))</f>
        <v/>
      </c>
      <c r="K147" s="7" t="n">
        <v>100</v>
      </c>
      <c r="L147" s="5" t="inlineStr">
        <is>
          <t>Loss</t>
        </is>
      </c>
      <c r="M147" s="6">
        <f>M146+J147</f>
        <v/>
      </c>
    </row>
    <row r="148">
      <c r="A148" s="8" t="inlineStr">
        <is>
          <t>2021-07-19</t>
        </is>
      </c>
      <c r="B148" s="8" t="inlineStr">
        <is>
          <t>Monday</t>
        </is>
      </c>
      <c r="C148" s="8" t="inlineStr">
        <is>
          <t>MNQU1</t>
        </is>
      </c>
      <c r="D148" s="9" t="n">
        <v>14571</v>
      </c>
      <c r="E148" s="9" t="n">
        <v>14489.5</v>
      </c>
      <c r="F148" s="9">
        <f>D148-E148</f>
        <v/>
      </c>
      <c r="G148" s="8" t="inlineStr">
        <is>
          <t>Short</t>
        </is>
      </c>
      <c r="H148" s="9" t="n">
        <v>14489.5</v>
      </c>
      <c r="I148" s="9" t="n">
        <v>14553.75</v>
      </c>
      <c r="J148" s="9">
        <f>IF(G148="Long",I148-H148,IF(G148="Short",H148-I148,0))</f>
        <v/>
      </c>
      <c r="K148" s="10" t="n">
        <v>80.67</v>
      </c>
      <c r="L148" s="8" t="inlineStr">
        <is>
          <t>EOD-Close</t>
        </is>
      </c>
      <c r="M148" s="9">
        <f>M147+J148</f>
        <v/>
      </c>
    </row>
    <row r="149">
      <c r="A149" s="2" t="inlineStr">
        <is>
          <t>2021-07-20</t>
        </is>
      </c>
      <c r="B149" s="2" t="inlineStr">
        <is>
          <t>Tuesday</t>
        </is>
      </c>
      <c r="C149" s="2" t="inlineStr">
        <is>
          <t>MNQU1</t>
        </is>
      </c>
      <c r="D149" s="3" t="n">
        <v>14601.25</v>
      </c>
      <c r="E149" s="3" t="n">
        <v>14516.75</v>
      </c>
      <c r="F149" s="3">
        <f>D149-E149</f>
        <v/>
      </c>
      <c r="G149" s="2" t="inlineStr">
        <is>
          <t>Long</t>
        </is>
      </c>
      <c r="H149" s="3" t="n">
        <v>14601.25</v>
      </c>
      <c r="I149" s="3" t="n">
        <v>14685.75</v>
      </c>
      <c r="J149" s="3">
        <f>IF(G149="Long",I149-H149,IF(G149="Short",H149-I149,0))</f>
        <v/>
      </c>
      <c r="K149" s="4" t="n">
        <v>23.67</v>
      </c>
      <c r="L149" s="2" t="inlineStr">
        <is>
          <t>Win</t>
        </is>
      </c>
      <c r="M149" s="3">
        <f>M148+J149</f>
        <v/>
      </c>
    </row>
    <row r="150">
      <c r="A150" s="2" t="inlineStr">
        <is>
          <t>2021-07-21</t>
        </is>
      </c>
      <c r="B150" s="2" t="inlineStr">
        <is>
          <t>Wednesday</t>
        </is>
      </c>
      <c r="C150" s="2" t="inlineStr">
        <is>
          <t>MNQU1</t>
        </is>
      </c>
      <c r="D150" s="3" t="n">
        <v>14747.25</v>
      </c>
      <c r="E150" s="3" t="n">
        <v>14692</v>
      </c>
      <c r="F150" s="3">
        <f>D150-E150</f>
        <v/>
      </c>
      <c r="G150" s="2" t="inlineStr">
        <is>
          <t>Long</t>
        </is>
      </c>
      <c r="H150" s="3" t="n">
        <v>14747.25</v>
      </c>
      <c r="I150" s="3" t="n">
        <v>14802.5</v>
      </c>
      <c r="J150" s="3">
        <f>IF(G150="Long",I150-H150,IF(G150="Short",H150-I150,0))</f>
        <v/>
      </c>
      <c r="K150" s="4" t="n">
        <v>38.46</v>
      </c>
      <c r="L150" s="2" t="inlineStr">
        <is>
          <t>Win</t>
        </is>
      </c>
      <c r="M150" s="3">
        <f>M149+J150</f>
        <v/>
      </c>
    </row>
    <row r="151">
      <c r="A151" s="8" t="inlineStr">
        <is>
          <t>2021-07-22</t>
        </is>
      </c>
      <c r="B151" s="8" t="inlineStr">
        <is>
          <t>Thursday</t>
        </is>
      </c>
      <c r="C151" s="8" t="inlineStr">
        <is>
          <t>MNQU1</t>
        </is>
      </c>
      <c r="D151" s="9" t="n">
        <v>14894.75</v>
      </c>
      <c r="E151" s="9" t="n">
        <v>14839.75</v>
      </c>
      <c r="F151" s="9">
        <f>D151-E151</f>
        <v/>
      </c>
      <c r="G151" s="8" t="inlineStr">
        <is>
          <t>Long</t>
        </is>
      </c>
      <c r="H151" s="9" t="n">
        <v>14894.75</v>
      </c>
      <c r="I151" s="9" t="n">
        <v>14928.75</v>
      </c>
      <c r="J151" s="9">
        <f>IF(G151="Long",I151-H151,IF(G151="Short",H151-I151,0))</f>
        <v/>
      </c>
      <c r="K151" s="10" t="n">
        <v>80.45</v>
      </c>
      <c r="L151" s="8" t="inlineStr">
        <is>
          <t>EOD-Close</t>
        </is>
      </c>
      <c r="M151" s="9">
        <f>M150+J151</f>
        <v/>
      </c>
    </row>
    <row r="152">
      <c r="A152" s="2" t="inlineStr">
        <is>
          <t>2021-07-23</t>
        </is>
      </c>
      <c r="B152" s="2" t="inlineStr">
        <is>
          <t>Friday</t>
        </is>
      </c>
      <c r="C152" s="2" t="inlineStr">
        <is>
          <t>MNQU1</t>
        </is>
      </c>
      <c r="D152" s="3" t="n">
        <v>14994.25</v>
      </c>
      <c r="E152" s="3" t="n">
        <v>14934.25</v>
      </c>
      <c r="F152" s="3">
        <f>D152-E152</f>
        <v/>
      </c>
      <c r="G152" s="2" t="inlineStr">
        <is>
          <t>Long</t>
        </is>
      </c>
      <c r="H152" s="3" t="n">
        <v>14994.25</v>
      </c>
      <c r="I152" s="3" t="n">
        <v>15054.25</v>
      </c>
      <c r="J152" s="3">
        <f>IF(G152="Long",I152-H152,IF(G152="Short",H152-I152,0))</f>
        <v/>
      </c>
      <c r="K152" s="4" t="n">
        <v>17.5</v>
      </c>
      <c r="L152" s="2" t="inlineStr">
        <is>
          <t>Win</t>
        </is>
      </c>
      <c r="M152" s="3">
        <f>M151+J152</f>
        <v/>
      </c>
    </row>
    <row r="153">
      <c r="A153" s="8" t="inlineStr">
        <is>
          <t>2021-07-26</t>
        </is>
      </c>
      <c r="B153" s="8" t="inlineStr">
        <is>
          <t>Monday</t>
        </is>
      </c>
      <c r="C153" s="8" t="inlineStr">
        <is>
          <t>MNQU1</t>
        </is>
      </c>
      <c r="D153" s="9" t="n">
        <v>15090.5</v>
      </c>
      <c r="E153" s="9" t="n">
        <v>15040.25</v>
      </c>
      <c r="F153" s="9">
        <f>D153-E153</f>
        <v/>
      </c>
      <c r="G153" s="8" t="inlineStr">
        <is>
          <t>Long</t>
        </is>
      </c>
      <c r="H153" s="9" t="n">
        <v>15090.5</v>
      </c>
      <c r="I153" s="9" t="n">
        <v>15116.75</v>
      </c>
      <c r="J153" s="9">
        <f>IF(G153="Long",I153-H153,IF(G153="Short",H153-I153,0))</f>
        <v/>
      </c>
      <c r="K153" s="10" t="n">
        <v>16.42</v>
      </c>
      <c r="L153" s="8" t="inlineStr">
        <is>
          <t>EOD-Close</t>
        </is>
      </c>
      <c r="M153" s="9">
        <f>M152+J153</f>
        <v/>
      </c>
    </row>
    <row r="154">
      <c r="A154" s="2" t="inlineStr">
        <is>
          <t>2021-07-27</t>
        </is>
      </c>
      <c r="B154" s="2" t="inlineStr">
        <is>
          <t>Tuesday</t>
        </is>
      </c>
      <c r="C154" s="2" t="inlineStr">
        <is>
          <t>MNQU1</t>
        </is>
      </c>
      <c r="D154" s="3" t="n">
        <v>15107</v>
      </c>
      <c r="E154" s="3" t="n">
        <v>15050</v>
      </c>
      <c r="F154" s="3">
        <f>D154-E154</f>
        <v/>
      </c>
      <c r="G154" s="2" t="inlineStr">
        <is>
          <t>Short</t>
        </is>
      </c>
      <c r="H154" s="3" t="n">
        <v>15050</v>
      </c>
      <c r="I154" s="3" t="n">
        <v>14993</v>
      </c>
      <c r="J154" s="3">
        <f>IF(G154="Long",I154-H154,IF(G154="Short",H154-I154,0))</f>
        <v/>
      </c>
      <c r="K154" s="4" t="n">
        <v>15.79</v>
      </c>
      <c r="L154" s="2" t="inlineStr">
        <is>
          <t>Win</t>
        </is>
      </c>
      <c r="M154" s="3">
        <f>M153+J154</f>
        <v/>
      </c>
    </row>
    <row r="155">
      <c r="A155" s="8" t="inlineStr">
        <is>
          <t>2021-07-28</t>
        </is>
      </c>
      <c r="B155" s="8" t="inlineStr">
        <is>
          <t>Wednesday</t>
        </is>
      </c>
      <c r="C155" s="8" t="inlineStr">
        <is>
          <t>MNQU1</t>
        </is>
      </c>
      <c r="D155" s="9" t="n">
        <v>15022.5</v>
      </c>
      <c r="E155" s="9" t="n">
        <v>14901.5</v>
      </c>
      <c r="F155" s="9">
        <f>D155-E155</f>
        <v/>
      </c>
      <c r="G155" s="8" t="inlineStr">
        <is>
          <t>Long</t>
        </is>
      </c>
      <c r="H155" s="9" t="n">
        <v>15022.5</v>
      </c>
      <c r="I155" s="9" t="n">
        <v>15006</v>
      </c>
      <c r="J155" s="9">
        <f>IF(G155="Long",I155-H155,IF(G155="Short",H155-I155,0))</f>
        <v/>
      </c>
      <c r="K155" s="10" t="n">
        <v>83.26000000000001</v>
      </c>
      <c r="L155" s="8" t="inlineStr">
        <is>
          <t>EOD-Close</t>
        </is>
      </c>
      <c r="M155" s="9">
        <f>M154+J155</f>
        <v/>
      </c>
    </row>
    <row r="156">
      <c r="A156" s="8" t="inlineStr">
        <is>
          <t>2021-07-29</t>
        </is>
      </c>
      <c r="B156" s="8" t="inlineStr">
        <is>
          <t>Thursday</t>
        </is>
      </c>
      <c r="C156" s="8" t="inlineStr">
        <is>
          <t>MNQU1</t>
        </is>
      </c>
      <c r="D156" s="9" t="n">
        <v>15069.75</v>
      </c>
      <c r="E156" s="9" t="n">
        <v>14982.25</v>
      </c>
      <c r="F156" s="9">
        <f>D156-E156</f>
        <v/>
      </c>
      <c r="G156" s="8" t="inlineStr">
        <is>
          <t>Long</t>
        </is>
      </c>
      <c r="H156" s="9" t="n">
        <v>15069.75</v>
      </c>
      <c r="I156" s="9" t="n">
        <v>15035</v>
      </c>
      <c r="J156" s="9">
        <f>IF(G156="Long",I156-H156,IF(G156="Short",H156-I156,0))</f>
        <v/>
      </c>
      <c r="K156" s="10" t="n">
        <v>45.43</v>
      </c>
      <c r="L156" s="8" t="inlineStr">
        <is>
          <t>EOD-Close</t>
        </is>
      </c>
      <c r="M156" s="9">
        <f>M155+J156</f>
        <v/>
      </c>
    </row>
    <row r="157">
      <c r="A157" s="2" t="inlineStr">
        <is>
          <t>2021-07-30</t>
        </is>
      </c>
      <c r="B157" s="2" t="inlineStr">
        <is>
          <t>Friday</t>
        </is>
      </c>
      <c r="C157" s="2" t="inlineStr">
        <is>
          <t>MNQU1</t>
        </is>
      </c>
      <c r="D157" s="3" t="n">
        <v>14921.5</v>
      </c>
      <c r="E157" s="3" t="n">
        <v>14866</v>
      </c>
      <c r="F157" s="3">
        <f>D157-E157</f>
        <v/>
      </c>
      <c r="G157" s="2" t="inlineStr">
        <is>
          <t>Long</t>
        </is>
      </c>
      <c r="H157" s="3" t="n">
        <v>14921.5</v>
      </c>
      <c r="I157" s="3" t="n">
        <v>14977</v>
      </c>
      <c r="J157" s="3">
        <f>IF(G157="Long",I157-H157,IF(G157="Short",H157-I157,0))</f>
        <v/>
      </c>
      <c r="K157" s="4" t="n">
        <v>0</v>
      </c>
      <c r="L157" s="2" t="inlineStr">
        <is>
          <t>Win</t>
        </is>
      </c>
      <c r="M157" s="3">
        <f>M156+J157</f>
        <v/>
      </c>
    </row>
    <row r="158">
      <c r="A158" s="2" t="inlineStr">
        <is>
          <t>2021-07-30</t>
        </is>
      </c>
      <c r="B158" s="2" t="inlineStr">
        <is>
          <t>Friday</t>
        </is>
      </c>
      <c r="C158" s="2" t="inlineStr">
        <is>
          <t>MNQU1</t>
        </is>
      </c>
      <c r="D158" s="3" t="n">
        <v>14921.5</v>
      </c>
      <c r="E158" s="3" t="n">
        <v>14866</v>
      </c>
      <c r="F158" s="3">
        <f>D158-E158</f>
        <v/>
      </c>
      <c r="G158" s="2" t="inlineStr">
        <is>
          <t>Long</t>
        </is>
      </c>
      <c r="H158" s="3" t="n">
        <v>14921.5</v>
      </c>
      <c r="I158" s="3" t="n">
        <v>14977</v>
      </c>
      <c r="J158" s="3">
        <f>IF(G158="Long",I158-H158,IF(G158="Short",H158-I158,0))</f>
        <v/>
      </c>
      <c r="K158" s="4" t="n">
        <v>20.27</v>
      </c>
      <c r="L158" s="2" t="inlineStr">
        <is>
          <t>Win</t>
        </is>
      </c>
      <c r="M158" s="3">
        <f>M157+J158</f>
        <v/>
      </c>
    </row>
    <row r="159">
      <c r="A159" s="5" t="inlineStr">
        <is>
          <t>2021-08-02</t>
        </is>
      </c>
      <c r="B159" s="5" t="inlineStr">
        <is>
          <t>Monday</t>
        </is>
      </c>
      <c r="C159" s="5" t="inlineStr">
        <is>
          <t>MNQU1</t>
        </is>
      </c>
      <c r="D159" s="6" t="n">
        <v>15044.25</v>
      </c>
      <c r="E159" s="6" t="n">
        <v>14950.75</v>
      </c>
      <c r="F159" s="6">
        <f>D159-E159</f>
        <v/>
      </c>
      <c r="G159" s="5" t="inlineStr">
        <is>
          <t>Long</t>
        </is>
      </c>
      <c r="H159" s="6" t="n">
        <v>15044.25</v>
      </c>
      <c r="I159" s="6" t="n">
        <v>14950.75</v>
      </c>
      <c r="J159" s="6">
        <f>IF(G159="Long",I159-H159,IF(G159="Short",H159-I159,0))</f>
        <v/>
      </c>
      <c r="K159" s="7" t="n">
        <v>100</v>
      </c>
      <c r="L159" s="5" t="inlineStr">
        <is>
          <t>Loss</t>
        </is>
      </c>
      <c r="M159" s="6">
        <f>M158+J159</f>
        <v/>
      </c>
    </row>
    <row r="160">
      <c r="A160" s="8" t="inlineStr">
        <is>
          <t>2021-08-02</t>
        </is>
      </c>
      <c r="B160" s="8" t="inlineStr">
        <is>
          <t>Monday</t>
        </is>
      </c>
      <c r="C160" s="8" t="inlineStr">
        <is>
          <t>MNQU1</t>
        </is>
      </c>
      <c r="D160" s="9" t="n">
        <v>15044.25</v>
      </c>
      <c r="E160" s="9" t="n">
        <v>14950.75</v>
      </c>
      <c r="F160" s="9">
        <f>D160-E160</f>
        <v/>
      </c>
      <c r="G160" s="8" t="inlineStr">
        <is>
          <t>Short</t>
        </is>
      </c>
      <c r="H160" s="9" t="n">
        <v>14950.75</v>
      </c>
      <c r="I160" s="9" t="n">
        <v>14955</v>
      </c>
      <c r="J160" s="9">
        <f>IF(G160="Long",I160-H160,IF(G160="Short",H160-I160,0))</f>
        <v/>
      </c>
      <c r="K160" s="10" t="n">
        <v>5.08</v>
      </c>
      <c r="L160" s="8" t="inlineStr">
        <is>
          <t>EOD-Close</t>
        </is>
      </c>
      <c r="M160" s="9">
        <f>M159+J160</f>
        <v/>
      </c>
    </row>
    <row r="161">
      <c r="A161" s="2" t="inlineStr">
        <is>
          <t>2021-08-03</t>
        </is>
      </c>
      <c r="B161" s="2" t="inlineStr">
        <is>
          <t>Tuesday</t>
        </is>
      </c>
      <c r="C161" s="2" t="inlineStr">
        <is>
          <t>MNQU1</t>
        </is>
      </c>
      <c r="D161" s="3" t="n">
        <v>14998.5</v>
      </c>
      <c r="E161" s="3" t="n">
        <v>14952</v>
      </c>
      <c r="F161" s="3">
        <f>D161-E161</f>
        <v/>
      </c>
      <c r="G161" s="2" t="inlineStr">
        <is>
          <t>Short</t>
        </is>
      </c>
      <c r="H161" s="3" t="n">
        <v>14952</v>
      </c>
      <c r="I161" s="3" t="n">
        <v>14905.5</v>
      </c>
      <c r="J161" s="3">
        <f>IF(G161="Long",I161-H161,IF(G161="Short",H161-I161,0))</f>
        <v/>
      </c>
      <c r="K161" s="4" t="n">
        <v>0</v>
      </c>
      <c r="L161" s="2" t="inlineStr">
        <is>
          <t>Win</t>
        </is>
      </c>
      <c r="M161" s="3">
        <f>M160+J161</f>
        <v/>
      </c>
    </row>
    <row r="162">
      <c r="A162" s="5" t="inlineStr">
        <is>
          <t>2021-08-03</t>
        </is>
      </c>
      <c r="B162" s="5" t="inlineStr">
        <is>
          <t>Tuesday</t>
        </is>
      </c>
      <c r="C162" s="5" t="inlineStr">
        <is>
          <t>MNQU1</t>
        </is>
      </c>
      <c r="D162" s="6" t="n">
        <v>14998.5</v>
      </c>
      <c r="E162" s="6" t="n">
        <v>14952</v>
      </c>
      <c r="F162" s="6">
        <f>D162-E162</f>
        <v/>
      </c>
      <c r="G162" s="5" t="inlineStr">
        <is>
          <t>Short</t>
        </is>
      </c>
      <c r="H162" s="6" t="n">
        <v>14952</v>
      </c>
      <c r="I162" s="6" t="n">
        <v>14998.5</v>
      </c>
      <c r="J162" s="6">
        <f>IF(G162="Long",I162-H162,IF(G162="Short",H162-I162,0))</f>
        <v/>
      </c>
      <c r="K162" s="7" t="n">
        <v>100</v>
      </c>
      <c r="L162" s="5" t="inlineStr">
        <is>
          <t>Loss</t>
        </is>
      </c>
      <c r="M162" s="6">
        <f>M161+J162</f>
        <v/>
      </c>
    </row>
    <row r="163">
      <c r="A163" s="2" t="inlineStr">
        <is>
          <t>2021-08-04</t>
        </is>
      </c>
      <c r="B163" s="2" t="inlineStr">
        <is>
          <t>Wednesday</t>
        </is>
      </c>
      <c r="C163" s="2" t="inlineStr">
        <is>
          <t>MNQU1</t>
        </is>
      </c>
      <c r="D163" s="3" t="n">
        <v>15066.75</v>
      </c>
      <c r="E163" s="3" t="n">
        <v>15033</v>
      </c>
      <c r="F163" s="3">
        <f>D163-E163</f>
        <v/>
      </c>
      <c r="G163" s="2" t="inlineStr">
        <is>
          <t>Short</t>
        </is>
      </c>
      <c r="H163" s="3" t="n">
        <v>15033</v>
      </c>
      <c r="I163" s="3" t="n">
        <v>14999.25</v>
      </c>
      <c r="J163" s="3">
        <f>IF(G163="Long",I163-H163,IF(G163="Short",H163-I163,0))</f>
        <v/>
      </c>
      <c r="K163" s="4" t="n">
        <v>1.48</v>
      </c>
      <c r="L163" s="2" t="inlineStr">
        <is>
          <t>Win</t>
        </is>
      </c>
      <c r="M163" s="3">
        <f>M162+J163</f>
        <v/>
      </c>
    </row>
    <row r="164">
      <c r="A164" s="5" t="inlineStr">
        <is>
          <t>2021-08-04</t>
        </is>
      </c>
      <c r="B164" s="5" t="inlineStr">
        <is>
          <t>Wednesday</t>
        </is>
      </c>
      <c r="C164" s="5" t="inlineStr">
        <is>
          <t>MNQU1</t>
        </is>
      </c>
      <c r="D164" s="6" t="n">
        <v>15066.75</v>
      </c>
      <c r="E164" s="6" t="n">
        <v>15033</v>
      </c>
      <c r="F164" s="6">
        <f>D164-E164</f>
        <v/>
      </c>
      <c r="G164" s="5" t="inlineStr">
        <is>
          <t>Short</t>
        </is>
      </c>
      <c r="H164" s="6" t="n">
        <v>15033</v>
      </c>
      <c r="I164" s="6" t="n">
        <v>15066.75</v>
      </c>
      <c r="J164" s="6">
        <f>IF(G164="Long",I164-H164,IF(G164="Short",H164-I164,0))</f>
        <v/>
      </c>
      <c r="K164" s="7" t="n">
        <v>100</v>
      </c>
      <c r="L164" s="5" t="inlineStr">
        <is>
          <t>Loss</t>
        </is>
      </c>
      <c r="M164" s="6">
        <f>M163+J164</f>
        <v/>
      </c>
    </row>
    <row r="165">
      <c r="A165" s="2" t="inlineStr">
        <is>
          <t>2021-08-05</t>
        </is>
      </c>
      <c r="B165" s="2" t="inlineStr">
        <is>
          <t>Thursday</t>
        </is>
      </c>
      <c r="C165" s="2" t="inlineStr">
        <is>
          <t>MNQU1</t>
        </is>
      </c>
      <c r="D165" s="3" t="n">
        <v>15114.75</v>
      </c>
      <c r="E165" s="3" t="n">
        <v>15072.75</v>
      </c>
      <c r="F165" s="3">
        <f>D165-E165</f>
        <v/>
      </c>
      <c r="G165" s="2" t="inlineStr">
        <is>
          <t>Long</t>
        </is>
      </c>
      <c r="H165" s="3" t="n">
        <v>15114.75</v>
      </c>
      <c r="I165" s="3" t="n">
        <v>15156.75</v>
      </c>
      <c r="J165" s="3">
        <f>IF(G165="Long",I165-H165,IF(G165="Short",H165-I165,0))</f>
        <v/>
      </c>
      <c r="K165" s="4" t="n">
        <v>27.98</v>
      </c>
      <c r="L165" s="2" t="inlineStr">
        <is>
          <t>Win</t>
        </is>
      </c>
      <c r="M165" s="3">
        <f>M164+J165</f>
        <v/>
      </c>
    </row>
    <row r="166">
      <c r="A166" s="2" t="inlineStr">
        <is>
          <t>2021-08-06</t>
        </is>
      </c>
      <c r="B166" s="2" t="inlineStr">
        <is>
          <t>Friday</t>
        </is>
      </c>
      <c r="C166" s="2" t="inlineStr">
        <is>
          <t>MNQU1</t>
        </is>
      </c>
      <c r="D166" s="3" t="n">
        <v>15150</v>
      </c>
      <c r="E166" s="3" t="n">
        <v>15104.5</v>
      </c>
      <c r="F166" s="3">
        <f>D166-E166</f>
        <v/>
      </c>
      <c r="G166" s="2" t="inlineStr">
        <is>
          <t>Short</t>
        </is>
      </c>
      <c r="H166" s="3" t="n">
        <v>15104.5</v>
      </c>
      <c r="I166" s="3" t="n">
        <v>15059</v>
      </c>
      <c r="J166" s="3">
        <f>IF(G166="Long",I166-H166,IF(G166="Short",H166-I166,0))</f>
        <v/>
      </c>
      <c r="K166" s="4" t="n">
        <v>39.56</v>
      </c>
      <c r="L166" s="2" t="inlineStr">
        <is>
          <t>Win</t>
        </is>
      </c>
      <c r="M166" s="3">
        <f>M165+J166</f>
        <v/>
      </c>
    </row>
    <row r="167">
      <c r="A167" s="8" t="inlineStr">
        <is>
          <t>2021-08-06</t>
        </is>
      </c>
      <c r="B167" s="8" t="inlineStr">
        <is>
          <t>Friday</t>
        </is>
      </c>
      <c r="C167" s="8" t="inlineStr">
        <is>
          <t>MNQU1</t>
        </is>
      </c>
      <c r="D167" s="9" t="n">
        <v>15150</v>
      </c>
      <c r="E167" s="9" t="n">
        <v>15104.5</v>
      </c>
      <c r="F167" s="9">
        <f>D167-E167</f>
        <v/>
      </c>
      <c r="G167" s="8" t="inlineStr">
        <is>
          <t>Short</t>
        </is>
      </c>
      <c r="H167" s="9" t="n">
        <v>15104.5</v>
      </c>
      <c r="I167" s="9" t="n">
        <v>15095.75</v>
      </c>
      <c r="J167" s="9">
        <f>IF(G167="Long",I167-H167,IF(G167="Short",H167-I167,0))</f>
        <v/>
      </c>
      <c r="K167" s="10" t="n">
        <v>10.99</v>
      </c>
      <c r="L167" s="8" t="inlineStr">
        <is>
          <t>EOD-Close</t>
        </is>
      </c>
      <c r="M167" s="9">
        <f>M166+J167</f>
        <v/>
      </c>
    </row>
    <row r="168">
      <c r="A168" s="8" t="inlineStr">
        <is>
          <t>2021-08-09</t>
        </is>
      </c>
      <c r="B168" s="8" t="inlineStr">
        <is>
          <t>Monday</t>
        </is>
      </c>
      <c r="C168" s="8" t="inlineStr">
        <is>
          <t>MNQU1</t>
        </is>
      </c>
      <c r="D168" s="9" t="n">
        <v>15138.75</v>
      </c>
      <c r="E168" s="9" t="n">
        <v>15069</v>
      </c>
      <c r="F168" s="9">
        <f>D168-E168</f>
        <v/>
      </c>
      <c r="G168" s="8" t="inlineStr">
        <is>
          <t>Long</t>
        </is>
      </c>
      <c r="H168" s="9" t="n">
        <v>15138.75</v>
      </c>
      <c r="I168" s="9" t="n">
        <v>15122.75</v>
      </c>
      <c r="J168" s="9">
        <f>IF(G168="Long",I168-H168,IF(G168="Short",H168-I168,0))</f>
        <v/>
      </c>
      <c r="K168" s="10" t="n">
        <v>32.62</v>
      </c>
      <c r="L168" s="8" t="inlineStr">
        <is>
          <t>EOD-Close</t>
        </is>
      </c>
      <c r="M168" s="9">
        <f>M167+J168</f>
        <v/>
      </c>
    </row>
    <row r="169">
      <c r="A169" s="2" t="inlineStr">
        <is>
          <t>2021-08-10</t>
        </is>
      </c>
      <c r="B169" s="2" t="inlineStr">
        <is>
          <t>Tuesday</t>
        </is>
      </c>
      <c r="C169" s="2" t="inlineStr">
        <is>
          <t>MNQU1</t>
        </is>
      </c>
      <c r="D169" s="3" t="n">
        <v>15153.75</v>
      </c>
      <c r="E169" s="3" t="n">
        <v>15117</v>
      </c>
      <c r="F169" s="3">
        <f>D169-E169</f>
        <v/>
      </c>
      <c r="G169" s="2" t="inlineStr">
        <is>
          <t>Short</t>
        </is>
      </c>
      <c r="H169" s="3" t="n">
        <v>15117</v>
      </c>
      <c r="I169" s="3" t="n">
        <v>15080.25</v>
      </c>
      <c r="J169" s="3">
        <f>IF(G169="Long",I169-H169,IF(G169="Short",H169-I169,0))</f>
        <v/>
      </c>
      <c r="K169" s="4" t="n">
        <v>28.57</v>
      </c>
      <c r="L169" s="2" t="inlineStr">
        <is>
          <t>Win</t>
        </is>
      </c>
      <c r="M169" s="3">
        <f>M168+J169</f>
        <v/>
      </c>
    </row>
    <row r="170">
      <c r="A170" s="2" t="inlineStr">
        <is>
          <t>2021-08-11</t>
        </is>
      </c>
      <c r="B170" s="2" t="inlineStr">
        <is>
          <t>Wednesday</t>
        </is>
      </c>
      <c r="C170" s="2" t="inlineStr">
        <is>
          <t>MNQU1</t>
        </is>
      </c>
      <c r="D170" s="3" t="n">
        <v>15119</v>
      </c>
      <c r="E170" s="3" t="n">
        <v>15061.5</v>
      </c>
      <c r="F170" s="3">
        <f>D170-E170</f>
        <v/>
      </c>
      <c r="G170" s="2" t="inlineStr">
        <is>
          <t>Short</t>
        </is>
      </c>
      <c r="H170" s="3" t="n">
        <v>15061.5</v>
      </c>
      <c r="I170" s="3" t="n">
        <v>15004</v>
      </c>
      <c r="J170" s="3">
        <f>IF(G170="Long",I170-H170,IF(G170="Short",H170-I170,0))</f>
        <v/>
      </c>
      <c r="K170" s="4" t="n">
        <v>35.22</v>
      </c>
      <c r="L170" s="2" t="inlineStr">
        <is>
          <t>Win</t>
        </is>
      </c>
      <c r="M170" s="3">
        <f>M169+J170</f>
        <v/>
      </c>
    </row>
    <row r="171">
      <c r="A171" s="2" t="inlineStr">
        <is>
          <t>2021-08-12</t>
        </is>
      </c>
      <c r="B171" s="2" t="inlineStr">
        <is>
          <t>Thursday</t>
        </is>
      </c>
      <c r="C171" s="2" t="inlineStr">
        <is>
          <t>MNQU1</t>
        </is>
      </c>
      <c r="D171" s="3" t="n">
        <v>15005.25</v>
      </c>
      <c r="E171" s="3" t="n">
        <v>14952.25</v>
      </c>
      <c r="F171" s="3">
        <f>D171-E171</f>
        <v/>
      </c>
      <c r="G171" s="2" t="inlineStr">
        <is>
          <t>Long</t>
        </is>
      </c>
      <c r="H171" s="3" t="n">
        <v>15005.25</v>
      </c>
      <c r="I171" s="3" t="n">
        <v>15058.25</v>
      </c>
      <c r="J171" s="3">
        <f>IF(G171="Long",I171-H171,IF(G171="Short",H171-I171,0))</f>
        <v/>
      </c>
      <c r="K171" s="4" t="n">
        <v>2.36</v>
      </c>
      <c r="L171" s="2" t="inlineStr">
        <is>
          <t>Win</t>
        </is>
      </c>
      <c r="M171" s="3">
        <f>M170+J171</f>
        <v/>
      </c>
    </row>
    <row r="172">
      <c r="A172" s="2" t="inlineStr">
        <is>
          <t>2021-08-13</t>
        </is>
      </c>
      <c r="B172" s="2" t="inlineStr">
        <is>
          <t>Friday</t>
        </is>
      </c>
      <c r="C172" s="2" t="inlineStr">
        <is>
          <t>MNQU1</t>
        </is>
      </c>
      <c r="D172" s="3" t="n">
        <v>15095.25</v>
      </c>
      <c r="E172" s="3" t="n">
        <v>15068</v>
      </c>
      <c r="F172" s="3">
        <f>D172-E172</f>
        <v/>
      </c>
      <c r="G172" s="2" t="inlineStr">
        <is>
          <t>Long</t>
        </is>
      </c>
      <c r="H172" s="3" t="n">
        <v>15095.25</v>
      </c>
      <c r="I172" s="3" t="n">
        <v>15122.5</v>
      </c>
      <c r="J172" s="3">
        <f>IF(G172="Long",I172-H172,IF(G172="Short",H172-I172,0))</f>
        <v/>
      </c>
      <c r="K172" s="4" t="n">
        <v>46.79</v>
      </c>
      <c r="L172" s="2" t="inlineStr">
        <is>
          <t>Win</t>
        </is>
      </c>
      <c r="M172" s="3">
        <f>M171+J172</f>
        <v/>
      </c>
    </row>
    <row r="173">
      <c r="A173" s="2" t="inlineStr">
        <is>
          <t>2021-08-13</t>
        </is>
      </c>
      <c r="B173" s="2" t="inlineStr">
        <is>
          <t>Friday</t>
        </is>
      </c>
      <c r="C173" s="2" t="inlineStr">
        <is>
          <t>MNQU1</t>
        </is>
      </c>
      <c r="D173" s="3" t="n">
        <v>15095.25</v>
      </c>
      <c r="E173" s="3" t="n">
        <v>15068</v>
      </c>
      <c r="F173" s="3">
        <f>D173-E173</f>
        <v/>
      </c>
      <c r="G173" s="2" t="inlineStr">
        <is>
          <t>Long</t>
        </is>
      </c>
      <c r="H173" s="3" t="n">
        <v>15095.25</v>
      </c>
      <c r="I173" s="3" t="n">
        <v>15122.5</v>
      </c>
      <c r="J173" s="3">
        <f>IF(G173="Long",I173-H173,IF(G173="Short",H173-I173,0))</f>
        <v/>
      </c>
      <c r="K173" s="4" t="n">
        <v>11.01</v>
      </c>
      <c r="L173" s="2" t="inlineStr">
        <is>
          <t>Win</t>
        </is>
      </c>
      <c r="M173" s="3">
        <f>M172+J173</f>
        <v/>
      </c>
    </row>
    <row r="174">
      <c r="A174" s="2" t="inlineStr">
        <is>
          <t>2021-08-16</t>
        </is>
      </c>
      <c r="B174" s="2" t="inlineStr">
        <is>
          <t>Monday</t>
        </is>
      </c>
      <c r="C174" s="2" t="inlineStr">
        <is>
          <t>MNQU1</t>
        </is>
      </c>
      <c r="D174" s="3" t="n">
        <v>15112</v>
      </c>
      <c r="E174" s="3" t="n">
        <v>15076.5</v>
      </c>
      <c r="F174" s="3">
        <f>D174-E174</f>
        <v/>
      </c>
      <c r="G174" s="2" t="inlineStr">
        <is>
          <t>Short</t>
        </is>
      </c>
      <c r="H174" s="3" t="n">
        <v>15076.5</v>
      </c>
      <c r="I174" s="3" t="n">
        <v>15041</v>
      </c>
      <c r="J174" s="3">
        <f>IF(G174="Long",I174-H174,IF(G174="Short",H174-I174,0))</f>
        <v/>
      </c>
      <c r="K174" s="4" t="n">
        <v>0.7</v>
      </c>
      <c r="L174" s="2" t="inlineStr">
        <is>
          <t>Win</t>
        </is>
      </c>
      <c r="M174" s="3">
        <f>M173+J174</f>
        <v/>
      </c>
    </row>
    <row r="175">
      <c r="A175" s="2" t="inlineStr">
        <is>
          <t>2021-08-16</t>
        </is>
      </c>
      <c r="B175" s="2" t="inlineStr">
        <is>
          <t>Monday</t>
        </is>
      </c>
      <c r="C175" s="2" t="inlineStr">
        <is>
          <t>MNQU1</t>
        </is>
      </c>
      <c r="D175" s="3" t="n">
        <v>15112</v>
      </c>
      <c r="E175" s="3" t="n">
        <v>15076.5</v>
      </c>
      <c r="F175" s="3">
        <f>D175-E175</f>
        <v/>
      </c>
      <c r="G175" s="2" t="inlineStr">
        <is>
          <t>Short</t>
        </is>
      </c>
      <c r="H175" s="3" t="n">
        <v>15076.5</v>
      </c>
      <c r="I175" s="3" t="n">
        <v>15041</v>
      </c>
      <c r="J175" s="3">
        <f>IF(G175="Long",I175-H175,IF(G175="Short",H175-I175,0))</f>
        <v/>
      </c>
      <c r="K175" s="4" t="n">
        <v>0</v>
      </c>
      <c r="L175" s="2" t="inlineStr">
        <is>
          <t>Win</t>
        </is>
      </c>
      <c r="M175" s="3">
        <f>M174+J175</f>
        <v/>
      </c>
    </row>
    <row r="176">
      <c r="A176" s="5" t="inlineStr">
        <is>
          <t>2021-08-17</t>
        </is>
      </c>
      <c r="B176" s="5" t="inlineStr">
        <is>
          <t>Tuesday</t>
        </is>
      </c>
      <c r="C176" s="5" t="inlineStr">
        <is>
          <t>MNQU1</t>
        </is>
      </c>
      <c r="D176" s="6" t="n">
        <v>15040</v>
      </c>
      <c r="E176" s="6" t="n">
        <v>14971.5</v>
      </c>
      <c r="F176" s="6">
        <f>D176-E176</f>
        <v/>
      </c>
      <c r="G176" s="5" t="inlineStr">
        <is>
          <t>Short</t>
        </is>
      </c>
      <c r="H176" s="6" t="n">
        <v>14971.5</v>
      </c>
      <c r="I176" s="6" t="n">
        <v>15040</v>
      </c>
      <c r="J176" s="6">
        <f>IF(G176="Long",I176-H176,IF(G176="Short",H176-I176,0))</f>
        <v/>
      </c>
      <c r="K176" s="7" t="n">
        <v>100</v>
      </c>
      <c r="L176" s="5" t="inlineStr">
        <is>
          <t>Loss</t>
        </is>
      </c>
      <c r="M176" s="6">
        <f>M175+J176</f>
        <v/>
      </c>
    </row>
    <row r="177">
      <c r="A177" s="5" t="inlineStr">
        <is>
          <t>2021-08-17</t>
        </is>
      </c>
      <c r="B177" s="5" t="inlineStr">
        <is>
          <t>Tuesday</t>
        </is>
      </c>
      <c r="C177" s="5" t="inlineStr">
        <is>
          <t>MNQU1</t>
        </is>
      </c>
      <c r="D177" s="6" t="n">
        <v>15040</v>
      </c>
      <c r="E177" s="6" t="n">
        <v>14971.5</v>
      </c>
      <c r="F177" s="6">
        <f>D177-E177</f>
        <v/>
      </c>
      <c r="G177" s="5" t="inlineStr">
        <is>
          <t>Long</t>
        </is>
      </c>
      <c r="H177" s="6" t="n">
        <v>15040</v>
      </c>
      <c r="I177" s="6" t="n">
        <v>14971.5</v>
      </c>
      <c r="J177" s="6">
        <f>IF(G177="Long",I177-H177,IF(G177="Short",H177-I177,0))</f>
        <v/>
      </c>
      <c r="K177" s="7" t="n">
        <v>100</v>
      </c>
      <c r="L177" s="5" t="inlineStr">
        <is>
          <t>Loss</t>
        </is>
      </c>
      <c r="M177" s="6">
        <f>M176+J177</f>
        <v/>
      </c>
    </row>
    <row r="178">
      <c r="A178" s="5" t="inlineStr">
        <is>
          <t>2021-08-18</t>
        </is>
      </c>
      <c r="B178" s="5" t="inlineStr">
        <is>
          <t>Wednesday</t>
        </is>
      </c>
      <c r="C178" s="5" t="inlineStr">
        <is>
          <t>MNQU1</t>
        </is>
      </c>
      <c r="D178" s="6" t="n">
        <v>15011</v>
      </c>
      <c r="E178" s="6" t="n">
        <v>14964.25</v>
      </c>
      <c r="F178" s="6">
        <f>D178-E178</f>
        <v/>
      </c>
      <c r="G178" s="5" t="inlineStr">
        <is>
          <t>Long</t>
        </is>
      </c>
      <c r="H178" s="6" t="n">
        <v>15011</v>
      </c>
      <c r="I178" s="6" t="n">
        <v>14964.25</v>
      </c>
      <c r="J178" s="6">
        <f>IF(G178="Long",I178-H178,IF(G178="Short",H178-I178,0))</f>
        <v/>
      </c>
      <c r="K178" s="7" t="n">
        <v>100</v>
      </c>
      <c r="L178" s="5" t="inlineStr">
        <is>
          <t>Loss</t>
        </is>
      </c>
      <c r="M178" s="6">
        <f>M177+J178</f>
        <v/>
      </c>
    </row>
    <row r="179">
      <c r="A179" s="5" t="inlineStr">
        <is>
          <t>2021-08-18</t>
        </is>
      </c>
      <c r="B179" s="5" t="inlineStr">
        <is>
          <t>Wednesday</t>
        </is>
      </c>
      <c r="C179" s="5" t="inlineStr">
        <is>
          <t>MNQU1</t>
        </is>
      </c>
      <c r="D179" s="6" t="n">
        <v>15011</v>
      </c>
      <c r="E179" s="6" t="n">
        <v>14964.25</v>
      </c>
      <c r="F179" s="6">
        <f>D179-E179</f>
        <v/>
      </c>
      <c r="G179" s="5" t="inlineStr">
        <is>
          <t>Long</t>
        </is>
      </c>
      <c r="H179" s="6" t="n">
        <v>15011</v>
      </c>
      <c r="I179" s="6" t="n">
        <v>14964.25</v>
      </c>
      <c r="J179" s="6">
        <f>IF(G179="Long",I179-H179,IF(G179="Short",H179-I179,0))</f>
        <v/>
      </c>
      <c r="K179" s="7" t="n">
        <v>100</v>
      </c>
      <c r="L179" s="5" t="inlineStr">
        <is>
          <t>Loss</t>
        </is>
      </c>
      <c r="M179" s="6">
        <f>M178+J179</f>
        <v/>
      </c>
    </row>
    <row r="180">
      <c r="A180" s="2" t="inlineStr">
        <is>
          <t>2021-08-19</t>
        </is>
      </c>
      <c r="B180" s="2" t="inlineStr">
        <is>
          <t>Thursday</t>
        </is>
      </c>
      <c r="C180" s="2" t="inlineStr">
        <is>
          <t>MNQU1</t>
        </is>
      </c>
      <c r="D180" s="3" t="n">
        <v>14835.75</v>
      </c>
      <c r="E180" s="3" t="n">
        <v>14763.5</v>
      </c>
      <c r="F180" s="3">
        <f>D180-E180</f>
        <v/>
      </c>
      <c r="G180" s="2" t="inlineStr">
        <is>
          <t>Long</t>
        </is>
      </c>
      <c r="H180" s="3" t="n">
        <v>14835.75</v>
      </c>
      <c r="I180" s="3" t="n">
        <v>14908</v>
      </c>
      <c r="J180" s="3">
        <f>IF(G180="Long",I180-H180,IF(G180="Short",H180-I180,0))</f>
        <v/>
      </c>
      <c r="K180" s="4" t="n">
        <v>16.96</v>
      </c>
      <c r="L180" s="2" t="inlineStr">
        <is>
          <t>Win</t>
        </is>
      </c>
      <c r="M180" s="3">
        <f>M179+J180</f>
        <v/>
      </c>
    </row>
    <row r="181">
      <c r="A181" s="2" t="inlineStr">
        <is>
          <t>2021-08-20</t>
        </is>
      </c>
      <c r="B181" s="2" t="inlineStr">
        <is>
          <t>Friday</t>
        </is>
      </c>
      <c r="C181" s="2" t="inlineStr">
        <is>
          <t>MNQU1</t>
        </is>
      </c>
      <c r="D181" s="3" t="n">
        <v>14996</v>
      </c>
      <c r="E181" s="3" t="n">
        <v>14959.25</v>
      </c>
      <c r="F181" s="3">
        <f>D181-E181</f>
        <v/>
      </c>
      <c r="G181" s="2" t="inlineStr">
        <is>
          <t>Long</t>
        </is>
      </c>
      <c r="H181" s="3" t="n">
        <v>14996</v>
      </c>
      <c r="I181" s="3" t="n">
        <v>15032.75</v>
      </c>
      <c r="J181" s="3">
        <f>IF(G181="Long",I181-H181,IF(G181="Short",H181-I181,0))</f>
        <v/>
      </c>
      <c r="K181" s="4" t="n">
        <v>0</v>
      </c>
      <c r="L181" s="2" t="inlineStr">
        <is>
          <t>Win</t>
        </is>
      </c>
      <c r="M181" s="3">
        <f>M180+J181</f>
        <v/>
      </c>
    </row>
    <row r="182">
      <c r="A182" s="2" t="inlineStr">
        <is>
          <t>2021-08-23</t>
        </is>
      </c>
      <c r="B182" s="2" t="inlineStr">
        <is>
          <t>Monday</t>
        </is>
      </c>
      <c r="C182" s="2" t="inlineStr">
        <is>
          <t>MNQU1</t>
        </is>
      </c>
      <c r="D182" s="3" t="n">
        <v>15194</v>
      </c>
      <c r="E182" s="3" t="n">
        <v>15124.75</v>
      </c>
      <c r="F182" s="3">
        <f>D182-E182</f>
        <v/>
      </c>
      <c r="G182" s="2" t="inlineStr">
        <is>
          <t>Long</t>
        </is>
      </c>
      <c r="H182" s="3" t="n">
        <v>15194</v>
      </c>
      <c r="I182" s="3" t="n">
        <v>15263.25</v>
      </c>
      <c r="J182" s="3">
        <f>IF(G182="Long",I182-H182,IF(G182="Short",H182-I182,0))</f>
        <v/>
      </c>
      <c r="K182" s="4" t="n">
        <v>5.42</v>
      </c>
      <c r="L182" s="2" t="inlineStr">
        <is>
          <t>Win</t>
        </is>
      </c>
      <c r="M182" s="3">
        <f>M181+J182</f>
        <v/>
      </c>
    </row>
    <row r="183">
      <c r="A183" s="8" t="inlineStr">
        <is>
          <t>2021-08-24</t>
        </is>
      </c>
      <c r="B183" s="8" t="inlineStr">
        <is>
          <t>Tuesday</t>
        </is>
      </c>
      <c r="C183" s="8" t="inlineStr">
        <is>
          <t>MNQU1</t>
        </is>
      </c>
      <c r="D183" s="9" t="n">
        <v>15353.5</v>
      </c>
      <c r="E183" s="9" t="n">
        <v>15312.75</v>
      </c>
      <c r="F183" s="9">
        <f>D183-E183</f>
        <v/>
      </c>
      <c r="G183" s="8" t="inlineStr">
        <is>
          <t>Long</t>
        </is>
      </c>
      <c r="H183" s="9" t="n">
        <v>15353.5</v>
      </c>
      <c r="I183" s="9" t="n">
        <v>15356.25</v>
      </c>
      <c r="J183" s="9">
        <f>IF(G183="Long",I183-H183,IF(G183="Short",H183-I183,0))</f>
        <v/>
      </c>
      <c r="K183" s="10" t="n">
        <v>57.06</v>
      </c>
      <c r="L183" s="8" t="inlineStr">
        <is>
          <t>EOD-Close</t>
        </is>
      </c>
      <c r="M183" s="9">
        <f>M182+J183</f>
        <v/>
      </c>
    </row>
    <row r="184">
      <c r="A184" s="8" t="inlineStr">
        <is>
          <t>2021-08-25</t>
        </is>
      </c>
      <c r="B184" s="8" t="inlineStr">
        <is>
          <t>Wednesday</t>
        </is>
      </c>
      <c r="C184" s="8" t="inlineStr">
        <is>
          <t>MNQU1</t>
        </is>
      </c>
      <c r="D184" s="9" t="n">
        <v>15397</v>
      </c>
      <c r="E184" s="9" t="n">
        <v>15360.75</v>
      </c>
      <c r="F184" s="9">
        <f>D184-E184</f>
        <v/>
      </c>
      <c r="G184" s="8" t="inlineStr">
        <is>
          <t>Short</t>
        </is>
      </c>
      <c r="H184" s="9" t="n">
        <v>15360.75</v>
      </c>
      <c r="I184" s="9" t="n">
        <v>15362.5</v>
      </c>
      <c r="J184" s="9">
        <f>IF(G184="Long",I184-H184,IF(G184="Short",H184-I184,0))</f>
        <v/>
      </c>
      <c r="K184" s="10" t="n">
        <v>68.97</v>
      </c>
      <c r="L184" s="8" t="inlineStr">
        <is>
          <t>EOD-Close</t>
        </is>
      </c>
      <c r="M184" s="9">
        <f>M183+J184</f>
        <v/>
      </c>
    </row>
    <row r="185">
      <c r="A185" s="5" t="inlineStr">
        <is>
          <t>2021-08-26</t>
        </is>
      </c>
      <c r="B185" s="5" t="inlineStr">
        <is>
          <t>Thursday</t>
        </is>
      </c>
      <c r="C185" s="5" t="inlineStr">
        <is>
          <t>MNQU1</t>
        </is>
      </c>
      <c r="D185" s="6" t="n">
        <v>15360</v>
      </c>
      <c r="E185" s="6" t="n">
        <v>15335.25</v>
      </c>
      <c r="F185" s="6">
        <f>D185-E185</f>
        <v/>
      </c>
      <c r="G185" s="5" t="inlineStr">
        <is>
          <t>Short</t>
        </is>
      </c>
      <c r="H185" s="6" t="n">
        <v>15335.25</v>
      </c>
      <c r="I185" s="6" t="n">
        <v>15360</v>
      </c>
      <c r="J185" s="6">
        <f>IF(G185="Long",I185-H185,IF(G185="Short",H185-I185,0))</f>
        <v/>
      </c>
      <c r="K185" s="7" t="n">
        <v>100</v>
      </c>
      <c r="L185" s="5" t="inlineStr">
        <is>
          <t>Loss</t>
        </is>
      </c>
      <c r="M185" s="6">
        <f>M184+J185</f>
        <v/>
      </c>
    </row>
    <row r="186">
      <c r="A186" s="2" t="inlineStr">
        <is>
          <t>2021-08-26</t>
        </is>
      </c>
      <c r="B186" s="2" t="inlineStr">
        <is>
          <t>Thursday</t>
        </is>
      </c>
      <c r="C186" s="2" t="inlineStr">
        <is>
          <t>MNQU1</t>
        </is>
      </c>
      <c r="D186" s="3" t="n">
        <v>15360</v>
      </c>
      <c r="E186" s="3" t="n">
        <v>15335.25</v>
      </c>
      <c r="F186" s="3">
        <f>D186-E186</f>
        <v/>
      </c>
      <c r="G186" s="2" t="inlineStr">
        <is>
          <t>Short</t>
        </is>
      </c>
      <c r="H186" s="3" t="n">
        <v>15335.25</v>
      </c>
      <c r="I186" s="3" t="n">
        <v>15310.5</v>
      </c>
      <c r="J186" s="3">
        <f>IF(G186="Long",I186-H186,IF(G186="Short",H186-I186,0))</f>
        <v/>
      </c>
      <c r="K186" s="4" t="n">
        <v>0</v>
      </c>
      <c r="L186" s="2" t="inlineStr">
        <is>
          <t>Win</t>
        </is>
      </c>
      <c r="M186" s="3">
        <f>M185+J186</f>
        <v/>
      </c>
    </row>
    <row r="187">
      <c r="A187" s="2" t="inlineStr">
        <is>
          <t>2021-08-27</t>
        </is>
      </c>
      <c r="B187" s="2" t="inlineStr">
        <is>
          <t>Friday</t>
        </is>
      </c>
      <c r="C187" s="2" t="inlineStr">
        <is>
          <t>MNQU1</t>
        </is>
      </c>
      <c r="D187" s="3" t="n">
        <v>15332.25</v>
      </c>
      <c r="E187" s="3" t="n">
        <v>15284.25</v>
      </c>
      <c r="F187" s="3">
        <f>D187-E187</f>
        <v/>
      </c>
      <c r="G187" s="2" t="inlineStr">
        <is>
          <t>Long</t>
        </is>
      </c>
      <c r="H187" s="3" t="n">
        <v>15332.25</v>
      </c>
      <c r="I187" s="3" t="n">
        <v>15380.25</v>
      </c>
      <c r="J187" s="3">
        <f>IF(G187="Long",I187-H187,IF(G187="Short",H187-I187,0))</f>
        <v/>
      </c>
      <c r="K187" s="4" t="n">
        <v>0</v>
      </c>
      <c r="L187" s="2" t="inlineStr">
        <is>
          <t>Win</t>
        </is>
      </c>
      <c r="M187" s="3">
        <f>M186+J187</f>
        <v/>
      </c>
    </row>
    <row r="188">
      <c r="A188" s="2" t="inlineStr">
        <is>
          <t>2021-08-30</t>
        </is>
      </c>
      <c r="B188" s="2" t="inlineStr">
        <is>
          <t>Monday</t>
        </is>
      </c>
      <c r="C188" s="2" t="inlineStr">
        <is>
          <t>MNQU1</t>
        </is>
      </c>
      <c r="D188" s="3" t="n">
        <v>15516.5</v>
      </c>
      <c r="E188" s="3" t="n">
        <v>15455.25</v>
      </c>
      <c r="F188" s="3">
        <f>D188-E188</f>
        <v/>
      </c>
      <c r="G188" s="2" t="inlineStr">
        <is>
          <t>Long</t>
        </is>
      </c>
      <c r="H188" s="3" t="n">
        <v>15516.5</v>
      </c>
      <c r="I188" s="3" t="n">
        <v>15577.75</v>
      </c>
      <c r="J188" s="3">
        <f>IF(G188="Long",I188-H188,IF(G188="Short",H188-I188,0))</f>
        <v/>
      </c>
      <c r="K188" s="4" t="n">
        <v>2.45</v>
      </c>
      <c r="L188" s="2" t="inlineStr">
        <is>
          <t>Win</t>
        </is>
      </c>
      <c r="M188" s="3">
        <f>M187+J188</f>
        <v/>
      </c>
    </row>
    <row r="189">
      <c r="A189" s="8" t="inlineStr">
        <is>
          <t>2021-08-31</t>
        </is>
      </c>
      <c r="B189" s="8" t="inlineStr">
        <is>
          <t>Tuesday</t>
        </is>
      </c>
      <c r="C189" s="8" t="inlineStr">
        <is>
          <t>MNQU1</t>
        </is>
      </c>
      <c r="D189" s="9" t="n">
        <v>15609</v>
      </c>
      <c r="E189" s="9" t="n">
        <v>15531.25</v>
      </c>
      <c r="F189" s="9">
        <f>D189-E189</f>
        <v/>
      </c>
      <c r="G189" s="8" t="inlineStr">
        <is>
          <t>Short</t>
        </is>
      </c>
      <c r="H189" s="9" t="n">
        <v>15531.25</v>
      </c>
      <c r="I189" s="9" t="n">
        <v>15584.25</v>
      </c>
      <c r="J189" s="9">
        <f>IF(G189="Long",I189-H189,IF(G189="Short",H189-I189,0))</f>
        <v/>
      </c>
      <c r="K189" s="10" t="n">
        <v>93.25</v>
      </c>
      <c r="L189" s="8" t="inlineStr">
        <is>
          <t>EOD-Close</t>
        </is>
      </c>
      <c r="M189" s="9">
        <f>M188+J189</f>
        <v/>
      </c>
    </row>
    <row r="190">
      <c r="A190" s="5" t="inlineStr">
        <is>
          <t>2021-09-01</t>
        </is>
      </c>
      <c r="B190" s="5" t="inlineStr">
        <is>
          <t>Wednesday</t>
        </is>
      </c>
      <c r="C190" s="5" t="inlineStr">
        <is>
          <t>MNQU1</t>
        </is>
      </c>
      <c r="D190" s="6" t="n">
        <v>15672.75</v>
      </c>
      <c r="E190" s="6" t="n">
        <v>15622</v>
      </c>
      <c r="F190" s="6">
        <f>D190-E190</f>
        <v/>
      </c>
      <c r="G190" s="5" t="inlineStr">
        <is>
          <t>Long</t>
        </is>
      </c>
      <c r="H190" s="6" t="n">
        <v>15672.75</v>
      </c>
      <c r="I190" s="6" t="n">
        <v>15622</v>
      </c>
      <c r="J190" s="6">
        <f>IF(G190="Long",I190-H190,IF(G190="Short",H190-I190,0))</f>
        <v/>
      </c>
      <c r="K190" s="7" t="n">
        <v>100</v>
      </c>
      <c r="L190" s="5" t="inlineStr">
        <is>
          <t>Loss</t>
        </is>
      </c>
      <c r="M190" s="6">
        <f>M189+J190</f>
        <v/>
      </c>
    </row>
    <row r="191">
      <c r="A191" s="8" t="inlineStr">
        <is>
          <t>2021-09-01</t>
        </is>
      </c>
      <c r="B191" s="8" t="inlineStr">
        <is>
          <t>Wednesday</t>
        </is>
      </c>
      <c r="C191" s="8" t="inlineStr">
        <is>
          <t>MNQU1</t>
        </is>
      </c>
      <c r="D191" s="9" t="n">
        <v>15672.75</v>
      </c>
      <c r="E191" s="9" t="n">
        <v>15622</v>
      </c>
      <c r="F191" s="9">
        <f>D191-E191</f>
        <v/>
      </c>
      <c r="G191" s="8" t="inlineStr">
        <is>
          <t>Short</t>
        </is>
      </c>
      <c r="H191" s="9" t="n">
        <v>15622</v>
      </c>
      <c r="I191" s="9" t="n">
        <v>15611.5</v>
      </c>
      <c r="J191" s="9">
        <f>IF(G191="Long",I191-H191,IF(G191="Short",H191-I191,0))</f>
        <v/>
      </c>
      <c r="K191" s="10" t="n">
        <v>23.65</v>
      </c>
      <c r="L191" s="8" t="inlineStr">
        <is>
          <t>EOD-Close</t>
        </is>
      </c>
      <c r="M191" s="9">
        <f>M190+J191</f>
        <v/>
      </c>
    </row>
    <row r="192">
      <c r="A192" s="2" t="inlineStr">
        <is>
          <t>2021-09-02</t>
        </is>
      </c>
      <c r="B192" s="2" t="inlineStr">
        <is>
          <t>Thursday</t>
        </is>
      </c>
      <c r="C192" s="2" t="inlineStr">
        <is>
          <t>MNQU1</t>
        </is>
      </c>
      <c r="D192" s="3" t="n">
        <v>15680.5</v>
      </c>
      <c r="E192" s="3" t="n">
        <v>15651.75</v>
      </c>
      <c r="F192" s="3">
        <f>D192-E192</f>
        <v/>
      </c>
      <c r="G192" s="2" t="inlineStr">
        <is>
          <t>Short</t>
        </is>
      </c>
      <c r="H192" s="3" t="n">
        <v>15651.75</v>
      </c>
      <c r="I192" s="3" t="n">
        <v>15623</v>
      </c>
      <c r="J192" s="3">
        <f>IF(G192="Long",I192-H192,IF(G192="Short",H192-I192,0))</f>
        <v/>
      </c>
      <c r="K192" s="4" t="n">
        <v>33.04</v>
      </c>
      <c r="L192" s="2" t="inlineStr">
        <is>
          <t>Win</t>
        </is>
      </c>
      <c r="M192" s="3">
        <f>M191+J192</f>
        <v/>
      </c>
    </row>
    <row r="193">
      <c r="A193" s="2" t="inlineStr">
        <is>
          <t>2021-09-02</t>
        </is>
      </c>
      <c r="B193" s="2" t="inlineStr">
        <is>
          <t>Thursday</t>
        </is>
      </c>
      <c r="C193" s="2" t="inlineStr">
        <is>
          <t>MNQU1</t>
        </is>
      </c>
      <c r="D193" s="3" t="n">
        <v>15680.5</v>
      </c>
      <c r="E193" s="3" t="n">
        <v>15651.75</v>
      </c>
      <c r="F193" s="3">
        <f>D193-E193</f>
        <v/>
      </c>
      <c r="G193" s="2" t="inlineStr">
        <is>
          <t>Short</t>
        </is>
      </c>
      <c r="H193" s="3" t="n">
        <v>15651.75</v>
      </c>
      <c r="I193" s="3" t="n">
        <v>15623</v>
      </c>
      <c r="J193" s="3">
        <f>IF(G193="Long",I193-H193,IF(G193="Short",H193-I193,0))</f>
        <v/>
      </c>
      <c r="K193" s="4" t="n">
        <v>17.39</v>
      </c>
      <c r="L193" s="2" t="inlineStr">
        <is>
          <t>Win</t>
        </is>
      </c>
      <c r="M193" s="3">
        <f>M192+J193</f>
        <v/>
      </c>
    </row>
    <row r="194">
      <c r="A194" s="2" t="inlineStr">
        <is>
          <t>2021-09-03</t>
        </is>
      </c>
      <c r="B194" s="2" t="inlineStr">
        <is>
          <t>Friday</t>
        </is>
      </c>
      <c r="C194" s="2" t="inlineStr">
        <is>
          <t>MNQU1</t>
        </is>
      </c>
      <c r="D194" s="3" t="n">
        <v>15610</v>
      </c>
      <c r="E194" s="3" t="n">
        <v>15554.5</v>
      </c>
      <c r="F194" s="3">
        <f>D194-E194</f>
        <v/>
      </c>
      <c r="G194" s="2" t="inlineStr">
        <is>
          <t>Long</t>
        </is>
      </c>
      <c r="H194" s="3" t="n">
        <v>15610</v>
      </c>
      <c r="I194" s="3" t="n">
        <v>15665.5</v>
      </c>
      <c r="J194" s="3">
        <f>IF(G194="Long",I194-H194,IF(G194="Short",H194-I194,0))</f>
        <v/>
      </c>
      <c r="K194" s="4" t="n">
        <v>0</v>
      </c>
      <c r="L194" s="2" t="inlineStr">
        <is>
          <t>Win</t>
        </is>
      </c>
      <c r="M194" s="3">
        <f>M193+J194</f>
        <v/>
      </c>
    </row>
    <row r="195">
      <c r="A195" s="2" t="inlineStr">
        <is>
          <t>2021-09-03</t>
        </is>
      </c>
      <c r="B195" s="2" t="inlineStr">
        <is>
          <t>Friday</t>
        </is>
      </c>
      <c r="C195" s="2" t="inlineStr">
        <is>
          <t>MNQU1</t>
        </is>
      </c>
      <c r="D195" s="3" t="n">
        <v>15610</v>
      </c>
      <c r="E195" s="3" t="n">
        <v>15554.5</v>
      </c>
      <c r="F195" s="3">
        <f>D195-E195</f>
        <v/>
      </c>
      <c r="G195" s="2" t="inlineStr">
        <is>
          <t>Long</t>
        </is>
      </c>
      <c r="H195" s="3" t="n">
        <v>15610</v>
      </c>
      <c r="I195" s="3" t="n">
        <v>15665.5</v>
      </c>
      <c r="J195" s="3">
        <f>IF(G195="Long",I195-H195,IF(G195="Short",H195-I195,0))</f>
        <v/>
      </c>
      <c r="K195" s="4" t="n">
        <v>9.91</v>
      </c>
      <c r="L195" s="2" t="inlineStr">
        <is>
          <t>Win</t>
        </is>
      </c>
      <c r="M195" s="3">
        <f>M194+J195</f>
        <v/>
      </c>
    </row>
    <row r="196">
      <c r="A196" s="2" t="inlineStr">
        <is>
          <t>2021-09-06</t>
        </is>
      </c>
      <c r="B196" s="2" t="inlineStr">
        <is>
          <t>Monday</t>
        </is>
      </c>
      <c r="C196" s="2" t="inlineStr">
        <is>
          <t>MNQU1</t>
        </is>
      </c>
      <c r="D196" s="3" t="n">
        <v>15691</v>
      </c>
      <c r="E196" s="3" t="n">
        <v>15686.5</v>
      </c>
      <c r="F196" s="3">
        <f>D196-E196</f>
        <v/>
      </c>
      <c r="G196" s="2" t="inlineStr">
        <is>
          <t>Long</t>
        </is>
      </c>
      <c r="H196" s="3" t="n">
        <v>15691</v>
      </c>
      <c r="I196" s="3" t="n">
        <v>15695.5</v>
      </c>
      <c r="J196" s="3">
        <f>IF(G196="Long",I196-H196,IF(G196="Short",H196-I196,0))</f>
        <v/>
      </c>
      <c r="K196" s="4" t="n">
        <v>0</v>
      </c>
      <c r="L196" s="2" t="inlineStr">
        <is>
          <t>Win</t>
        </is>
      </c>
      <c r="M196" s="3">
        <f>M195+J196</f>
        <v/>
      </c>
    </row>
    <row r="197">
      <c r="A197" s="5" t="inlineStr">
        <is>
          <t>2021-09-07</t>
        </is>
      </c>
      <c r="B197" s="5" t="inlineStr">
        <is>
          <t>Tuesday</t>
        </is>
      </c>
      <c r="C197" s="5" t="inlineStr">
        <is>
          <t>MNQU1</t>
        </is>
      </c>
      <c r="D197" s="6" t="n">
        <v>15669</v>
      </c>
      <c r="E197" s="6" t="n">
        <v>15625.75</v>
      </c>
      <c r="F197" s="6">
        <f>D197-E197</f>
        <v/>
      </c>
      <c r="G197" s="5" t="inlineStr">
        <is>
          <t>Short</t>
        </is>
      </c>
      <c r="H197" s="6" t="n">
        <v>15625.75</v>
      </c>
      <c r="I197" s="6" t="n">
        <v>15669</v>
      </c>
      <c r="J197" s="6">
        <f>IF(G197="Long",I197-H197,IF(G197="Short",H197-I197,0))</f>
        <v/>
      </c>
      <c r="K197" s="7" t="n">
        <v>100</v>
      </c>
      <c r="L197" s="5" t="inlineStr">
        <is>
          <t>Loss</t>
        </is>
      </c>
      <c r="M197" s="6">
        <f>M196+J197</f>
        <v/>
      </c>
    </row>
    <row r="198">
      <c r="A198" s="8" t="inlineStr">
        <is>
          <t>2021-09-07</t>
        </is>
      </c>
      <c r="B198" s="8" t="inlineStr">
        <is>
          <t>Tuesday</t>
        </is>
      </c>
      <c r="C198" s="8" t="inlineStr">
        <is>
          <t>MNQU1</t>
        </is>
      </c>
      <c r="D198" s="9" t="n">
        <v>15669</v>
      </c>
      <c r="E198" s="9" t="n">
        <v>15625.75</v>
      </c>
      <c r="F198" s="9">
        <f>D198-E198</f>
        <v/>
      </c>
      <c r="G198" s="8" t="inlineStr">
        <is>
          <t>Long</t>
        </is>
      </c>
      <c r="H198" s="9" t="n">
        <v>15669</v>
      </c>
      <c r="I198" s="9" t="n">
        <v>15673.75</v>
      </c>
      <c r="J198" s="9">
        <f>IF(G198="Long",I198-H198,IF(G198="Short",H198-I198,0))</f>
        <v/>
      </c>
      <c r="K198" s="10" t="n">
        <v>84.97</v>
      </c>
      <c r="L198" s="8" t="inlineStr">
        <is>
          <t>EOD-Close</t>
        </is>
      </c>
      <c r="M198" s="9">
        <f>M197+J198</f>
        <v/>
      </c>
    </row>
    <row r="199">
      <c r="A199" s="2" t="inlineStr">
        <is>
          <t>2021-09-08</t>
        </is>
      </c>
      <c r="B199" s="2" t="inlineStr">
        <is>
          <t>Wednesday</t>
        </is>
      </c>
      <c r="C199" s="2" t="inlineStr">
        <is>
          <t>MNQU1</t>
        </is>
      </c>
      <c r="D199" s="3" t="n">
        <v>15667</v>
      </c>
      <c r="E199" s="3" t="n">
        <v>15614.25</v>
      </c>
      <c r="F199" s="3">
        <f>D199-E199</f>
        <v/>
      </c>
      <c r="G199" s="2" t="inlineStr">
        <is>
          <t>Short</t>
        </is>
      </c>
      <c r="H199" s="3" t="n">
        <v>15614.25</v>
      </c>
      <c r="I199" s="3" t="n">
        <v>15561.5</v>
      </c>
      <c r="J199" s="3">
        <f>IF(G199="Long",I199-H199,IF(G199="Short",H199-I199,0))</f>
        <v/>
      </c>
      <c r="K199" s="4" t="n">
        <v>0</v>
      </c>
      <c r="L199" s="2" t="inlineStr">
        <is>
          <t>Win</t>
        </is>
      </c>
      <c r="M199" s="3">
        <f>M198+J199</f>
        <v/>
      </c>
    </row>
    <row r="200">
      <c r="A200" s="8" t="inlineStr">
        <is>
          <t>2021-09-08</t>
        </is>
      </c>
      <c r="B200" s="8" t="inlineStr">
        <is>
          <t>Wednesday</t>
        </is>
      </c>
      <c r="C200" s="8" t="inlineStr">
        <is>
          <t>MNQU1</t>
        </is>
      </c>
      <c r="D200" s="9" t="n">
        <v>15667</v>
      </c>
      <c r="E200" s="9" t="n">
        <v>15614.25</v>
      </c>
      <c r="F200" s="9">
        <f>D200-E200</f>
        <v/>
      </c>
      <c r="G200" s="8" t="inlineStr">
        <is>
          <t>Short</t>
        </is>
      </c>
      <c r="H200" s="9" t="n">
        <v>15614.25</v>
      </c>
      <c r="I200" s="9" t="n">
        <v>15622.75</v>
      </c>
      <c r="J200" s="9">
        <f>IF(G200="Long",I200-H200,IF(G200="Short",H200-I200,0))</f>
        <v/>
      </c>
      <c r="K200" s="10" t="n">
        <v>21.8</v>
      </c>
      <c r="L200" s="8" t="inlineStr">
        <is>
          <t>EOD-Close</t>
        </is>
      </c>
      <c r="M200" s="9">
        <f>M199+J200</f>
        <v/>
      </c>
    </row>
    <row r="201">
      <c r="A201" s="2" t="inlineStr">
        <is>
          <t>2021-09-09</t>
        </is>
      </c>
      <c r="B201" s="2" t="inlineStr">
        <is>
          <t>Thursday</t>
        </is>
      </c>
      <c r="C201" s="2" t="inlineStr">
        <is>
          <t>MNQU1</t>
        </is>
      </c>
      <c r="D201" s="3" t="n">
        <v>15670.5</v>
      </c>
      <c r="E201" s="3" t="n">
        <v>15621.75</v>
      </c>
      <c r="F201" s="3">
        <f>D201-E201</f>
        <v/>
      </c>
      <c r="G201" s="2" t="inlineStr">
        <is>
          <t>Short</t>
        </is>
      </c>
      <c r="H201" s="3" t="n">
        <v>15621.75</v>
      </c>
      <c r="I201" s="3" t="n">
        <v>15573</v>
      </c>
      <c r="J201" s="3">
        <f>IF(G201="Long",I201-H201,IF(G201="Short",H201-I201,0))</f>
        <v/>
      </c>
      <c r="K201" s="4" t="n">
        <v>36.41</v>
      </c>
      <c r="L201" s="2" t="inlineStr">
        <is>
          <t>Win</t>
        </is>
      </c>
      <c r="M201" s="3">
        <f>M200+J201</f>
        <v/>
      </c>
    </row>
    <row r="202">
      <c r="A202" s="2" t="inlineStr">
        <is>
          <t>2021-09-09</t>
        </is>
      </c>
      <c r="B202" s="2" t="inlineStr">
        <is>
          <t>Thursday</t>
        </is>
      </c>
      <c r="C202" s="2" t="inlineStr">
        <is>
          <t>MNQU1</t>
        </is>
      </c>
      <c r="D202" s="3" t="n">
        <v>15670.5</v>
      </c>
      <c r="E202" s="3" t="n">
        <v>15621.75</v>
      </c>
      <c r="F202" s="3">
        <f>D202-E202</f>
        <v/>
      </c>
      <c r="G202" s="2" t="inlineStr">
        <is>
          <t>Short</t>
        </is>
      </c>
      <c r="H202" s="3" t="n">
        <v>15621.75</v>
      </c>
      <c r="I202" s="3" t="n">
        <v>15573</v>
      </c>
      <c r="J202" s="3">
        <f>IF(G202="Long",I202-H202,IF(G202="Short",H202-I202,0))</f>
        <v/>
      </c>
      <c r="K202" s="4" t="n">
        <v>0</v>
      </c>
      <c r="L202" s="2" t="inlineStr">
        <is>
          <t>Win</t>
        </is>
      </c>
      <c r="M202" s="3">
        <f>M201+J202</f>
        <v/>
      </c>
    </row>
    <row r="203">
      <c r="A203" s="2" t="inlineStr">
        <is>
          <t>2021-09-10</t>
        </is>
      </c>
      <c r="B203" s="2" t="inlineStr">
        <is>
          <t>Friday</t>
        </is>
      </c>
      <c r="C203" s="2" t="inlineStr">
        <is>
          <t>MNQZ1</t>
        </is>
      </c>
      <c r="D203" s="3" t="n">
        <v>15659.75</v>
      </c>
      <c r="E203" s="3" t="n">
        <v>15629.25</v>
      </c>
      <c r="F203" s="3">
        <f>D203-E203</f>
        <v/>
      </c>
      <c r="G203" s="2" t="inlineStr">
        <is>
          <t>Short</t>
        </is>
      </c>
      <c r="H203" s="3" t="n">
        <v>15629.25</v>
      </c>
      <c r="I203" s="3" t="n">
        <v>15598.75</v>
      </c>
      <c r="J203" s="3">
        <f>IF(G203="Long",I203-H203,IF(G203="Short",H203-I203,0))</f>
        <v/>
      </c>
      <c r="K203" s="4" t="n">
        <v>0</v>
      </c>
      <c r="L203" s="2" t="inlineStr">
        <is>
          <t>Win</t>
        </is>
      </c>
      <c r="M203" s="3">
        <f>M202+J203</f>
        <v/>
      </c>
    </row>
    <row r="204">
      <c r="A204" s="8" t="inlineStr">
        <is>
          <t>2021-09-13</t>
        </is>
      </c>
      <c r="B204" s="8" t="inlineStr">
        <is>
          <t>Monday</t>
        </is>
      </c>
      <c r="C204" s="8" t="inlineStr">
        <is>
          <t>MNQZ1</t>
        </is>
      </c>
      <c r="D204" s="9" t="n">
        <v>15557.5</v>
      </c>
      <c r="E204" s="9" t="n">
        <v>15444</v>
      </c>
      <c r="F204" s="9">
        <f>D204-E204</f>
        <v/>
      </c>
      <c r="G204" s="8" t="inlineStr">
        <is>
          <t>Short</t>
        </is>
      </c>
      <c r="H204" s="9" t="n">
        <v>15444</v>
      </c>
      <c r="I204" s="9" t="n">
        <v>15431</v>
      </c>
      <c r="J204" s="9">
        <f>IF(G204="Long",I204-H204,IF(G204="Short",H204-I204,0))</f>
        <v/>
      </c>
      <c r="K204" s="10" t="n">
        <v>4.41</v>
      </c>
      <c r="L204" s="8" t="inlineStr">
        <is>
          <t>EOD-Close</t>
        </is>
      </c>
      <c r="M204" s="9">
        <f>M203+J204</f>
        <v/>
      </c>
    </row>
    <row r="205">
      <c r="A205" s="2" t="inlineStr">
        <is>
          <t>2021-09-14</t>
        </is>
      </c>
      <c r="B205" s="2" t="inlineStr">
        <is>
          <t>Tuesday</t>
        </is>
      </c>
      <c r="C205" s="2" t="inlineStr">
        <is>
          <t>MNQZ1</t>
        </is>
      </c>
      <c r="D205" s="3" t="n">
        <v>15523.75</v>
      </c>
      <c r="E205" s="3" t="n">
        <v>15460.25</v>
      </c>
      <c r="F205" s="3">
        <f>D205-E205</f>
        <v/>
      </c>
      <c r="G205" s="2" t="inlineStr">
        <is>
          <t>Short</t>
        </is>
      </c>
      <c r="H205" s="3" t="n">
        <v>15460.25</v>
      </c>
      <c r="I205" s="3" t="n">
        <v>15396.75</v>
      </c>
      <c r="J205" s="3">
        <f>IF(G205="Long",I205-H205,IF(G205="Short",H205-I205,0))</f>
        <v/>
      </c>
      <c r="K205" s="4" t="n">
        <v>0</v>
      </c>
      <c r="L205" s="2" t="inlineStr">
        <is>
          <t>Win</t>
        </is>
      </c>
      <c r="M205" s="3">
        <f>M204+J205</f>
        <v/>
      </c>
    </row>
    <row r="206">
      <c r="A206" s="2" t="inlineStr">
        <is>
          <t>2021-09-14</t>
        </is>
      </c>
      <c r="B206" s="2" t="inlineStr">
        <is>
          <t>Tuesday</t>
        </is>
      </c>
      <c r="C206" s="2" t="inlineStr">
        <is>
          <t>MNQZ1</t>
        </is>
      </c>
      <c r="D206" s="3" t="n">
        <v>15523.75</v>
      </c>
      <c r="E206" s="3" t="n">
        <v>15460.25</v>
      </c>
      <c r="F206" s="3">
        <f>D206-E206</f>
        <v/>
      </c>
      <c r="G206" s="2" t="inlineStr">
        <is>
          <t>Short</t>
        </is>
      </c>
      <c r="H206" s="3" t="n">
        <v>15460.25</v>
      </c>
      <c r="I206" s="3" t="n">
        <v>15396.75</v>
      </c>
      <c r="J206" s="3">
        <f>IF(G206="Long",I206-H206,IF(G206="Short",H206-I206,0))</f>
        <v/>
      </c>
      <c r="K206" s="4" t="n">
        <v>44.49</v>
      </c>
      <c r="L206" s="2" t="inlineStr">
        <is>
          <t>Win</t>
        </is>
      </c>
      <c r="M206" s="3">
        <f>M205+J206</f>
        <v/>
      </c>
    </row>
    <row r="207">
      <c r="A207" s="5" t="inlineStr">
        <is>
          <t>2021-09-15</t>
        </is>
      </c>
      <c r="B207" s="5" t="inlineStr">
        <is>
          <t>Wednesday</t>
        </is>
      </c>
      <c r="C207" s="5" t="inlineStr">
        <is>
          <t>MNQZ1</t>
        </is>
      </c>
      <c r="D207" s="6" t="n">
        <v>15433.25</v>
      </c>
      <c r="E207" s="6" t="n">
        <v>15331</v>
      </c>
      <c r="F207" s="6">
        <f>D207-E207</f>
        <v/>
      </c>
      <c r="G207" s="5" t="inlineStr">
        <is>
          <t>Short</t>
        </is>
      </c>
      <c r="H207" s="6" t="n">
        <v>15331</v>
      </c>
      <c r="I207" s="6" t="n">
        <v>15433.25</v>
      </c>
      <c r="J207" s="6">
        <f>IF(G207="Long",I207-H207,IF(G207="Short",H207-I207,0))</f>
        <v/>
      </c>
      <c r="K207" s="7" t="n">
        <v>100</v>
      </c>
      <c r="L207" s="5" t="inlineStr">
        <is>
          <t>Loss</t>
        </is>
      </c>
      <c r="M207" s="6">
        <f>M206+J207</f>
        <v/>
      </c>
    </row>
    <row r="208">
      <c r="A208" s="8" t="inlineStr">
        <is>
          <t>2021-09-15</t>
        </is>
      </c>
      <c r="B208" s="8" t="inlineStr">
        <is>
          <t>Wednesday</t>
        </is>
      </c>
      <c r="C208" s="8" t="inlineStr">
        <is>
          <t>MNQZ1</t>
        </is>
      </c>
      <c r="D208" s="9" t="n">
        <v>15433.25</v>
      </c>
      <c r="E208" s="9" t="n">
        <v>15331</v>
      </c>
      <c r="F208" s="9">
        <f>D208-E208</f>
        <v/>
      </c>
      <c r="G208" s="8" t="inlineStr">
        <is>
          <t>Long</t>
        </is>
      </c>
      <c r="H208" s="9" t="n">
        <v>15433.25</v>
      </c>
      <c r="I208" s="9" t="n">
        <v>15497.25</v>
      </c>
      <c r="J208" s="9">
        <f>IF(G208="Long",I208-H208,IF(G208="Short",H208-I208,0))</f>
        <v/>
      </c>
      <c r="K208" s="10" t="n">
        <v>0</v>
      </c>
      <c r="L208" s="8" t="inlineStr">
        <is>
          <t>EOD-Close</t>
        </is>
      </c>
      <c r="M208" s="9">
        <f>M207+J208</f>
        <v/>
      </c>
    </row>
    <row r="209">
      <c r="A209" s="5" t="inlineStr">
        <is>
          <t>2021-09-16</t>
        </is>
      </c>
      <c r="B209" s="5" t="inlineStr">
        <is>
          <t>Thursday</t>
        </is>
      </c>
      <c r="C209" s="5" t="inlineStr">
        <is>
          <t>MNQZ1</t>
        </is>
      </c>
      <c r="D209" s="6" t="n">
        <v>15472.75</v>
      </c>
      <c r="E209" s="6" t="n">
        <v>15413</v>
      </c>
      <c r="F209" s="6">
        <f>D209-E209</f>
        <v/>
      </c>
      <c r="G209" s="5" t="inlineStr">
        <is>
          <t>Short</t>
        </is>
      </c>
      <c r="H209" s="6" t="n">
        <v>15413</v>
      </c>
      <c r="I209" s="6" t="n">
        <v>15472.75</v>
      </c>
      <c r="J209" s="6">
        <f>IF(G209="Long",I209-H209,IF(G209="Short",H209-I209,0))</f>
        <v/>
      </c>
      <c r="K209" s="7" t="n">
        <v>100</v>
      </c>
      <c r="L209" s="5" t="inlineStr">
        <is>
          <t>Loss</t>
        </is>
      </c>
      <c r="M209" s="6">
        <f>M208+J209</f>
        <v/>
      </c>
    </row>
    <row r="210">
      <c r="A210" s="2" t="inlineStr">
        <is>
          <t>2021-09-16</t>
        </is>
      </c>
      <c r="B210" s="2" t="inlineStr">
        <is>
          <t>Thursday</t>
        </is>
      </c>
      <c r="C210" s="2" t="inlineStr">
        <is>
          <t>MNQZ1</t>
        </is>
      </c>
      <c r="D210" s="3" t="n">
        <v>15472.75</v>
      </c>
      <c r="E210" s="3" t="n">
        <v>15413</v>
      </c>
      <c r="F210" s="3">
        <f>D210-E210</f>
        <v/>
      </c>
      <c r="G210" s="2" t="inlineStr">
        <is>
          <t>Long</t>
        </is>
      </c>
      <c r="H210" s="3" t="n">
        <v>15472.75</v>
      </c>
      <c r="I210" s="3" t="n">
        <v>15532.5</v>
      </c>
      <c r="J210" s="3">
        <f>IF(G210="Long",I210-H210,IF(G210="Short",H210-I210,0))</f>
        <v/>
      </c>
      <c r="K210" s="4" t="n">
        <v>8.789999999999999</v>
      </c>
      <c r="L210" s="2" t="inlineStr">
        <is>
          <t>Win</t>
        </is>
      </c>
      <c r="M210" s="3">
        <f>M209+J210</f>
        <v/>
      </c>
    </row>
    <row r="211">
      <c r="A211" s="2" t="inlineStr">
        <is>
          <t>2021-09-17</t>
        </is>
      </c>
      <c r="B211" s="2" t="inlineStr">
        <is>
          <t>Friday</t>
        </is>
      </c>
      <c r="C211" s="2" t="inlineStr">
        <is>
          <t>MNQZ1</t>
        </is>
      </c>
      <c r="D211" s="3" t="n">
        <v>15484.75</v>
      </c>
      <c r="E211" s="3" t="n">
        <v>15408</v>
      </c>
      <c r="F211" s="3">
        <f>D211-E211</f>
        <v/>
      </c>
      <c r="G211" s="2" t="inlineStr">
        <is>
          <t>Short</t>
        </is>
      </c>
      <c r="H211" s="3" t="n">
        <v>15408</v>
      </c>
      <c r="I211" s="3" t="n">
        <v>15331.25</v>
      </c>
      <c r="J211" s="3">
        <f>IF(G211="Long",I211-H211,IF(G211="Short",H211-I211,0))</f>
        <v/>
      </c>
      <c r="K211" s="4" t="n">
        <v>0</v>
      </c>
      <c r="L211" s="2" t="inlineStr">
        <is>
          <t>Win</t>
        </is>
      </c>
      <c r="M211" s="3">
        <f>M210+J211</f>
        <v/>
      </c>
    </row>
    <row r="212">
      <c r="A212" s="2" t="inlineStr">
        <is>
          <t>2021-09-20</t>
        </is>
      </c>
      <c r="B212" s="2" t="inlineStr">
        <is>
          <t>Monday</t>
        </is>
      </c>
      <c r="C212" s="2" t="inlineStr">
        <is>
          <t>MNQZ1</t>
        </is>
      </c>
      <c r="D212" s="3" t="n">
        <v>15142.5</v>
      </c>
      <c r="E212" s="3" t="n">
        <v>15035.25</v>
      </c>
      <c r="F212" s="3">
        <f>D212-E212</f>
        <v/>
      </c>
      <c r="G212" s="2" t="inlineStr">
        <is>
          <t>Short</t>
        </is>
      </c>
      <c r="H212" s="3" t="n">
        <v>15035.25</v>
      </c>
      <c r="I212" s="3" t="n">
        <v>14928</v>
      </c>
      <c r="J212" s="3">
        <f>IF(G212="Long",I212-H212,IF(G212="Short",H212-I212,0))</f>
        <v/>
      </c>
      <c r="K212" s="4" t="n">
        <v>16.08</v>
      </c>
      <c r="L212" s="2" t="inlineStr">
        <is>
          <t>Win</t>
        </is>
      </c>
      <c r="M212" s="3">
        <f>M211+J212</f>
        <v/>
      </c>
    </row>
    <row r="213">
      <c r="A213" s="5" t="inlineStr">
        <is>
          <t>2021-09-21</t>
        </is>
      </c>
      <c r="B213" s="5" t="inlineStr">
        <is>
          <t>Tuesday</t>
        </is>
      </c>
      <c r="C213" s="5" t="inlineStr">
        <is>
          <t>MNQZ1</t>
        </is>
      </c>
      <c r="D213" s="6" t="n">
        <v>15098</v>
      </c>
      <c r="E213" s="6" t="n">
        <v>15028</v>
      </c>
      <c r="F213" s="6">
        <f>D213-E213</f>
        <v/>
      </c>
      <c r="G213" s="5" t="inlineStr">
        <is>
          <t>Long</t>
        </is>
      </c>
      <c r="H213" s="6" t="n">
        <v>15098</v>
      </c>
      <c r="I213" s="6" t="n">
        <v>15028</v>
      </c>
      <c r="J213" s="6">
        <f>IF(G213="Long",I213-H213,IF(G213="Short",H213-I213,0))</f>
        <v/>
      </c>
      <c r="K213" s="7" t="n">
        <v>100</v>
      </c>
      <c r="L213" s="5" t="inlineStr">
        <is>
          <t>Loss</t>
        </is>
      </c>
      <c r="M213" s="6">
        <f>M212+J213</f>
        <v/>
      </c>
    </row>
    <row r="214">
      <c r="A214" s="5" t="inlineStr">
        <is>
          <t>2021-09-21</t>
        </is>
      </c>
      <c r="B214" s="5" t="inlineStr">
        <is>
          <t>Tuesday</t>
        </is>
      </c>
      <c r="C214" s="5" t="inlineStr">
        <is>
          <t>MNQZ1</t>
        </is>
      </c>
      <c r="D214" s="6" t="n">
        <v>15098</v>
      </c>
      <c r="E214" s="6" t="n">
        <v>15028</v>
      </c>
      <c r="F214" s="6">
        <f>D214-E214</f>
        <v/>
      </c>
      <c r="G214" s="5" t="inlineStr">
        <is>
          <t>Short</t>
        </is>
      </c>
      <c r="H214" s="6" t="n">
        <v>15028</v>
      </c>
      <c r="I214" s="6" t="n">
        <v>15098</v>
      </c>
      <c r="J214" s="6">
        <f>IF(G214="Long",I214-H214,IF(G214="Short",H214-I214,0))</f>
        <v/>
      </c>
      <c r="K214" s="7" t="n">
        <v>100</v>
      </c>
      <c r="L214" s="5" t="inlineStr">
        <is>
          <t>Loss</t>
        </is>
      </c>
      <c r="M214" s="6">
        <f>M213+J214</f>
        <v/>
      </c>
    </row>
    <row r="215">
      <c r="A215" s="2" t="inlineStr">
        <is>
          <t>2021-09-22</t>
        </is>
      </c>
      <c r="B215" s="2" t="inlineStr">
        <is>
          <t>Wednesday</t>
        </is>
      </c>
      <c r="C215" s="2" t="inlineStr">
        <is>
          <t>MNQZ1</t>
        </is>
      </c>
      <c r="D215" s="3" t="n">
        <v>15071.5</v>
      </c>
      <c r="E215" s="3" t="n">
        <v>15014.75</v>
      </c>
      <c r="F215" s="3">
        <f>D215-E215</f>
        <v/>
      </c>
      <c r="G215" s="2" t="inlineStr">
        <is>
          <t>Long</t>
        </is>
      </c>
      <c r="H215" s="3" t="n">
        <v>15071.5</v>
      </c>
      <c r="I215" s="3" t="n">
        <v>15128.25</v>
      </c>
      <c r="J215" s="3">
        <f>IF(G215="Long",I215-H215,IF(G215="Short",H215-I215,0))</f>
        <v/>
      </c>
      <c r="K215" s="4" t="n">
        <v>0</v>
      </c>
      <c r="L215" s="2" t="inlineStr">
        <is>
          <t>Win</t>
        </is>
      </c>
      <c r="M215" s="3">
        <f>M214+J215</f>
        <v/>
      </c>
    </row>
    <row r="216">
      <c r="A216" s="8" t="inlineStr">
        <is>
          <t>2021-09-23</t>
        </is>
      </c>
      <c r="B216" s="8" t="inlineStr">
        <is>
          <t>Thursday</t>
        </is>
      </c>
      <c r="C216" s="8" t="inlineStr">
        <is>
          <t>MNQZ1</t>
        </is>
      </c>
      <c r="D216" s="9" t="n">
        <v>15268</v>
      </c>
      <c r="E216" s="9" t="n">
        <v>15182</v>
      </c>
      <c r="F216" s="9">
        <f>D216-E216</f>
        <v/>
      </c>
      <c r="G216" s="8" t="inlineStr">
        <is>
          <t>Long</t>
        </is>
      </c>
      <c r="H216" s="9" t="n">
        <v>15268</v>
      </c>
      <c r="I216" s="9" t="n">
        <v>15299.5</v>
      </c>
      <c r="J216" s="9">
        <f>IF(G216="Long",I216-H216,IF(G216="Short",H216-I216,0))</f>
        <v/>
      </c>
      <c r="K216" s="10" t="n">
        <v>2.62</v>
      </c>
      <c r="L216" s="8" t="inlineStr">
        <is>
          <t>EOD-Close</t>
        </is>
      </c>
      <c r="M216" s="9">
        <f>M215+J216</f>
        <v/>
      </c>
    </row>
    <row r="217">
      <c r="A217" s="2" t="inlineStr">
        <is>
          <t>2021-09-24</t>
        </is>
      </c>
      <c r="B217" s="2" t="inlineStr">
        <is>
          <t>Friday</t>
        </is>
      </c>
      <c r="C217" s="2" t="inlineStr">
        <is>
          <t>MNQZ1</t>
        </is>
      </c>
      <c r="D217" s="3" t="n">
        <v>15242.75</v>
      </c>
      <c r="E217" s="3" t="n">
        <v>15189.75</v>
      </c>
      <c r="F217" s="3">
        <f>D217-E217</f>
        <v/>
      </c>
      <c r="G217" s="2" t="inlineStr">
        <is>
          <t>Long</t>
        </is>
      </c>
      <c r="H217" s="3" t="n">
        <v>15242.75</v>
      </c>
      <c r="I217" s="3" t="n">
        <v>15295.75</v>
      </c>
      <c r="J217" s="3">
        <f>IF(G217="Long",I217-H217,IF(G217="Short",H217-I217,0))</f>
        <v/>
      </c>
      <c r="K217" s="4" t="n">
        <v>71.23</v>
      </c>
      <c r="L217" s="2" t="inlineStr">
        <is>
          <t>Win</t>
        </is>
      </c>
      <c r="M217" s="3">
        <f>M216+J217</f>
        <v/>
      </c>
    </row>
    <row r="218">
      <c r="A218" s="8" t="inlineStr">
        <is>
          <t>2021-09-27</t>
        </is>
      </c>
      <c r="B218" s="8" t="inlineStr">
        <is>
          <t>Monday</t>
        </is>
      </c>
      <c r="C218" s="8" t="inlineStr">
        <is>
          <t>MNQZ1</t>
        </is>
      </c>
      <c r="D218" s="9" t="n">
        <v>15214.75</v>
      </c>
      <c r="E218" s="9" t="n">
        <v>15084</v>
      </c>
      <c r="F218" s="9">
        <f>D218-E218</f>
        <v/>
      </c>
      <c r="G218" s="8" t="inlineStr">
        <is>
          <t>Long</t>
        </is>
      </c>
      <c r="H218" s="9" t="n">
        <v>15214.75</v>
      </c>
      <c r="I218" s="9" t="n">
        <v>15194.25</v>
      </c>
      <c r="J218" s="9">
        <f>IF(G218="Long",I218-H218,IF(G218="Short",H218-I218,0))</f>
        <v/>
      </c>
      <c r="K218" s="10" t="n">
        <v>72.47</v>
      </c>
      <c r="L218" s="8" t="inlineStr">
        <is>
          <t>EOD-Close</t>
        </is>
      </c>
      <c r="M218" s="9">
        <f>M217+J218</f>
        <v/>
      </c>
    </row>
    <row r="219">
      <c r="A219" s="2" t="inlineStr">
        <is>
          <t>2021-09-28</t>
        </is>
      </c>
      <c r="B219" s="2" t="inlineStr">
        <is>
          <t>Tuesday</t>
        </is>
      </c>
      <c r="C219" s="2" t="inlineStr">
        <is>
          <t>MNQZ1</t>
        </is>
      </c>
      <c r="D219" s="3" t="n">
        <v>15031.25</v>
      </c>
      <c r="E219" s="3" t="n">
        <v>14928.5</v>
      </c>
      <c r="F219" s="3">
        <f>D219-E219</f>
        <v/>
      </c>
      <c r="G219" s="2" t="inlineStr">
        <is>
          <t>Short</t>
        </is>
      </c>
      <c r="H219" s="3" t="n">
        <v>14928.5</v>
      </c>
      <c r="I219" s="3" t="n">
        <v>14825.75</v>
      </c>
      <c r="J219" s="3">
        <f>IF(G219="Long",I219-H219,IF(G219="Short",H219-I219,0))</f>
        <v/>
      </c>
      <c r="K219" s="4" t="n">
        <v>31.87</v>
      </c>
      <c r="L219" s="2" t="inlineStr">
        <is>
          <t>Win</t>
        </is>
      </c>
      <c r="M219" s="3">
        <f>M218+J219</f>
        <v/>
      </c>
    </row>
    <row r="220">
      <c r="A220" s="5" t="inlineStr">
        <is>
          <t>2021-09-29</t>
        </is>
      </c>
      <c r="B220" s="5" t="inlineStr">
        <is>
          <t>Wednesday</t>
        </is>
      </c>
      <c r="C220" s="5" t="inlineStr">
        <is>
          <t>MNQZ1</t>
        </is>
      </c>
      <c r="D220" s="6" t="n">
        <v>14852.75</v>
      </c>
      <c r="E220" s="6" t="n">
        <v>14787.75</v>
      </c>
      <c r="F220" s="6">
        <f>D220-E220</f>
        <v/>
      </c>
      <c r="G220" s="5" t="inlineStr">
        <is>
          <t>Long</t>
        </is>
      </c>
      <c r="H220" s="6" t="n">
        <v>14852.75</v>
      </c>
      <c r="I220" s="6" t="n">
        <v>14787.75</v>
      </c>
      <c r="J220" s="6">
        <f>IF(G220="Long",I220-H220,IF(G220="Short",H220-I220,0))</f>
        <v/>
      </c>
      <c r="K220" s="7" t="n">
        <v>100</v>
      </c>
      <c r="L220" s="5" t="inlineStr">
        <is>
          <t>Loss</t>
        </is>
      </c>
      <c r="M220" s="6">
        <f>M219+J220</f>
        <v/>
      </c>
    </row>
    <row r="221">
      <c r="A221" s="2" t="inlineStr">
        <is>
          <t>2021-09-29</t>
        </is>
      </c>
      <c r="B221" s="2" t="inlineStr">
        <is>
          <t>Wednesday</t>
        </is>
      </c>
      <c r="C221" s="2" t="inlineStr">
        <is>
          <t>MNQZ1</t>
        </is>
      </c>
      <c r="D221" s="3" t="n">
        <v>14852.75</v>
      </c>
      <c r="E221" s="3" t="n">
        <v>14787.75</v>
      </c>
      <c r="F221" s="3">
        <f>D221-E221</f>
        <v/>
      </c>
      <c r="G221" s="2" t="inlineStr">
        <is>
          <t>Short</t>
        </is>
      </c>
      <c r="H221" s="3" t="n">
        <v>14787.75</v>
      </c>
      <c r="I221" s="3" t="n">
        <v>14722.75</v>
      </c>
      <c r="J221" s="3">
        <f>IF(G221="Long",I221-H221,IF(G221="Short",H221-I221,0))</f>
        <v/>
      </c>
      <c r="K221" s="4" t="n">
        <v>30.77</v>
      </c>
      <c r="L221" s="2" t="inlineStr">
        <is>
          <t>Win</t>
        </is>
      </c>
      <c r="M221" s="3">
        <f>M220+J221</f>
        <v/>
      </c>
    </row>
    <row r="222">
      <c r="A222" s="2" t="inlineStr">
        <is>
          <t>2021-09-30</t>
        </is>
      </c>
      <c r="B222" s="2" t="inlineStr">
        <is>
          <t>Thursday</t>
        </is>
      </c>
      <c r="C222" s="2" t="inlineStr">
        <is>
          <t>MNQZ1</t>
        </is>
      </c>
      <c r="D222" s="3" t="n">
        <v>14872</v>
      </c>
      <c r="E222" s="3" t="n">
        <v>14806.75</v>
      </c>
      <c r="F222" s="3">
        <f>D222-E222</f>
        <v/>
      </c>
      <c r="G222" s="2" t="inlineStr">
        <is>
          <t>Short</t>
        </is>
      </c>
      <c r="H222" s="3" t="n">
        <v>14806.75</v>
      </c>
      <c r="I222" s="3" t="n">
        <v>14741.5</v>
      </c>
      <c r="J222" s="3">
        <f>IF(G222="Long",I222-H222,IF(G222="Short",H222-I222,0))</f>
        <v/>
      </c>
      <c r="K222" s="4" t="n">
        <v>51.72</v>
      </c>
      <c r="L222" s="2" t="inlineStr">
        <is>
          <t>Win</t>
        </is>
      </c>
      <c r="M222" s="3">
        <f>M221+J222</f>
        <v/>
      </c>
    </row>
    <row r="223">
      <c r="A223" s="2" t="inlineStr">
        <is>
          <t>2021-09-30</t>
        </is>
      </c>
      <c r="B223" s="2" t="inlineStr">
        <is>
          <t>Thursday</t>
        </is>
      </c>
      <c r="C223" s="2" t="inlineStr">
        <is>
          <t>MNQZ1</t>
        </is>
      </c>
      <c r="D223" s="3" t="n">
        <v>14872</v>
      </c>
      <c r="E223" s="3" t="n">
        <v>14806.75</v>
      </c>
      <c r="F223" s="3">
        <f>D223-E223</f>
        <v/>
      </c>
      <c r="G223" s="2" t="inlineStr">
        <is>
          <t>Short</t>
        </is>
      </c>
      <c r="H223" s="3" t="n">
        <v>14806.75</v>
      </c>
      <c r="I223" s="3" t="n">
        <v>14741.5</v>
      </c>
      <c r="J223" s="3">
        <f>IF(G223="Long",I223-H223,IF(G223="Short",H223-I223,0))</f>
        <v/>
      </c>
      <c r="K223" s="4" t="n">
        <v>33.33</v>
      </c>
      <c r="L223" s="2" t="inlineStr">
        <is>
          <t>Win</t>
        </is>
      </c>
      <c r="M223" s="3">
        <f>M222+J223</f>
        <v/>
      </c>
    </row>
    <row r="224">
      <c r="A224" s="5" t="inlineStr">
        <is>
          <t>2021-10-01</t>
        </is>
      </c>
      <c r="B224" s="5" t="inlineStr">
        <is>
          <t>Friday</t>
        </is>
      </c>
      <c r="C224" s="5" t="inlineStr">
        <is>
          <t>MNQZ1</t>
        </is>
      </c>
      <c r="D224" s="6" t="n">
        <v>14735.25</v>
      </c>
      <c r="E224" s="6" t="n">
        <v>14630.75</v>
      </c>
      <c r="F224" s="6">
        <f>D224-E224</f>
        <v/>
      </c>
      <c r="G224" s="5" t="inlineStr">
        <is>
          <t>Short</t>
        </is>
      </c>
      <c r="H224" s="6" t="n">
        <v>14630.75</v>
      </c>
      <c r="I224" s="6" t="n">
        <v>14735.25</v>
      </c>
      <c r="J224" s="6">
        <f>IF(G224="Long",I224-H224,IF(G224="Short",H224-I224,0))</f>
        <v/>
      </c>
      <c r="K224" s="7" t="n">
        <v>100</v>
      </c>
      <c r="L224" s="5" t="inlineStr">
        <is>
          <t>Loss</t>
        </is>
      </c>
      <c r="M224" s="6">
        <f>M223+J224</f>
        <v/>
      </c>
    </row>
    <row r="225">
      <c r="A225" s="8" t="inlineStr">
        <is>
          <t>2021-10-01</t>
        </is>
      </c>
      <c r="B225" s="8" t="inlineStr">
        <is>
          <t>Friday</t>
        </is>
      </c>
      <c r="C225" s="8" t="inlineStr">
        <is>
          <t>MNQZ1</t>
        </is>
      </c>
      <c r="D225" s="9" t="n">
        <v>14735.25</v>
      </c>
      <c r="E225" s="9" t="n">
        <v>14630.75</v>
      </c>
      <c r="F225" s="9">
        <f>D225-E225</f>
        <v/>
      </c>
      <c r="G225" s="8" t="inlineStr">
        <is>
          <t>Long</t>
        </is>
      </c>
      <c r="H225" s="9" t="n">
        <v>14735.25</v>
      </c>
      <c r="I225" s="9" t="n">
        <v>14770.75</v>
      </c>
      <c r="J225" s="9">
        <f>IF(G225="Long",I225-H225,IF(G225="Short",H225-I225,0))</f>
        <v/>
      </c>
      <c r="K225" s="10" t="n">
        <v>22.25</v>
      </c>
      <c r="L225" s="8" t="inlineStr">
        <is>
          <t>EOD-Close</t>
        </is>
      </c>
      <c r="M225" s="9">
        <f>M224+J225</f>
        <v/>
      </c>
    </row>
    <row r="226">
      <c r="A226" s="2" t="inlineStr">
        <is>
          <t>2021-10-04</t>
        </is>
      </c>
      <c r="B226" s="2" t="inlineStr">
        <is>
          <t>Monday</t>
        </is>
      </c>
      <c r="C226" s="2" t="inlineStr">
        <is>
          <t>MNQZ1</t>
        </is>
      </c>
      <c r="D226" s="3" t="n">
        <v>14720</v>
      </c>
      <c r="E226" s="3" t="n">
        <v>14590</v>
      </c>
      <c r="F226" s="3">
        <f>D226-E226</f>
        <v/>
      </c>
      <c r="G226" s="2" t="inlineStr">
        <is>
          <t>Short</t>
        </is>
      </c>
      <c r="H226" s="3" t="n">
        <v>14590</v>
      </c>
      <c r="I226" s="3" t="n">
        <v>14460</v>
      </c>
      <c r="J226" s="3">
        <f>IF(G226="Long",I226-H226,IF(G226="Short",H226-I226,0))</f>
        <v/>
      </c>
      <c r="K226" s="4" t="n">
        <v>15.77</v>
      </c>
      <c r="L226" s="2" t="inlineStr">
        <is>
          <t>Win</t>
        </is>
      </c>
      <c r="M226" s="3">
        <f>M225+J226</f>
        <v/>
      </c>
    </row>
    <row r="227">
      <c r="A227" s="2" t="inlineStr">
        <is>
          <t>2021-10-05</t>
        </is>
      </c>
      <c r="B227" s="2" t="inlineStr">
        <is>
          <t>Tuesday</t>
        </is>
      </c>
      <c r="C227" s="2" t="inlineStr">
        <is>
          <t>MNQZ1</t>
        </is>
      </c>
      <c r="D227" s="3" t="n">
        <v>14573.5</v>
      </c>
      <c r="E227" s="3" t="n">
        <v>14496.5</v>
      </c>
      <c r="F227" s="3">
        <f>D227-E227</f>
        <v/>
      </c>
      <c r="G227" s="2" t="inlineStr">
        <is>
          <t>Long</t>
        </is>
      </c>
      <c r="H227" s="3" t="n">
        <v>14573.5</v>
      </c>
      <c r="I227" s="3" t="n">
        <v>14650.5</v>
      </c>
      <c r="J227" s="3">
        <f>IF(G227="Long",I227-H227,IF(G227="Short",H227-I227,0))</f>
        <v/>
      </c>
      <c r="K227" s="4" t="n">
        <v>25</v>
      </c>
      <c r="L227" s="2" t="inlineStr">
        <is>
          <t>Win</t>
        </is>
      </c>
      <c r="M227" s="3">
        <f>M226+J227</f>
        <v/>
      </c>
    </row>
    <row r="228">
      <c r="A228" s="5" t="inlineStr">
        <is>
          <t>2021-10-06</t>
        </is>
      </c>
      <c r="B228" s="5" t="inlineStr">
        <is>
          <t>Wednesday</t>
        </is>
      </c>
      <c r="C228" s="5" t="inlineStr">
        <is>
          <t>MNQZ1</t>
        </is>
      </c>
      <c r="D228" s="6" t="n">
        <v>14639</v>
      </c>
      <c r="E228" s="6" t="n">
        <v>14511.25</v>
      </c>
      <c r="F228" s="6">
        <f>D228-E228</f>
        <v/>
      </c>
      <c r="G228" s="5" t="inlineStr">
        <is>
          <t>Short</t>
        </is>
      </c>
      <c r="H228" s="6" t="n">
        <v>14511.25</v>
      </c>
      <c r="I228" s="6" t="n">
        <v>14639</v>
      </c>
      <c r="J228" s="6">
        <f>IF(G228="Long",I228-H228,IF(G228="Short",H228-I228,0))</f>
        <v/>
      </c>
      <c r="K228" s="7" t="n">
        <v>100</v>
      </c>
      <c r="L228" s="5" t="inlineStr">
        <is>
          <t>Loss</t>
        </is>
      </c>
      <c r="M228" s="6">
        <f>M227+J228</f>
        <v/>
      </c>
    </row>
    <row r="229">
      <c r="A229" s="8" t="inlineStr">
        <is>
          <t>2021-10-06</t>
        </is>
      </c>
      <c r="B229" s="8" t="inlineStr">
        <is>
          <t>Wednesday</t>
        </is>
      </c>
      <c r="C229" s="8" t="inlineStr">
        <is>
          <t>MNQZ1</t>
        </is>
      </c>
      <c r="D229" s="9" t="n">
        <v>14639</v>
      </c>
      <c r="E229" s="9" t="n">
        <v>14511.25</v>
      </c>
      <c r="F229" s="9">
        <f>D229-E229</f>
        <v/>
      </c>
      <c r="G229" s="8" t="inlineStr">
        <is>
          <t>Long</t>
        </is>
      </c>
      <c r="H229" s="9" t="n">
        <v>14639</v>
      </c>
      <c r="I229" s="9" t="n">
        <v>14753.5</v>
      </c>
      <c r="J229" s="9">
        <f>IF(G229="Long",I229-H229,IF(G229="Short",H229-I229,0))</f>
        <v/>
      </c>
      <c r="K229" s="10" t="n">
        <v>55.97</v>
      </c>
      <c r="L229" s="8" t="inlineStr">
        <is>
          <t>EOD-Close</t>
        </is>
      </c>
      <c r="M229" s="9">
        <f>M228+J229</f>
        <v/>
      </c>
    </row>
    <row r="230">
      <c r="A230" s="8" t="inlineStr">
        <is>
          <t>2021-10-07</t>
        </is>
      </c>
      <c r="B230" s="8" t="inlineStr">
        <is>
          <t>Thursday</t>
        </is>
      </c>
      <c r="C230" s="8" t="inlineStr">
        <is>
          <t>MNQZ1</t>
        </is>
      </c>
      <c r="D230" s="9" t="n">
        <v>14949</v>
      </c>
      <c r="E230" s="9" t="n">
        <v>14859.25</v>
      </c>
      <c r="F230" s="9">
        <f>D230-E230</f>
        <v/>
      </c>
      <c r="G230" s="8" t="inlineStr">
        <is>
          <t>Long</t>
        </is>
      </c>
      <c r="H230" s="9" t="n">
        <v>14949</v>
      </c>
      <c r="I230" s="9" t="n">
        <v>14886.25</v>
      </c>
      <c r="J230" s="9">
        <f>IF(G230="Long",I230-H230,IF(G230="Short",H230-I230,0))</f>
        <v/>
      </c>
      <c r="K230" s="10" t="n">
        <v>89.69</v>
      </c>
      <c r="L230" s="8" t="inlineStr">
        <is>
          <t>EOD-Close</t>
        </is>
      </c>
      <c r="M230" s="9">
        <f>M229+J230</f>
        <v/>
      </c>
    </row>
    <row r="231">
      <c r="A231" s="8" t="inlineStr">
        <is>
          <t>2021-10-08</t>
        </is>
      </c>
      <c r="B231" s="8" t="inlineStr">
        <is>
          <t>Friday</t>
        </is>
      </c>
      <c r="C231" s="8" t="inlineStr">
        <is>
          <t>MNQZ1</t>
        </is>
      </c>
      <c r="D231" s="9" t="n">
        <v>14943.25</v>
      </c>
      <c r="E231" s="9" t="n">
        <v>14847.75</v>
      </c>
      <c r="F231" s="9">
        <f>D231-E231</f>
        <v/>
      </c>
      <c r="G231" s="8" t="inlineStr">
        <is>
          <t>Short</t>
        </is>
      </c>
      <c r="H231" s="9" t="n">
        <v>14847.75</v>
      </c>
      <c r="I231" s="9" t="n">
        <v>14811.5</v>
      </c>
      <c r="J231" s="9">
        <f>IF(G231="Long",I231-H231,IF(G231="Short",H231-I231,0))</f>
        <v/>
      </c>
      <c r="K231" s="10" t="n">
        <v>29.58</v>
      </c>
      <c r="L231" s="8" t="inlineStr">
        <is>
          <t>EOD-Close</t>
        </is>
      </c>
      <c r="M231" s="9">
        <f>M230+J231</f>
        <v/>
      </c>
    </row>
    <row r="232">
      <c r="A232" s="5" t="inlineStr">
        <is>
          <t>2021-10-11</t>
        </is>
      </c>
      <c r="B232" s="5" t="inlineStr">
        <is>
          <t>Monday</t>
        </is>
      </c>
      <c r="C232" s="5" t="inlineStr">
        <is>
          <t>MNQZ1</t>
        </is>
      </c>
      <c r="D232" s="6" t="n">
        <v>14827</v>
      </c>
      <c r="E232" s="6" t="n">
        <v>14721.5</v>
      </c>
      <c r="F232" s="6">
        <f>D232-E232</f>
        <v/>
      </c>
      <c r="G232" s="5" t="inlineStr">
        <is>
          <t>Long</t>
        </is>
      </c>
      <c r="H232" s="6" t="n">
        <v>14827</v>
      </c>
      <c r="I232" s="6" t="n">
        <v>14721.5</v>
      </c>
      <c r="J232" s="6">
        <f>IF(G232="Long",I232-H232,IF(G232="Short",H232-I232,0))</f>
        <v/>
      </c>
      <c r="K232" s="7" t="n">
        <v>100</v>
      </c>
      <c r="L232" s="5" t="inlineStr">
        <is>
          <t>Loss</t>
        </is>
      </c>
      <c r="M232" s="6">
        <f>M231+J232</f>
        <v/>
      </c>
    </row>
    <row r="233">
      <c r="A233" s="8" t="inlineStr">
        <is>
          <t>2021-10-11</t>
        </is>
      </c>
      <c r="B233" s="8" t="inlineStr">
        <is>
          <t>Monday</t>
        </is>
      </c>
      <c r="C233" s="8" t="inlineStr">
        <is>
          <t>MNQZ1</t>
        </is>
      </c>
      <c r="D233" s="9" t="n">
        <v>14827</v>
      </c>
      <c r="E233" s="9" t="n">
        <v>14721.5</v>
      </c>
      <c r="F233" s="9">
        <f>D233-E233</f>
        <v/>
      </c>
      <c r="G233" s="8" t="inlineStr">
        <is>
          <t>Short</t>
        </is>
      </c>
      <c r="H233" s="9" t="n">
        <v>14721.5</v>
      </c>
      <c r="I233" s="9" t="n">
        <v>14700</v>
      </c>
      <c r="J233" s="9">
        <f>IF(G233="Long",I233-H233,IF(G233="Short",H233-I233,0))</f>
        <v/>
      </c>
      <c r="K233" s="10" t="n">
        <v>1.9</v>
      </c>
      <c r="L233" s="8" t="inlineStr">
        <is>
          <t>EOD-Close</t>
        </is>
      </c>
      <c r="M233" s="9">
        <f>M232+J233</f>
        <v/>
      </c>
    </row>
    <row r="234">
      <c r="A234" s="8" t="inlineStr">
        <is>
          <t>2021-10-12</t>
        </is>
      </c>
      <c r="B234" s="8" t="inlineStr">
        <is>
          <t>Tuesday</t>
        </is>
      </c>
      <c r="C234" s="8" t="inlineStr">
        <is>
          <t>MNQZ1</t>
        </is>
      </c>
      <c r="D234" s="9" t="n">
        <v>14778.75</v>
      </c>
      <c r="E234" s="9" t="n">
        <v>14689</v>
      </c>
      <c r="F234" s="9">
        <f>D234-E234</f>
        <v/>
      </c>
      <c r="G234" s="8" t="inlineStr">
        <is>
          <t>Short</t>
        </is>
      </c>
      <c r="H234" s="9" t="n">
        <v>14689</v>
      </c>
      <c r="I234" s="9" t="n">
        <v>14650.25</v>
      </c>
      <c r="J234" s="9">
        <f>IF(G234="Long",I234-H234,IF(G234="Short",H234-I234,0))</f>
        <v/>
      </c>
      <c r="K234" s="10" t="n">
        <v>48.75</v>
      </c>
      <c r="L234" s="8" t="inlineStr">
        <is>
          <t>EOD-Close</t>
        </is>
      </c>
      <c r="M234" s="9">
        <f>M233+J234</f>
        <v/>
      </c>
    </row>
    <row r="235">
      <c r="A235" s="5" t="inlineStr">
        <is>
          <t>2021-10-13</t>
        </is>
      </c>
      <c r="B235" s="5" t="inlineStr">
        <is>
          <t>Wednesday</t>
        </is>
      </c>
      <c r="C235" s="5" t="inlineStr">
        <is>
          <t>MNQZ1</t>
        </is>
      </c>
      <c r="D235" s="6" t="n">
        <v>14778.75</v>
      </c>
      <c r="E235" s="6" t="n">
        <v>14717.75</v>
      </c>
      <c r="F235" s="6">
        <f>D235-E235</f>
        <v/>
      </c>
      <c r="G235" s="5" t="inlineStr">
        <is>
          <t>Short</t>
        </is>
      </c>
      <c r="H235" s="6" t="n">
        <v>14717.75</v>
      </c>
      <c r="I235" s="6" t="n">
        <v>14778.75</v>
      </c>
      <c r="J235" s="6">
        <f>IF(G235="Long",I235-H235,IF(G235="Short",H235-I235,0))</f>
        <v/>
      </c>
      <c r="K235" s="7" t="n">
        <v>100</v>
      </c>
      <c r="L235" s="5" t="inlineStr">
        <is>
          <t>Loss</t>
        </is>
      </c>
      <c r="M235" s="6">
        <f>M234+J235</f>
        <v/>
      </c>
    </row>
    <row r="236">
      <c r="A236" s="2" t="inlineStr">
        <is>
          <t>2021-10-14</t>
        </is>
      </c>
      <c r="B236" s="2" t="inlineStr">
        <is>
          <t>Thursday</t>
        </is>
      </c>
      <c r="C236" s="2" t="inlineStr">
        <is>
          <t>MNQZ1</t>
        </is>
      </c>
      <c r="D236" s="3" t="n">
        <v>14951</v>
      </c>
      <c r="E236" s="3" t="n">
        <v>14890.5</v>
      </c>
      <c r="F236" s="3">
        <f>D236-E236</f>
        <v/>
      </c>
      <c r="G236" s="2" t="inlineStr">
        <is>
          <t>Long</t>
        </is>
      </c>
      <c r="H236" s="3" t="n">
        <v>14951</v>
      </c>
      <c r="I236" s="3" t="n">
        <v>15011.5</v>
      </c>
      <c r="J236" s="3">
        <f>IF(G236="Long",I236-H236,IF(G236="Short",H236-I236,0))</f>
        <v/>
      </c>
      <c r="K236" s="4" t="n">
        <v>0</v>
      </c>
      <c r="L236" s="2" t="inlineStr">
        <is>
          <t>Win</t>
        </is>
      </c>
      <c r="M236" s="3">
        <f>M235+J236</f>
        <v/>
      </c>
    </row>
    <row r="237">
      <c r="A237" s="8" t="inlineStr">
        <is>
          <t>2021-10-15</t>
        </is>
      </c>
      <c r="B237" s="8" t="inlineStr">
        <is>
          <t>Friday</t>
        </is>
      </c>
      <c r="C237" s="8" t="inlineStr">
        <is>
          <t>MNQZ1</t>
        </is>
      </c>
      <c r="D237" s="9" t="n">
        <v>15100</v>
      </c>
      <c r="E237" s="9" t="n">
        <v>15049.25</v>
      </c>
      <c r="F237" s="9">
        <f>D237-E237</f>
        <v/>
      </c>
      <c r="G237" s="8" t="inlineStr">
        <is>
          <t>Long</t>
        </is>
      </c>
      <c r="H237" s="9" t="n">
        <v>15100</v>
      </c>
      <c r="I237" s="9" t="n">
        <v>15135.5</v>
      </c>
      <c r="J237" s="9">
        <f>IF(G237="Long",I237-H237,IF(G237="Short",H237-I237,0))</f>
        <v/>
      </c>
      <c r="K237" s="10" t="n">
        <v>81.77</v>
      </c>
      <c r="L237" s="8" t="inlineStr">
        <is>
          <t>EOD-Close</t>
        </is>
      </c>
      <c r="M237" s="9">
        <f>M236+J237</f>
        <v/>
      </c>
    </row>
    <row r="238">
      <c r="A238" s="2" t="inlineStr">
        <is>
          <t>2021-10-18</t>
        </is>
      </c>
      <c r="B238" s="2" t="inlineStr">
        <is>
          <t>Monday</t>
        </is>
      </c>
      <c r="C238" s="2" t="inlineStr">
        <is>
          <t>MNQZ1</t>
        </is>
      </c>
      <c r="D238" s="3" t="n">
        <v>15117.75</v>
      </c>
      <c r="E238" s="3" t="n">
        <v>15051.75</v>
      </c>
      <c r="F238" s="3">
        <f>D238-E238</f>
        <v/>
      </c>
      <c r="G238" s="2" t="inlineStr">
        <is>
          <t>Long</t>
        </is>
      </c>
      <c r="H238" s="3" t="n">
        <v>15117.75</v>
      </c>
      <c r="I238" s="3" t="n">
        <v>15183.75</v>
      </c>
      <c r="J238" s="3">
        <f>IF(G238="Long",I238-H238,IF(G238="Short",H238-I238,0))</f>
        <v/>
      </c>
      <c r="K238" s="4" t="n">
        <v>0</v>
      </c>
      <c r="L238" s="2" t="inlineStr">
        <is>
          <t>Win</t>
        </is>
      </c>
      <c r="M238" s="3">
        <f>M237+J238</f>
        <v/>
      </c>
    </row>
    <row r="239">
      <c r="A239" s="8" t="inlineStr">
        <is>
          <t>2021-10-19</t>
        </is>
      </c>
      <c r="B239" s="8" t="inlineStr">
        <is>
          <t>Tuesday</t>
        </is>
      </c>
      <c r="C239" s="8" t="inlineStr">
        <is>
          <t>MNQZ1</t>
        </is>
      </c>
      <c r="D239" s="9" t="n">
        <v>15354.5</v>
      </c>
      <c r="E239" s="9" t="n">
        <v>15302.25</v>
      </c>
      <c r="F239" s="9">
        <f>D239-E239</f>
        <v/>
      </c>
      <c r="G239" s="8" t="inlineStr">
        <is>
          <t>Long</t>
        </is>
      </c>
      <c r="H239" s="9" t="n">
        <v>15354.5</v>
      </c>
      <c r="I239" s="9" t="n">
        <v>15400.25</v>
      </c>
      <c r="J239" s="9">
        <f>IF(G239="Long",I239-H239,IF(G239="Short",H239-I239,0))</f>
        <v/>
      </c>
      <c r="K239" s="10" t="n">
        <v>82.3</v>
      </c>
      <c r="L239" s="8" t="inlineStr">
        <is>
          <t>EOD-Close</t>
        </is>
      </c>
      <c r="M239" s="9">
        <f>M238+J239</f>
        <v/>
      </c>
    </row>
    <row r="240">
      <c r="A240" s="5" t="inlineStr">
        <is>
          <t>2021-10-20</t>
        </is>
      </c>
      <c r="B240" s="5" t="inlineStr">
        <is>
          <t>Wednesday</t>
        </is>
      </c>
      <c r="C240" s="5" t="inlineStr">
        <is>
          <t>MNQZ1</t>
        </is>
      </c>
      <c r="D240" s="6" t="n">
        <v>15435.25</v>
      </c>
      <c r="E240" s="6" t="n">
        <v>15402</v>
      </c>
      <c r="F240" s="6">
        <f>D240-E240</f>
        <v/>
      </c>
      <c r="G240" s="5" t="inlineStr">
        <is>
          <t>Short</t>
        </is>
      </c>
      <c r="H240" s="6" t="n">
        <v>15402</v>
      </c>
      <c r="I240" s="6" t="n">
        <v>15435.25</v>
      </c>
      <c r="J240" s="6">
        <f>IF(G240="Long",I240-H240,IF(G240="Short",H240-I240,0))</f>
        <v/>
      </c>
      <c r="K240" s="7" t="n">
        <v>100</v>
      </c>
      <c r="L240" s="5" t="inlineStr">
        <is>
          <t>Loss</t>
        </is>
      </c>
      <c r="M240" s="6">
        <f>M239+J240</f>
        <v/>
      </c>
    </row>
    <row r="241">
      <c r="A241" s="5" t="inlineStr">
        <is>
          <t>2021-10-20</t>
        </is>
      </c>
      <c r="B241" s="5" t="inlineStr">
        <is>
          <t>Wednesday</t>
        </is>
      </c>
      <c r="C241" s="5" t="inlineStr">
        <is>
          <t>MNQZ1</t>
        </is>
      </c>
      <c r="D241" s="6" t="n">
        <v>15435.25</v>
      </c>
      <c r="E241" s="6" t="n">
        <v>15402</v>
      </c>
      <c r="F241" s="6">
        <f>D241-E241</f>
        <v/>
      </c>
      <c r="G241" s="5" t="inlineStr">
        <is>
          <t>Long</t>
        </is>
      </c>
      <c r="H241" s="6" t="n">
        <v>15435.25</v>
      </c>
      <c r="I241" s="6" t="n">
        <v>15402</v>
      </c>
      <c r="J241" s="6">
        <f>IF(G241="Long",I241-H241,IF(G241="Short",H241-I241,0))</f>
        <v/>
      </c>
      <c r="K241" s="7" t="n">
        <v>100</v>
      </c>
      <c r="L241" s="5" t="inlineStr">
        <is>
          <t>Loss</t>
        </is>
      </c>
      <c r="M241" s="6">
        <f>M240+J241</f>
        <v/>
      </c>
    </row>
    <row r="242">
      <c r="A242" s="2" t="inlineStr">
        <is>
          <t>2021-10-21</t>
        </is>
      </c>
      <c r="B242" s="2" t="inlineStr">
        <is>
          <t>Thursday</t>
        </is>
      </c>
      <c r="C242" s="2" t="inlineStr">
        <is>
          <t>MNQZ1</t>
        </is>
      </c>
      <c r="D242" s="3" t="n">
        <v>15379</v>
      </c>
      <c r="E242" s="3" t="n">
        <v>15334.25</v>
      </c>
      <c r="F242" s="3">
        <f>D242-E242</f>
        <v/>
      </c>
      <c r="G242" s="2" t="inlineStr">
        <is>
          <t>Long</t>
        </is>
      </c>
      <c r="H242" s="3" t="n">
        <v>15379</v>
      </c>
      <c r="I242" s="3" t="n">
        <v>15423.75</v>
      </c>
      <c r="J242" s="3">
        <f>IF(G242="Long",I242-H242,IF(G242="Short",H242-I242,0))</f>
        <v/>
      </c>
      <c r="K242" s="4" t="n">
        <v>9.5</v>
      </c>
      <c r="L242" s="2" t="inlineStr">
        <is>
          <t>Win</t>
        </is>
      </c>
      <c r="M242" s="3">
        <f>M241+J242</f>
        <v/>
      </c>
    </row>
    <row r="243">
      <c r="A243" s="5" t="inlineStr">
        <is>
          <t>2021-10-22</t>
        </is>
      </c>
      <c r="B243" s="5" t="inlineStr">
        <is>
          <t>Friday</t>
        </is>
      </c>
      <c r="C243" s="5" t="inlineStr">
        <is>
          <t>MNQZ1</t>
        </is>
      </c>
      <c r="D243" s="6" t="n">
        <v>15458.25</v>
      </c>
      <c r="E243" s="6" t="n">
        <v>15404.5</v>
      </c>
      <c r="F243" s="6">
        <f>D243-E243</f>
        <v/>
      </c>
      <c r="G243" s="5" t="inlineStr">
        <is>
          <t>Short</t>
        </is>
      </c>
      <c r="H243" s="6" t="n">
        <v>15404.5</v>
      </c>
      <c r="I243" s="6" t="n">
        <v>15458.25</v>
      </c>
      <c r="J243" s="6">
        <f>IF(G243="Long",I243-H243,IF(G243="Short",H243-I243,0))</f>
        <v/>
      </c>
      <c r="K243" s="7" t="n">
        <v>100</v>
      </c>
      <c r="L243" s="5" t="inlineStr">
        <is>
          <t>Loss</t>
        </is>
      </c>
      <c r="M243" s="6">
        <f>M242+J243</f>
        <v/>
      </c>
    </row>
    <row r="244">
      <c r="A244" s="5" t="inlineStr">
        <is>
          <t>2021-10-22</t>
        </is>
      </c>
      <c r="B244" s="5" t="inlineStr">
        <is>
          <t>Friday</t>
        </is>
      </c>
      <c r="C244" s="5" t="inlineStr">
        <is>
          <t>MNQZ1</t>
        </is>
      </c>
      <c r="D244" s="6" t="n">
        <v>15458.25</v>
      </c>
      <c r="E244" s="6" t="n">
        <v>15404.5</v>
      </c>
      <c r="F244" s="6">
        <f>D244-E244</f>
        <v/>
      </c>
      <c r="G244" s="5" t="inlineStr">
        <is>
          <t>Long</t>
        </is>
      </c>
      <c r="H244" s="6" t="n">
        <v>15458.25</v>
      </c>
      <c r="I244" s="6" t="n">
        <v>15404.5</v>
      </c>
      <c r="J244" s="6">
        <f>IF(G244="Long",I244-H244,IF(G244="Short",H244-I244,0))</f>
        <v/>
      </c>
      <c r="K244" s="7" t="n">
        <v>100</v>
      </c>
      <c r="L244" s="5" t="inlineStr">
        <is>
          <t>Loss</t>
        </is>
      </c>
      <c r="M244" s="6">
        <f>M243+J244</f>
        <v/>
      </c>
    </row>
    <row r="245">
      <c r="A245" s="2" t="inlineStr">
        <is>
          <t>2021-10-25</t>
        </is>
      </c>
      <c r="B245" s="2" t="inlineStr">
        <is>
          <t>Monday</t>
        </is>
      </c>
      <c r="C245" s="2" t="inlineStr">
        <is>
          <t>MNQZ1</t>
        </is>
      </c>
      <c r="D245" s="3" t="n">
        <v>15432.5</v>
      </c>
      <c r="E245" s="3" t="n">
        <v>15322.25</v>
      </c>
      <c r="F245" s="3">
        <f>D245-E245</f>
        <v/>
      </c>
      <c r="G245" s="2" t="inlineStr">
        <is>
          <t>Long</t>
        </is>
      </c>
      <c r="H245" s="3" t="n">
        <v>15432.5</v>
      </c>
      <c r="I245" s="3" t="n">
        <v>15542.75</v>
      </c>
      <c r="J245" s="3">
        <f>IF(G245="Long",I245-H245,IF(G245="Short",H245-I245,0))</f>
        <v/>
      </c>
      <c r="K245" s="4" t="n">
        <v>0</v>
      </c>
      <c r="L245" s="2" t="inlineStr">
        <is>
          <t>Win</t>
        </is>
      </c>
      <c r="M245" s="3">
        <f>M244+J245</f>
        <v/>
      </c>
    </row>
    <row r="246">
      <c r="A246" s="5" t="inlineStr">
        <is>
          <t>2021-10-26</t>
        </is>
      </c>
      <c r="B246" s="5" t="inlineStr">
        <is>
          <t>Tuesday</t>
        </is>
      </c>
      <c r="C246" s="5" t="inlineStr">
        <is>
          <t>MNQZ1</t>
        </is>
      </c>
      <c r="D246" s="6" t="n">
        <v>15658.25</v>
      </c>
      <c r="E246" s="6" t="n">
        <v>15580.25</v>
      </c>
      <c r="F246" s="6">
        <f>D246-E246</f>
        <v/>
      </c>
      <c r="G246" s="5" t="inlineStr">
        <is>
          <t>Long</t>
        </is>
      </c>
      <c r="H246" s="6" t="n">
        <v>15658.25</v>
      </c>
      <c r="I246" s="6" t="n">
        <v>15580.25</v>
      </c>
      <c r="J246" s="6">
        <f>IF(G246="Long",I246-H246,IF(G246="Short",H246-I246,0))</f>
        <v/>
      </c>
      <c r="K246" s="7" t="n">
        <v>100</v>
      </c>
      <c r="L246" s="5" t="inlineStr">
        <is>
          <t>Loss</t>
        </is>
      </c>
      <c r="M246" s="6">
        <f>M245+J246</f>
        <v/>
      </c>
    </row>
    <row r="247">
      <c r="A247" s="8" t="inlineStr">
        <is>
          <t>2021-10-26</t>
        </is>
      </c>
      <c r="B247" s="8" t="inlineStr">
        <is>
          <t>Tuesday</t>
        </is>
      </c>
      <c r="C247" s="8" t="inlineStr">
        <is>
          <t>MNQZ1</t>
        </is>
      </c>
      <c r="D247" s="9" t="n">
        <v>15658.25</v>
      </c>
      <c r="E247" s="9" t="n">
        <v>15580.25</v>
      </c>
      <c r="F247" s="9">
        <f>D247-E247</f>
        <v/>
      </c>
      <c r="G247" s="8" t="inlineStr">
        <is>
          <t>Short</t>
        </is>
      </c>
      <c r="H247" s="9" t="n">
        <v>15580.25</v>
      </c>
      <c r="I247" s="9" t="n">
        <v>15545</v>
      </c>
      <c r="J247" s="9">
        <f>IF(G247="Long",I247-H247,IF(G247="Short",H247-I247,0))</f>
        <v/>
      </c>
      <c r="K247" s="10" t="n">
        <v>27.56</v>
      </c>
      <c r="L247" s="8" t="inlineStr">
        <is>
          <t>EOD-Close</t>
        </is>
      </c>
      <c r="M247" s="9">
        <f>M246+J247</f>
        <v/>
      </c>
    </row>
    <row r="248">
      <c r="A248" s="2" t="inlineStr">
        <is>
          <t>2021-10-27</t>
        </is>
      </c>
      <c r="B248" s="2" t="inlineStr">
        <is>
          <t>Wednesday</t>
        </is>
      </c>
      <c r="C248" s="2" t="inlineStr">
        <is>
          <t>MNQZ1</t>
        </is>
      </c>
      <c r="D248" s="3" t="n">
        <v>15626</v>
      </c>
      <c r="E248" s="3" t="n">
        <v>15558.25</v>
      </c>
      <c r="F248" s="3">
        <f>D248-E248</f>
        <v/>
      </c>
      <c r="G248" s="2" t="inlineStr">
        <is>
          <t>Long</t>
        </is>
      </c>
      <c r="H248" s="3" t="n">
        <v>15626</v>
      </c>
      <c r="I248" s="3" t="n">
        <v>15693.75</v>
      </c>
      <c r="J248" s="3">
        <f>IF(G248="Long",I248-H248,IF(G248="Short",H248-I248,0))</f>
        <v/>
      </c>
      <c r="K248" s="4" t="n">
        <v>94.45999999999999</v>
      </c>
      <c r="L248" s="2" t="inlineStr">
        <is>
          <t>Win</t>
        </is>
      </c>
      <c r="M248" s="3">
        <f>M247+J248</f>
        <v/>
      </c>
    </row>
    <row r="249">
      <c r="A249" s="8" t="inlineStr">
        <is>
          <t>2021-10-27</t>
        </is>
      </c>
      <c r="B249" s="8" t="inlineStr">
        <is>
          <t>Wednesday</t>
        </is>
      </c>
      <c r="C249" s="8" t="inlineStr">
        <is>
          <t>MNQZ1</t>
        </is>
      </c>
      <c r="D249" s="9" t="n">
        <v>15626</v>
      </c>
      <c r="E249" s="9" t="n">
        <v>15558.25</v>
      </c>
      <c r="F249" s="9">
        <f>D249-E249</f>
        <v/>
      </c>
      <c r="G249" s="8" t="inlineStr">
        <is>
          <t>Long</t>
        </is>
      </c>
      <c r="H249" s="9" t="n">
        <v>15626</v>
      </c>
      <c r="I249" s="9" t="n">
        <v>15585</v>
      </c>
      <c r="J249" s="9">
        <f>IF(G249="Long",I249-H249,IF(G249="Short",H249-I249,0))</f>
        <v/>
      </c>
      <c r="K249" s="10" t="n">
        <v>64.58</v>
      </c>
      <c r="L249" s="8" t="inlineStr">
        <is>
          <t>EOD-Close</t>
        </is>
      </c>
      <c r="M249" s="9">
        <f>M248+J249</f>
        <v/>
      </c>
    </row>
    <row r="250">
      <c r="A250" s="2" t="inlineStr">
        <is>
          <t>2021-10-28</t>
        </is>
      </c>
      <c r="B250" s="2" t="inlineStr">
        <is>
          <t>Thursday</t>
        </is>
      </c>
      <c r="C250" s="2" t="inlineStr">
        <is>
          <t>MNQZ1</t>
        </is>
      </c>
      <c r="D250" s="3" t="n">
        <v>15687.25</v>
      </c>
      <c r="E250" s="3" t="n">
        <v>15635.75</v>
      </c>
      <c r="F250" s="3">
        <f>D250-E250</f>
        <v/>
      </c>
      <c r="G250" s="2" t="inlineStr">
        <is>
          <t>Long</t>
        </is>
      </c>
      <c r="H250" s="3" t="n">
        <v>15687.25</v>
      </c>
      <c r="I250" s="3" t="n">
        <v>15738.75</v>
      </c>
      <c r="J250" s="3">
        <f>IF(G250="Long",I250-H250,IF(G250="Short",H250-I250,0))</f>
        <v/>
      </c>
      <c r="K250" s="4" t="n">
        <v>60.68</v>
      </c>
      <c r="L250" s="2" t="inlineStr">
        <is>
          <t>Win</t>
        </is>
      </c>
      <c r="M250" s="3">
        <f>M249+J250</f>
        <v/>
      </c>
    </row>
    <row r="251">
      <c r="A251" s="2" t="inlineStr">
        <is>
          <t>2021-10-28</t>
        </is>
      </c>
      <c r="B251" s="2" t="inlineStr">
        <is>
          <t>Thursday</t>
        </is>
      </c>
      <c r="C251" s="2" t="inlineStr">
        <is>
          <t>MNQZ1</t>
        </is>
      </c>
      <c r="D251" s="3" t="n">
        <v>15687.25</v>
      </c>
      <c r="E251" s="3" t="n">
        <v>15635.75</v>
      </c>
      <c r="F251" s="3">
        <f>D251-E251</f>
        <v/>
      </c>
      <c r="G251" s="2" t="inlineStr">
        <is>
          <t>Long</t>
        </is>
      </c>
      <c r="H251" s="3" t="n">
        <v>15687.25</v>
      </c>
      <c r="I251" s="3" t="n">
        <v>15738.75</v>
      </c>
      <c r="J251" s="3">
        <f>IF(G251="Long",I251-H251,IF(G251="Short",H251-I251,0))</f>
        <v/>
      </c>
      <c r="K251" s="4" t="n">
        <v>0</v>
      </c>
      <c r="L251" s="2" t="inlineStr">
        <is>
          <t>Win</t>
        </is>
      </c>
      <c r="M251" s="3">
        <f>M250+J251</f>
        <v/>
      </c>
    </row>
    <row r="252">
      <c r="A252" s="2" t="inlineStr">
        <is>
          <t>2021-10-29</t>
        </is>
      </c>
      <c r="B252" s="2" t="inlineStr">
        <is>
          <t>Friday</t>
        </is>
      </c>
      <c r="C252" s="2" t="inlineStr">
        <is>
          <t>MNQZ1</t>
        </is>
      </c>
      <c r="D252" s="3" t="n">
        <v>15683.25</v>
      </c>
      <c r="E252" s="3" t="n">
        <v>15616</v>
      </c>
      <c r="F252" s="3">
        <f>D252-E252</f>
        <v/>
      </c>
      <c r="G252" s="2" t="inlineStr">
        <is>
          <t>Long</t>
        </is>
      </c>
      <c r="H252" s="3" t="n">
        <v>15683.25</v>
      </c>
      <c r="I252" s="3" t="n">
        <v>15750.5</v>
      </c>
      <c r="J252" s="3">
        <f>IF(G252="Long",I252-H252,IF(G252="Short",H252-I252,0))</f>
        <v/>
      </c>
      <c r="K252" s="4" t="n">
        <v>23.79</v>
      </c>
      <c r="L252" s="2" t="inlineStr">
        <is>
          <t>Win</t>
        </is>
      </c>
      <c r="M252" s="3">
        <f>M251+J252</f>
        <v/>
      </c>
    </row>
    <row r="253">
      <c r="A253" s="5" t="inlineStr">
        <is>
          <t>2021-11-01</t>
        </is>
      </c>
      <c r="B253" s="5" t="inlineStr">
        <is>
          <t>Monday</t>
        </is>
      </c>
      <c r="C253" s="5" t="inlineStr">
        <is>
          <t>MNQZ1</t>
        </is>
      </c>
      <c r="D253" s="6" t="n">
        <v>15868.5</v>
      </c>
      <c r="E253" s="6" t="n">
        <v>15804.75</v>
      </c>
      <c r="F253" s="6">
        <f>D253-E253</f>
        <v/>
      </c>
      <c r="G253" s="5" t="inlineStr">
        <is>
          <t>Short</t>
        </is>
      </c>
      <c r="H253" s="6" t="n">
        <v>15804.75</v>
      </c>
      <c r="I253" s="6" t="n">
        <v>15868.5</v>
      </c>
      <c r="J253" s="6">
        <f>IF(G253="Long",I253-H253,IF(G253="Short",H253-I253,0))</f>
        <v/>
      </c>
      <c r="K253" s="7" t="n">
        <v>100</v>
      </c>
      <c r="L253" s="5" t="inlineStr">
        <is>
          <t>Loss</t>
        </is>
      </c>
      <c r="M253" s="6">
        <f>M252+J253</f>
        <v/>
      </c>
    </row>
    <row r="254">
      <c r="A254" s="5" t="inlineStr">
        <is>
          <t>2021-11-01</t>
        </is>
      </c>
      <c r="B254" s="5" t="inlineStr">
        <is>
          <t>Monday</t>
        </is>
      </c>
      <c r="C254" s="5" t="inlineStr">
        <is>
          <t>MNQZ1</t>
        </is>
      </c>
      <c r="D254" s="6" t="n">
        <v>15868.5</v>
      </c>
      <c r="E254" s="6" t="n">
        <v>15804.75</v>
      </c>
      <c r="F254" s="6">
        <f>D254-E254</f>
        <v/>
      </c>
      <c r="G254" s="5" t="inlineStr">
        <is>
          <t>Short</t>
        </is>
      </c>
      <c r="H254" s="6" t="n">
        <v>15804.75</v>
      </c>
      <c r="I254" s="6" t="n">
        <v>15868.5</v>
      </c>
      <c r="J254" s="6">
        <f>IF(G254="Long",I254-H254,IF(G254="Short",H254-I254,0))</f>
        <v/>
      </c>
      <c r="K254" s="7" t="n">
        <v>100</v>
      </c>
      <c r="L254" s="5" t="inlineStr">
        <is>
          <t>Loss</t>
        </is>
      </c>
      <c r="M254" s="6">
        <f>M253+J254</f>
        <v/>
      </c>
    </row>
    <row r="255">
      <c r="A255" s="8" t="inlineStr">
        <is>
          <t>2021-11-02</t>
        </is>
      </c>
      <c r="B255" s="8" t="inlineStr">
        <is>
          <t>Tuesday</t>
        </is>
      </c>
      <c r="C255" s="8" t="inlineStr">
        <is>
          <t>MNQZ1</t>
        </is>
      </c>
      <c r="D255" s="9" t="n">
        <v>15950</v>
      </c>
      <c r="E255" s="9" t="n">
        <v>15864.25</v>
      </c>
      <c r="F255" s="9">
        <f>D255-E255</f>
        <v/>
      </c>
      <c r="G255" s="8" t="inlineStr">
        <is>
          <t>Long</t>
        </is>
      </c>
      <c r="H255" s="9" t="n">
        <v>15950</v>
      </c>
      <c r="I255" s="9" t="n">
        <v>15962</v>
      </c>
      <c r="J255" s="9">
        <f>IF(G255="Long",I255-H255,IF(G255="Short",H255-I255,0))</f>
        <v/>
      </c>
      <c r="K255" s="10" t="n">
        <v>65.01000000000001</v>
      </c>
      <c r="L255" s="8" t="inlineStr">
        <is>
          <t>EOD-Close</t>
        </is>
      </c>
      <c r="M255" s="9">
        <f>M254+J255</f>
        <v/>
      </c>
    </row>
    <row r="256">
      <c r="A256" s="5" t="inlineStr">
        <is>
          <t>2021-11-03</t>
        </is>
      </c>
      <c r="B256" s="5" t="inlineStr">
        <is>
          <t>Wednesday</t>
        </is>
      </c>
      <c r="C256" s="5" t="inlineStr">
        <is>
          <t>MNQZ1</t>
        </is>
      </c>
      <c r="D256" s="6" t="n">
        <v>15997.5</v>
      </c>
      <c r="E256" s="6" t="n">
        <v>15943.25</v>
      </c>
      <c r="F256" s="6">
        <f>D256-E256</f>
        <v/>
      </c>
      <c r="G256" s="5" t="inlineStr">
        <is>
          <t>Short</t>
        </is>
      </c>
      <c r="H256" s="6" t="n">
        <v>15943.25</v>
      </c>
      <c r="I256" s="6" t="n">
        <v>15997.5</v>
      </c>
      <c r="J256" s="6">
        <f>IF(G256="Long",I256-H256,IF(G256="Short",H256-I256,0))</f>
        <v/>
      </c>
      <c r="K256" s="7" t="n">
        <v>100</v>
      </c>
      <c r="L256" s="5" t="inlineStr">
        <is>
          <t>Loss</t>
        </is>
      </c>
      <c r="M256" s="6">
        <f>M255+J256</f>
        <v/>
      </c>
    </row>
    <row r="257">
      <c r="A257" s="2" t="inlineStr">
        <is>
          <t>2021-11-03</t>
        </is>
      </c>
      <c r="B257" s="2" t="inlineStr">
        <is>
          <t>Wednesday</t>
        </is>
      </c>
      <c r="C257" s="2" t="inlineStr">
        <is>
          <t>MNQZ1</t>
        </is>
      </c>
      <c r="D257" s="3" t="n">
        <v>15997.5</v>
      </c>
      <c r="E257" s="3" t="n">
        <v>15943.25</v>
      </c>
      <c r="F257" s="3">
        <f>D257-E257</f>
        <v/>
      </c>
      <c r="G257" s="2" t="inlineStr">
        <is>
          <t>Long</t>
        </is>
      </c>
      <c r="H257" s="3" t="n">
        <v>15997.5</v>
      </c>
      <c r="I257" s="3" t="n">
        <v>16051.75</v>
      </c>
      <c r="J257" s="3">
        <f>IF(G257="Long",I257-H257,IF(G257="Short",H257-I257,0))</f>
        <v/>
      </c>
      <c r="K257" s="4" t="n">
        <v>47.47</v>
      </c>
      <c r="L257" s="2" t="inlineStr">
        <is>
          <t>Win</t>
        </is>
      </c>
      <c r="M257" s="3">
        <f>M256+J257</f>
        <v/>
      </c>
    </row>
    <row r="258">
      <c r="A258" s="2" t="inlineStr">
        <is>
          <t>2021-11-04</t>
        </is>
      </c>
      <c r="B258" s="2" t="inlineStr">
        <is>
          <t>Thursday</t>
        </is>
      </c>
      <c r="C258" s="2" t="inlineStr">
        <is>
          <t>MNQZ1</t>
        </is>
      </c>
      <c r="D258" s="3" t="n">
        <v>16205.5</v>
      </c>
      <c r="E258" s="3" t="n">
        <v>16157</v>
      </c>
      <c r="F258" s="3">
        <f>D258-E258</f>
        <v/>
      </c>
      <c r="G258" s="2" t="inlineStr">
        <is>
          <t>Long</t>
        </is>
      </c>
      <c r="H258" s="3" t="n">
        <v>16205.5</v>
      </c>
      <c r="I258" s="3" t="n">
        <v>16254</v>
      </c>
      <c r="J258" s="3">
        <f>IF(G258="Long",I258-H258,IF(G258="Short",H258-I258,0))</f>
        <v/>
      </c>
      <c r="K258" s="4" t="n">
        <v>0</v>
      </c>
      <c r="L258" s="2" t="inlineStr">
        <is>
          <t>Win</t>
        </is>
      </c>
      <c r="M258" s="3">
        <f>M257+J258</f>
        <v/>
      </c>
    </row>
    <row r="259">
      <c r="A259" s="2" t="inlineStr">
        <is>
          <t>2021-11-05</t>
        </is>
      </c>
      <c r="B259" s="2" t="inlineStr">
        <is>
          <t>Friday</t>
        </is>
      </c>
      <c r="C259" s="2" t="inlineStr">
        <is>
          <t>MNQZ1</t>
        </is>
      </c>
      <c r="D259" s="3" t="n">
        <v>16448.5</v>
      </c>
      <c r="E259" s="3" t="n">
        <v>16390.25</v>
      </c>
      <c r="F259" s="3">
        <f>D259-E259</f>
        <v/>
      </c>
      <c r="G259" s="2" t="inlineStr">
        <is>
          <t>Short</t>
        </is>
      </c>
      <c r="H259" s="3" t="n">
        <v>16390.25</v>
      </c>
      <c r="I259" s="3" t="n">
        <v>16332</v>
      </c>
      <c r="J259" s="3">
        <f>IF(G259="Long",I259-H259,IF(G259="Short",H259-I259,0))</f>
        <v/>
      </c>
      <c r="K259" s="4" t="n">
        <v>99.14</v>
      </c>
      <c r="L259" s="2" t="inlineStr">
        <is>
          <t>Win</t>
        </is>
      </c>
      <c r="M259" s="3">
        <f>M258+J259</f>
        <v/>
      </c>
    </row>
    <row r="260">
      <c r="A260" s="8" t="inlineStr">
        <is>
          <t>2021-11-08</t>
        </is>
      </c>
      <c r="B260" s="8" t="inlineStr">
        <is>
          <t>Monday</t>
        </is>
      </c>
      <c r="C260" s="8" t="inlineStr">
        <is>
          <t>MNQZ1</t>
        </is>
      </c>
      <c r="D260" s="9" t="n">
        <v>16394.25</v>
      </c>
      <c r="E260" s="9" t="n">
        <v>16332.25</v>
      </c>
      <c r="F260" s="9">
        <f>D260-E260</f>
        <v/>
      </c>
      <c r="G260" s="8" t="inlineStr">
        <is>
          <t>Short</t>
        </is>
      </c>
      <c r="H260" s="9" t="n">
        <v>16332.25</v>
      </c>
      <c r="I260" s="9" t="n">
        <v>16329.25</v>
      </c>
      <c r="J260" s="9">
        <f>IF(G260="Long",I260-H260,IF(G260="Short",H260-I260,0))</f>
        <v/>
      </c>
      <c r="K260" s="10" t="n">
        <v>81.45</v>
      </c>
      <c r="L260" s="8" t="inlineStr">
        <is>
          <t>EOD-Close</t>
        </is>
      </c>
      <c r="M260" s="9">
        <f>M259+J260</f>
        <v/>
      </c>
    </row>
    <row r="261">
      <c r="A261" s="2" t="inlineStr">
        <is>
          <t>2021-11-09</t>
        </is>
      </c>
      <c r="B261" s="2" t="inlineStr">
        <is>
          <t>Tuesday</t>
        </is>
      </c>
      <c r="C261" s="2" t="inlineStr">
        <is>
          <t>MNQZ1</t>
        </is>
      </c>
      <c r="D261" s="3" t="n">
        <v>16391.75</v>
      </c>
      <c r="E261" s="3" t="n">
        <v>16354</v>
      </c>
      <c r="F261" s="3">
        <f>D261-E261</f>
        <v/>
      </c>
      <c r="G261" s="2" t="inlineStr">
        <is>
          <t>Short</t>
        </is>
      </c>
      <c r="H261" s="3" t="n">
        <v>16354</v>
      </c>
      <c r="I261" s="3" t="n">
        <v>16316.25</v>
      </c>
      <c r="J261" s="3">
        <f>IF(G261="Long",I261-H261,IF(G261="Short",H261-I261,0))</f>
        <v/>
      </c>
      <c r="K261" s="4" t="n">
        <v>0</v>
      </c>
      <c r="L261" s="2" t="inlineStr">
        <is>
          <t>Win</t>
        </is>
      </c>
      <c r="M261" s="3">
        <f>M260+J261</f>
        <v/>
      </c>
    </row>
    <row r="262">
      <c r="A262" s="2" t="inlineStr">
        <is>
          <t>2021-11-10</t>
        </is>
      </c>
      <c r="B262" s="2" t="inlineStr">
        <is>
          <t>Wednesday</t>
        </is>
      </c>
      <c r="C262" s="2" t="inlineStr">
        <is>
          <t>MNQZ1</t>
        </is>
      </c>
      <c r="D262" s="3" t="n">
        <v>16126</v>
      </c>
      <c r="E262" s="3" t="n">
        <v>16041.5</v>
      </c>
      <c r="F262" s="3">
        <f>D262-E262</f>
        <v/>
      </c>
      <c r="G262" s="2" t="inlineStr">
        <is>
          <t>Long</t>
        </is>
      </c>
      <c r="H262" s="3" t="n">
        <v>16126</v>
      </c>
      <c r="I262" s="3" t="n">
        <v>16210.5</v>
      </c>
      <c r="J262" s="3">
        <f>IF(G262="Long",I262-H262,IF(G262="Short",H262-I262,0))</f>
        <v/>
      </c>
      <c r="K262" s="4" t="n">
        <v>15.38</v>
      </c>
      <c r="L262" s="2" t="inlineStr">
        <is>
          <t>Win</t>
        </is>
      </c>
      <c r="M262" s="3">
        <f>M261+J262</f>
        <v/>
      </c>
    </row>
    <row r="263">
      <c r="A263" s="5" t="inlineStr">
        <is>
          <t>2021-11-10</t>
        </is>
      </c>
      <c r="B263" s="5" t="inlineStr">
        <is>
          <t>Wednesday</t>
        </is>
      </c>
      <c r="C263" s="5" t="inlineStr">
        <is>
          <t>MNQZ1</t>
        </is>
      </c>
      <c r="D263" s="6" t="n">
        <v>16126</v>
      </c>
      <c r="E263" s="6" t="n">
        <v>16041.5</v>
      </c>
      <c r="F263" s="6">
        <f>D263-E263</f>
        <v/>
      </c>
      <c r="G263" s="5" t="inlineStr">
        <is>
          <t>Long</t>
        </is>
      </c>
      <c r="H263" s="6" t="n">
        <v>16126</v>
      </c>
      <c r="I263" s="6" t="n">
        <v>16041.5</v>
      </c>
      <c r="J263" s="6">
        <f>IF(G263="Long",I263-H263,IF(G263="Short",H263-I263,0))</f>
        <v/>
      </c>
      <c r="K263" s="7" t="n">
        <v>100</v>
      </c>
      <c r="L263" s="5" t="inlineStr">
        <is>
          <t>Loss</t>
        </is>
      </c>
      <c r="M263" s="6">
        <f>M262+J263</f>
        <v/>
      </c>
    </row>
    <row r="264">
      <c r="A264" s="8" t="inlineStr">
        <is>
          <t>2021-11-11</t>
        </is>
      </c>
      <c r="B264" s="8" t="inlineStr">
        <is>
          <t>Thursday</t>
        </is>
      </c>
      <c r="C264" s="8" t="inlineStr">
        <is>
          <t>MNQZ1</t>
        </is>
      </c>
      <c r="D264" s="9" t="n">
        <v>16110.5</v>
      </c>
      <c r="E264" s="9" t="n">
        <v>16053.5</v>
      </c>
      <c r="F264" s="9">
        <f>D264-E264</f>
        <v/>
      </c>
      <c r="G264" s="8" t="inlineStr">
        <is>
          <t>Short</t>
        </is>
      </c>
      <c r="H264" s="9" t="n">
        <v>16053.5</v>
      </c>
      <c r="I264" s="9" t="n">
        <v>16022.75</v>
      </c>
      <c r="J264" s="9">
        <f>IF(G264="Long",I264-H264,IF(G264="Short",H264-I264,0))</f>
        <v/>
      </c>
      <c r="K264" s="10" t="n">
        <v>76.31999999999999</v>
      </c>
      <c r="L264" s="8" t="inlineStr">
        <is>
          <t>EOD-Close</t>
        </is>
      </c>
      <c r="M264" s="9">
        <f>M263+J264</f>
        <v/>
      </c>
    </row>
    <row r="265">
      <c r="A265" s="2" t="inlineStr">
        <is>
          <t>2021-11-12</t>
        </is>
      </c>
      <c r="B265" s="2" t="inlineStr">
        <is>
          <t>Friday</t>
        </is>
      </c>
      <c r="C265" s="2" t="inlineStr">
        <is>
          <t>MNQZ1</t>
        </is>
      </c>
      <c r="D265" s="3" t="n">
        <v>16078</v>
      </c>
      <c r="E265" s="3" t="n">
        <v>16007</v>
      </c>
      <c r="F265" s="3">
        <f>D265-E265</f>
        <v/>
      </c>
      <c r="G265" s="2" t="inlineStr">
        <is>
          <t>Long</t>
        </is>
      </c>
      <c r="H265" s="3" t="n">
        <v>16078</v>
      </c>
      <c r="I265" s="3" t="n">
        <v>16149</v>
      </c>
      <c r="J265" s="3">
        <f>IF(G265="Long",I265-H265,IF(G265="Short",H265-I265,0))</f>
        <v/>
      </c>
      <c r="K265" s="4" t="n">
        <v>0</v>
      </c>
      <c r="L265" s="2" t="inlineStr">
        <is>
          <t>Win</t>
        </is>
      </c>
      <c r="M265" s="3">
        <f>M264+J265</f>
        <v/>
      </c>
    </row>
    <row r="266">
      <c r="A266" s="2" t="inlineStr">
        <is>
          <t>2021-11-15</t>
        </is>
      </c>
      <c r="B266" s="2" t="inlineStr">
        <is>
          <t>Monday</t>
        </is>
      </c>
      <c r="C266" s="2" t="inlineStr">
        <is>
          <t>MNQZ1</t>
        </is>
      </c>
      <c r="D266" s="3" t="n">
        <v>16253.75</v>
      </c>
      <c r="E266" s="3" t="n">
        <v>16211.25</v>
      </c>
      <c r="F266" s="3">
        <f>D266-E266</f>
        <v/>
      </c>
      <c r="G266" s="2" t="inlineStr">
        <is>
          <t>Short</t>
        </is>
      </c>
      <c r="H266" s="3" t="n">
        <v>16211.25</v>
      </c>
      <c r="I266" s="3" t="n">
        <v>16168.75</v>
      </c>
      <c r="J266" s="3">
        <f>IF(G266="Long",I266-H266,IF(G266="Short",H266-I266,0))</f>
        <v/>
      </c>
      <c r="K266" s="4" t="n">
        <v>0</v>
      </c>
      <c r="L266" s="2" t="inlineStr">
        <is>
          <t>Win</t>
        </is>
      </c>
      <c r="M266" s="3">
        <f>M265+J266</f>
        <v/>
      </c>
    </row>
    <row r="267">
      <c r="A267" s="8" t="inlineStr">
        <is>
          <t>2021-11-16</t>
        </is>
      </c>
      <c r="B267" s="8" t="inlineStr">
        <is>
          <t>Tuesday</t>
        </is>
      </c>
      <c r="C267" s="8" t="inlineStr">
        <is>
          <t>MNQZ1</t>
        </is>
      </c>
      <c r="D267" s="9" t="n">
        <v>16252</v>
      </c>
      <c r="E267" s="9" t="n">
        <v>16149</v>
      </c>
      <c r="F267" s="9">
        <f>D267-E267</f>
        <v/>
      </c>
      <c r="G267" s="8" t="inlineStr">
        <is>
          <t>Long</t>
        </is>
      </c>
      <c r="H267" s="9" t="n">
        <v>16252</v>
      </c>
      <c r="I267" s="9" t="n">
        <v>16304.75</v>
      </c>
      <c r="J267" s="9">
        <f>IF(G267="Long",I267-H267,IF(G267="Short",H267-I267,0))</f>
        <v/>
      </c>
      <c r="K267" s="10" t="n">
        <v>6.31</v>
      </c>
      <c r="L267" s="8" t="inlineStr">
        <is>
          <t>EOD-Close</t>
        </is>
      </c>
      <c r="M267" s="9">
        <f>M266+J267</f>
        <v/>
      </c>
    </row>
    <row r="268">
      <c r="A268" s="5" t="inlineStr">
        <is>
          <t>2021-11-17</t>
        </is>
      </c>
      <c r="B268" s="5" t="inlineStr">
        <is>
          <t>Wednesday</t>
        </is>
      </c>
      <c r="C268" s="5" t="inlineStr">
        <is>
          <t>MNQZ1</t>
        </is>
      </c>
      <c r="D268" s="6" t="n">
        <v>16322.5</v>
      </c>
      <c r="E268" s="6" t="n">
        <v>16292.5</v>
      </c>
      <c r="F268" s="6">
        <f>D268-E268</f>
        <v/>
      </c>
      <c r="G268" s="5" t="inlineStr">
        <is>
          <t>Short</t>
        </is>
      </c>
      <c r="H268" s="6" t="n">
        <v>16292.5</v>
      </c>
      <c r="I268" s="6" t="n">
        <v>16322.5</v>
      </c>
      <c r="J268" s="6">
        <f>IF(G268="Long",I268-H268,IF(G268="Short",H268-I268,0))</f>
        <v/>
      </c>
      <c r="K268" s="7" t="n">
        <v>100</v>
      </c>
      <c r="L268" s="5" t="inlineStr">
        <is>
          <t>Loss</t>
        </is>
      </c>
      <c r="M268" s="6">
        <f>M267+J268</f>
        <v/>
      </c>
    </row>
    <row r="269">
      <c r="A269" s="2" t="inlineStr">
        <is>
          <t>2021-11-17</t>
        </is>
      </c>
      <c r="B269" s="2" t="inlineStr">
        <is>
          <t>Wednesday</t>
        </is>
      </c>
      <c r="C269" s="2" t="inlineStr">
        <is>
          <t>MNQZ1</t>
        </is>
      </c>
      <c r="D269" s="3" t="n">
        <v>16322.5</v>
      </c>
      <c r="E269" s="3" t="n">
        <v>16292.5</v>
      </c>
      <c r="F269" s="3">
        <f>D269-E269</f>
        <v/>
      </c>
      <c r="G269" s="2" t="inlineStr">
        <is>
          <t>Long</t>
        </is>
      </c>
      <c r="H269" s="3" t="n">
        <v>16322.5</v>
      </c>
      <c r="I269" s="3" t="n">
        <v>16352.5</v>
      </c>
      <c r="J269" s="3">
        <f>IF(G269="Long",I269-H269,IF(G269="Short",H269-I269,0))</f>
        <v/>
      </c>
      <c r="K269" s="4" t="n">
        <v>0</v>
      </c>
      <c r="L269" s="2" t="inlineStr">
        <is>
          <t>Win</t>
        </is>
      </c>
      <c r="M269" s="3">
        <f>M268+J269</f>
        <v/>
      </c>
    </row>
    <row r="270">
      <c r="A270" s="5" t="inlineStr">
        <is>
          <t>2021-11-18</t>
        </is>
      </c>
      <c r="B270" s="5" t="inlineStr">
        <is>
          <t>Thursday</t>
        </is>
      </c>
      <c r="C270" s="5" t="inlineStr">
        <is>
          <t>MNQZ1</t>
        </is>
      </c>
      <c r="D270" s="6" t="n">
        <v>16402.5</v>
      </c>
      <c r="E270" s="6" t="n">
        <v>16353.5</v>
      </c>
      <c r="F270" s="6">
        <f>D270-E270</f>
        <v/>
      </c>
      <c r="G270" s="5" t="inlineStr">
        <is>
          <t>Long</t>
        </is>
      </c>
      <c r="H270" s="6" t="n">
        <v>16402.5</v>
      </c>
      <c r="I270" s="6" t="n">
        <v>16353.5</v>
      </c>
      <c r="J270" s="6">
        <f>IF(G270="Long",I270-H270,IF(G270="Short",H270-I270,0))</f>
        <v/>
      </c>
      <c r="K270" s="7" t="n">
        <v>100</v>
      </c>
      <c r="L270" s="5" t="inlineStr">
        <is>
          <t>Loss</t>
        </is>
      </c>
      <c r="M270" s="6">
        <f>M269+J270</f>
        <v/>
      </c>
    </row>
    <row r="271">
      <c r="A271" s="2" t="inlineStr">
        <is>
          <t>2021-11-18</t>
        </is>
      </c>
      <c r="B271" s="2" t="inlineStr">
        <is>
          <t>Thursday</t>
        </is>
      </c>
      <c r="C271" s="2" t="inlineStr">
        <is>
          <t>MNQZ1</t>
        </is>
      </c>
      <c r="D271" s="3" t="n">
        <v>16402.5</v>
      </c>
      <c r="E271" s="3" t="n">
        <v>16353.5</v>
      </c>
      <c r="F271" s="3">
        <f>D271-E271</f>
        <v/>
      </c>
      <c r="G271" s="2" t="inlineStr">
        <is>
          <t>Short</t>
        </is>
      </c>
      <c r="H271" s="3" t="n">
        <v>16353.5</v>
      </c>
      <c r="I271" s="3" t="n">
        <v>16304.5</v>
      </c>
      <c r="J271" s="3">
        <f>IF(G271="Long",I271-H271,IF(G271="Short",H271-I271,0))</f>
        <v/>
      </c>
      <c r="K271" s="4" t="n">
        <v>0</v>
      </c>
      <c r="L271" s="2" t="inlineStr">
        <is>
          <t>Win</t>
        </is>
      </c>
      <c r="M271" s="3">
        <f>M270+J271</f>
        <v/>
      </c>
    </row>
    <row r="272">
      <c r="A272" s="2" t="inlineStr">
        <is>
          <t>2021-11-19</t>
        </is>
      </c>
      <c r="B272" s="2" t="inlineStr">
        <is>
          <t>Friday</t>
        </is>
      </c>
      <c r="C272" s="2" t="inlineStr">
        <is>
          <t>MNQZ1</t>
        </is>
      </c>
      <c r="D272" s="3" t="n">
        <v>16564</v>
      </c>
      <c r="E272" s="3" t="n">
        <v>16516.25</v>
      </c>
      <c r="F272" s="3">
        <f>D272-E272</f>
        <v/>
      </c>
      <c r="G272" s="2" t="inlineStr">
        <is>
          <t>Long</t>
        </is>
      </c>
      <c r="H272" s="3" t="n">
        <v>16564</v>
      </c>
      <c r="I272" s="3" t="n">
        <v>16611.75</v>
      </c>
      <c r="J272" s="3">
        <f>IF(G272="Long",I272-H272,IF(G272="Short",H272-I272,0))</f>
        <v/>
      </c>
      <c r="K272" s="4" t="n">
        <v>0</v>
      </c>
      <c r="L272" s="2" t="inlineStr">
        <is>
          <t>Win</t>
        </is>
      </c>
      <c r="M272" s="3">
        <f>M271+J272</f>
        <v/>
      </c>
    </row>
    <row r="273">
      <c r="A273" s="2" t="inlineStr">
        <is>
          <t>2021-11-19</t>
        </is>
      </c>
      <c r="B273" s="2" t="inlineStr">
        <is>
          <t>Friday</t>
        </is>
      </c>
      <c r="C273" s="2" t="inlineStr">
        <is>
          <t>MNQZ1</t>
        </is>
      </c>
      <c r="D273" s="3" t="n">
        <v>16564</v>
      </c>
      <c r="E273" s="3" t="n">
        <v>16516.25</v>
      </c>
      <c r="F273" s="3">
        <f>D273-E273</f>
        <v/>
      </c>
      <c r="G273" s="2" t="inlineStr">
        <is>
          <t>Long</t>
        </is>
      </c>
      <c r="H273" s="3" t="n">
        <v>16564</v>
      </c>
      <c r="I273" s="3" t="n">
        <v>16611.75</v>
      </c>
      <c r="J273" s="3">
        <f>IF(G273="Long",I273-H273,IF(G273="Short",H273-I273,0))</f>
        <v/>
      </c>
      <c r="K273" s="4" t="n">
        <v>36.13</v>
      </c>
      <c r="L273" s="2" t="inlineStr">
        <is>
          <t>Win</t>
        </is>
      </c>
      <c r="M273" s="3">
        <f>M272+J273</f>
        <v/>
      </c>
    </row>
    <row r="274">
      <c r="A274" s="5" t="inlineStr">
        <is>
          <t>2021-11-22</t>
        </is>
      </c>
      <c r="B274" s="5" t="inlineStr">
        <is>
          <t>Monday</t>
        </is>
      </c>
      <c r="C274" s="5" t="inlineStr">
        <is>
          <t>MNQZ1</t>
        </is>
      </c>
      <c r="D274" s="6" t="n">
        <v>16711.5</v>
      </c>
      <c r="E274" s="6" t="n">
        <v>16638.25</v>
      </c>
      <c r="F274" s="6">
        <f>D274-E274</f>
        <v/>
      </c>
      <c r="G274" s="5" t="inlineStr">
        <is>
          <t>Long</t>
        </is>
      </c>
      <c r="H274" s="6" t="n">
        <v>16711.5</v>
      </c>
      <c r="I274" s="6" t="n">
        <v>16638.25</v>
      </c>
      <c r="J274" s="6">
        <f>IF(G274="Long",I274-H274,IF(G274="Short",H274-I274,0))</f>
        <v/>
      </c>
      <c r="K274" s="7" t="n">
        <v>100</v>
      </c>
      <c r="L274" s="5" t="inlineStr">
        <is>
          <t>Loss</t>
        </is>
      </c>
      <c r="M274" s="6">
        <f>M273+J274</f>
        <v/>
      </c>
    </row>
    <row r="275">
      <c r="A275" s="2" t="inlineStr">
        <is>
          <t>2021-11-22</t>
        </is>
      </c>
      <c r="B275" s="2" t="inlineStr">
        <is>
          <t>Monday</t>
        </is>
      </c>
      <c r="C275" s="2" t="inlineStr">
        <is>
          <t>MNQZ1</t>
        </is>
      </c>
      <c r="D275" s="3" t="n">
        <v>16711.5</v>
      </c>
      <c r="E275" s="3" t="n">
        <v>16638.25</v>
      </c>
      <c r="F275" s="3">
        <f>D275-E275</f>
        <v/>
      </c>
      <c r="G275" s="2" t="inlineStr">
        <is>
          <t>Short</t>
        </is>
      </c>
      <c r="H275" s="3" t="n">
        <v>16638.25</v>
      </c>
      <c r="I275" s="3" t="n">
        <v>16565</v>
      </c>
      <c r="J275" s="3">
        <f>IF(G275="Long",I275-H275,IF(G275="Short",H275-I275,0))</f>
        <v/>
      </c>
      <c r="K275" s="4" t="n">
        <v>0</v>
      </c>
      <c r="L275" s="2" t="inlineStr">
        <is>
          <t>Win</t>
        </is>
      </c>
      <c r="M275" s="3">
        <f>M274+J275</f>
        <v/>
      </c>
    </row>
    <row r="276">
      <c r="A276" s="5" t="inlineStr">
        <is>
          <t>2021-11-23</t>
        </is>
      </c>
      <c r="B276" s="5" t="inlineStr">
        <is>
          <t>Tuesday</t>
        </is>
      </c>
      <c r="C276" s="5" t="inlineStr">
        <is>
          <t>MNQZ1</t>
        </is>
      </c>
      <c r="D276" s="6" t="n">
        <v>16378</v>
      </c>
      <c r="E276" s="6" t="n">
        <v>16282.75</v>
      </c>
      <c r="F276" s="6">
        <f>D276-E276</f>
        <v/>
      </c>
      <c r="G276" s="5" t="inlineStr">
        <is>
          <t>Long</t>
        </is>
      </c>
      <c r="H276" s="6" t="n">
        <v>16378</v>
      </c>
      <c r="I276" s="6" t="n">
        <v>16282.75</v>
      </c>
      <c r="J276" s="6">
        <f>IF(G276="Long",I276-H276,IF(G276="Short",H276-I276,0))</f>
        <v/>
      </c>
      <c r="K276" s="7" t="n">
        <v>100</v>
      </c>
      <c r="L276" s="5" t="inlineStr">
        <is>
          <t>Loss</t>
        </is>
      </c>
      <c r="M276" s="6">
        <f>M275+J276</f>
        <v/>
      </c>
    </row>
    <row r="277">
      <c r="A277" s="2" t="inlineStr">
        <is>
          <t>2021-11-23</t>
        </is>
      </c>
      <c r="B277" s="2" t="inlineStr">
        <is>
          <t>Tuesday</t>
        </is>
      </c>
      <c r="C277" s="2" t="inlineStr">
        <is>
          <t>MNQZ1</t>
        </is>
      </c>
      <c r="D277" s="3" t="n">
        <v>16378</v>
      </c>
      <c r="E277" s="3" t="n">
        <v>16282.75</v>
      </c>
      <c r="F277" s="3">
        <f>D277-E277</f>
        <v/>
      </c>
      <c r="G277" s="2" t="inlineStr">
        <is>
          <t>Short</t>
        </is>
      </c>
      <c r="H277" s="3" t="n">
        <v>16282.75</v>
      </c>
      <c r="I277" s="3" t="n">
        <v>16187.5</v>
      </c>
      <c r="J277" s="3">
        <f>IF(G277="Long",I277-H277,IF(G277="Short",H277-I277,0))</f>
        <v/>
      </c>
      <c r="K277" s="4" t="n">
        <v>0</v>
      </c>
      <c r="L277" s="2" t="inlineStr">
        <is>
          <t>Win</t>
        </is>
      </c>
      <c r="M277" s="3">
        <f>M276+J277</f>
        <v/>
      </c>
    </row>
    <row r="278">
      <c r="A278" s="2" t="inlineStr">
        <is>
          <t>2021-11-24</t>
        </is>
      </c>
      <c r="B278" s="2" t="inlineStr">
        <is>
          <t>Wednesday</t>
        </is>
      </c>
      <c r="C278" s="2" t="inlineStr">
        <is>
          <t>MNQZ1</t>
        </is>
      </c>
      <c r="D278" s="3" t="n">
        <v>16208</v>
      </c>
      <c r="E278" s="3" t="n">
        <v>16114</v>
      </c>
      <c r="F278" s="3">
        <f>D278-E278</f>
        <v/>
      </c>
      <c r="G278" s="2" t="inlineStr">
        <is>
          <t>Long</t>
        </is>
      </c>
      <c r="H278" s="3" t="n">
        <v>16208</v>
      </c>
      <c r="I278" s="3" t="n">
        <v>16302</v>
      </c>
      <c r="J278" s="3">
        <f>IF(G278="Long",I278-H278,IF(G278="Short",H278-I278,0))</f>
        <v/>
      </c>
      <c r="K278" s="4" t="n">
        <v>54.26</v>
      </c>
      <c r="L278" s="2" t="inlineStr">
        <is>
          <t>Win</t>
        </is>
      </c>
      <c r="M278" s="3">
        <f>M277+J278</f>
        <v/>
      </c>
    </row>
    <row r="279">
      <c r="A279" s="8" t="inlineStr">
        <is>
          <t>2021-11-25</t>
        </is>
      </c>
      <c r="B279" s="8" t="inlineStr">
        <is>
          <t>Thursday</t>
        </is>
      </c>
      <c r="C279" s="8" t="inlineStr">
        <is>
          <t>MNQZ1</t>
        </is>
      </c>
      <c r="D279" s="9" t="n">
        <v>16399.75</v>
      </c>
      <c r="E279" s="9" t="n">
        <v>16379.25</v>
      </c>
      <c r="F279" s="9">
        <f>D279-E279</f>
        <v/>
      </c>
      <c r="G279" s="8" t="inlineStr">
        <is>
          <t>Long</t>
        </is>
      </c>
      <c r="H279" s="9" t="n">
        <v>16399.75</v>
      </c>
      <c r="I279" s="9" t="n">
        <v>16405.25</v>
      </c>
      <c r="J279" s="9">
        <f>IF(G279="Long",I279-H279,IF(G279="Short",H279-I279,0))</f>
        <v/>
      </c>
      <c r="K279" s="10" t="n">
        <v>32.93</v>
      </c>
      <c r="L279" s="8" t="inlineStr">
        <is>
          <t>EOD-Close</t>
        </is>
      </c>
      <c r="M279" s="9">
        <f>M278+J279</f>
        <v/>
      </c>
    </row>
    <row r="280">
      <c r="A280" s="2" t="inlineStr">
        <is>
          <t>2021-11-26</t>
        </is>
      </c>
      <c r="B280" s="2" t="inlineStr">
        <is>
          <t>Friday</t>
        </is>
      </c>
      <c r="C280" s="2" t="inlineStr">
        <is>
          <t>MNQZ1</t>
        </is>
      </c>
      <c r="D280" s="3" t="n">
        <v>16307.5</v>
      </c>
      <c r="E280" s="3" t="n">
        <v>16202.5</v>
      </c>
      <c r="F280" s="3">
        <f>D280-E280</f>
        <v/>
      </c>
      <c r="G280" s="2" t="inlineStr">
        <is>
          <t>Short</t>
        </is>
      </c>
      <c r="H280" s="3" t="n">
        <v>16202.5</v>
      </c>
      <c r="I280" s="3" t="n">
        <v>16097.5</v>
      </c>
      <c r="J280" s="3">
        <f>IF(G280="Long",I280-H280,IF(G280="Short",H280-I280,0))</f>
        <v/>
      </c>
      <c r="K280" s="4" t="n">
        <v>43.1</v>
      </c>
      <c r="L280" s="2" t="inlineStr">
        <is>
          <t>Win</t>
        </is>
      </c>
      <c r="M280" s="3">
        <f>M279+J280</f>
        <v/>
      </c>
    </row>
    <row r="281">
      <c r="A281" s="2" t="inlineStr">
        <is>
          <t>2021-11-29</t>
        </is>
      </c>
      <c r="B281" s="2" t="inlineStr">
        <is>
          <t>Monday</t>
        </is>
      </c>
      <c r="C281" s="2" t="inlineStr">
        <is>
          <t>MNQZ1</t>
        </is>
      </c>
      <c r="D281" s="3" t="n">
        <v>16281</v>
      </c>
      <c r="E281" s="3" t="n">
        <v>16210</v>
      </c>
      <c r="F281" s="3">
        <f>D281-E281</f>
        <v/>
      </c>
      <c r="G281" s="2" t="inlineStr">
        <is>
          <t>Long</t>
        </is>
      </c>
      <c r="H281" s="3" t="n">
        <v>16281</v>
      </c>
      <c r="I281" s="3" t="n">
        <v>16352</v>
      </c>
      <c r="J281" s="3">
        <f>IF(G281="Long",I281-H281,IF(G281="Short",H281-I281,0))</f>
        <v/>
      </c>
      <c r="K281" s="4" t="n">
        <v>77.45999999999999</v>
      </c>
      <c r="L281" s="2" t="inlineStr">
        <is>
          <t>Win</t>
        </is>
      </c>
      <c r="M281" s="3">
        <f>M280+J281</f>
        <v/>
      </c>
    </row>
    <row r="282">
      <c r="A282" s="2" t="inlineStr">
        <is>
          <t>2021-11-30</t>
        </is>
      </c>
      <c r="B282" s="2" t="inlineStr">
        <is>
          <t>Tuesday</t>
        </is>
      </c>
      <c r="C282" s="2" t="inlineStr">
        <is>
          <t>MNQZ1</t>
        </is>
      </c>
      <c r="D282" s="3" t="n">
        <v>16372.25</v>
      </c>
      <c r="E282" s="3" t="n">
        <v>16318.75</v>
      </c>
      <c r="F282" s="3">
        <f>D282-E282</f>
        <v/>
      </c>
      <c r="G282" s="2" t="inlineStr">
        <is>
          <t>Long</t>
        </is>
      </c>
      <c r="H282" s="3" t="n">
        <v>16372.25</v>
      </c>
      <c r="I282" s="3" t="n">
        <v>16425.75</v>
      </c>
      <c r="J282" s="3">
        <f>IF(G282="Long",I282-H282,IF(G282="Short",H282-I282,0))</f>
        <v/>
      </c>
      <c r="K282" s="4" t="n">
        <v>0</v>
      </c>
      <c r="L282" s="2" t="inlineStr">
        <is>
          <t>Win</t>
        </is>
      </c>
      <c r="M282" s="3">
        <f>M281+J282</f>
        <v/>
      </c>
    </row>
    <row r="283">
      <c r="A283" s="2" t="inlineStr">
        <is>
          <t>2021-11-30</t>
        </is>
      </c>
      <c r="B283" s="2" t="inlineStr">
        <is>
          <t>Tuesday</t>
        </is>
      </c>
      <c r="C283" s="2" t="inlineStr">
        <is>
          <t>MNQZ1</t>
        </is>
      </c>
      <c r="D283" s="3" t="n">
        <v>16372.25</v>
      </c>
      <c r="E283" s="3" t="n">
        <v>16318.75</v>
      </c>
      <c r="F283" s="3">
        <f>D283-E283</f>
        <v/>
      </c>
      <c r="G283" s="2" t="inlineStr">
        <is>
          <t>Long</t>
        </is>
      </c>
      <c r="H283" s="3" t="n">
        <v>16372.25</v>
      </c>
      <c r="I283" s="3" t="n">
        <v>16425.75</v>
      </c>
      <c r="J283" s="3">
        <f>IF(G283="Long",I283-H283,IF(G283="Short",H283-I283,0))</f>
        <v/>
      </c>
      <c r="K283" s="4" t="n">
        <v>89.25</v>
      </c>
      <c r="L283" s="2" t="inlineStr">
        <is>
          <t>Win</t>
        </is>
      </c>
      <c r="M283" s="3">
        <f>M282+J283</f>
        <v/>
      </c>
    </row>
    <row r="284">
      <c r="A284" s="5" t="inlineStr">
        <is>
          <t>2021-12-01</t>
        </is>
      </c>
      <c r="B284" s="5" t="inlineStr">
        <is>
          <t>Wednesday</t>
        </is>
      </c>
      <c r="C284" s="5" t="inlineStr">
        <is>
          <t>MNQZ1</t>
        </is>
      </c>
      <c r="D284" s="6" t="n">
        <v>16354</v>
      </c>
      <c r="E284" s="6" t="n">
        <v>16270.75</v>
      </c>
      <c r="F284" s="6">
        <f>D284-E284</f>
        <v/>
      </c>
      <c r="G284" s="5" t="inlineStr">
        <is>
          <t>Long</t>
        </is>
      </c>
      <c r="H284" s="6" t="n">
        <v>16354</v>
      </c>
      <c r="I284" s="6" t="n">
        <v>16270.75</v>
      </c>
      <c r="J284" s="6">
        <f>IF(G284="Long",I284-H284,IF(G284="Short",H284-I284,0))</f>
        <v/>
      </c>
      <c r="K284" s="7" t="n">
        <v>100</v>
      </c>
      <c r="L284" s="5" t="inlineStr">
        <is>
          <t>Loss</t>
        </is>
      </c>
      <c r="M284" s="6">
        <f>M283+J284</f>
        <v/>
      </c>
    </row>
    <row r="285">
      <c r="A285" s="2" t="inlineStr">
        <is>
          <t>2021-12-01</t>
        </is>
      </c>
      <c r="B285" s="2" t="inlineStr">
        <is>
          <t>Wednesday</t>
        </is>
      </c>
      <c r="C285" s="2" t="inlineStr">
        <is>
          <t>MNQZ1</t>
        </is>
      </c>
      <c r="D285" s="3" t="n">
        <v>16354</v>
      </c>
      <c r="E285" s="3" t="n">
        <v>16270.75</v>
      </c>
      <c r="F285" s="3">
        <f>D285-E285</f>
        <v/>
      </c>
      <c r="G285" s="2" t="inlineStr">
        <is>
          <t>Short</t>
        </is>
      </c>
      <c r="H285" s="3" t="n">
        <v>16270.75</v>
      </c>
      <c r="I285" s="3" t="n">
        <v>16187.5</v>
      </c>
      <c r="J285" s="3">
        <f>IF(G285="Long",I285-H285,IF(G285="Short",H285-I285,0))</f>
        <v/>
      </c>
      <c r="K285" s="4" t="n">
        <v>12.31</v>
      </c>
      <c r="L285" s="2" t="inlineStr">
        <is>
          <t>Win</t>
        </is>
      </c>
      <c r="M285" s="3">
        <f>M284+J285</f>
        <v/>
      </c>
    </row>
    <row r="286">
      <c r="A286" s="5" t="inlineStr">
        <is>
          <t>2021-12-02</t>
        </is>
      </c>
      <c r="B286" s="5" t="inlineStr">
        <is>
          <t>Thursday</t>
        </is>
      </c>
      <c r="C286" s="5" t="inlineStr">
        <is>
          <t>MNQZ1</t>
        </is>
      </c>
      <c r="D286" s="6" t="n">
        <v>15978.5</v>
      </c>
      <c r="E286" s="6" t="n">
        <v>15787</v>
      </c>
      <c r="F286" s="6">
        <f>D286-E286</f>
        <v/>
      </c>
      <c r="G286" s="5" t="inlineStr">
        <is>
          <t>Long</t>
        </is>
      </c>
      <c r="H286" s="6" t="n">
        <v>15978.5</v>
      </c>
      <c r="I286" s="6" t="n">
        <v>15787</v>
      </c>
      <c r="J286" s="6">
        <f>IF(G286="Long",I286-H286,IF(G286="Short",H286-I286,0))</f>
        <v/>
      </c>
      <c r="K286" s="7" t="n">
        <v>100</v>
      </c>
      <c r="L286" s="5" t="inlineStr">
        <is>
          <t>Loss</t>
        </is>
      </c>
      <c r="M286" s="6">
        <f>M285+J286</f>
        <v/>
      </c>
    </row>
    <row r="287">
      <c r="A287" s="5" t="inlineStr">
        <is>
          <t>2021-12-02</t>
        </is>
      </c>
      <c r="B287" s="5" t="inlineStr">
        <is>
          <t>Thursday</t>
        </is>
      </c>
      <c r="C287" s="5" t="inlineStr">
        <is>
          <t>MNQZ1</t>
        </is>
      </c>
      <c r="D287" s="6" t="n">
        <v>15978.5</v>
      </c>
      <c r="E287" s="6" t="n">
        <v>15787</v>
      </c>
      <c r="F287" s="6">
        <f>D287-E287</f>
        <v/>
      </c>
      <c r="G287" s="5" t="inlineStr">
        <is>
          <t>Short</t>
        </is>
      </c>
      <c r="H287" s="6" t="n">
        <v>15787</v>
      </c>
      <c r="I287" s="6" t="n">
        <v>15978.5</v>
      </c>
      <c r="J287" s="6">
        <f>IF(G287="Long",I287-H287,IF(G287="Short",H287-I287,0))</f>
        <v/>
      </c>
      <c r="K287" s="7" t="n">
        <v>100</v>
      </c>
      <c r="L287" s="5" t="inlineStr">
        <is>
          <t>Loss</t>
        </is>
      </c>
      <c r="M287" s="6">
        <f>M286+J287</f>
        <v/>
      </c>
    </row>
    <row r="288">
      <c r="A288" s="2" t="inlineStr">
        <is>
          <t>2021-12-03</t>
        </is>
      </c>
      <c r="B288" s="2" t="inlineStr">
        <is>
          <t>Friday</t>
        </is>
      </c>
      <c r="C288" s="2" t="inlineStr">
        <is>
          <t>MNQZ1</t>
        </is>
      </c>
      <c r="D288" s="3" t="n">
        <v>16090.75</v>
      </c>
      <c r="E288" s="3" t="n">
        <v>15932.25</v>
      </c>
      <c r="F288" s="3">
        <f>D288-E288</f>
        <v/>
      </c>
      <c r="G288" s="2" t="inlineStr">
        <is>
          <t>Short</t>
        </is>
      </c>
      <c r="H288" s="3" t="n">
        <v>15932.25</v>
      </c>
      <c r="I288" s="3" t="n">
        <v>15773.75</v>
      </c>
      <c r="J288" s="3">
        <f>IF(G288="Long",I288-H288,IF(G288="Short",H288-I288,0))</f>
        <v/>
      </c>
      <c r="K288" s="4" t="n">
        <v>7.73</v>
      </c>
      <c r="L288" s="2" t="inlineStr">
        <is>
          <t>Win</t>
        </is>
      </c>
      <c r="M288" s="3">
        <f>M287+J288</f>
        <v/>
      </c>
    </row>
    <row r="289">
      <c r="A289" s="8" t="inlineStr">
        <is>
          <t>2021-12-06</t>
        </is>
      </c>
      <c r="B289" s="8" t="inlineStr">
        <is>
          <t>Monday</t>
        </is>
      </c>
      <c r="C289" s="8" t="inlineStr">
        <is>
          <t>MNQZ1</t>
        </is>
      </c>
      <c r="D289" s="9" t="n">
        <v>15760.75</v>
      </c>
      <c r="E289" s="9" t="n">
        <v>15559.25</v>
      </c>
      <c r="F289" s="9">
        <f>D289-E289</f>
        <v/>
      </c>
      <c r="G289" s="8" t="inlineStr">
        <is>
          <t>Long</t>
        </is>
      </c>
      <c r="H289" s="9" t="n">
        <v>15760.75</v>
      </c>
      <c r="I289" s="9" t="n">
        <v>15843</v>
      </c>
      <c r="J289" s="9">
        <f>IF(G289="Long",I289-H289,IF(G289="Short",H289-I289,0))</f>
        <v/>
      </c>
      <c r="K289" s="10" t="n">
        <v>51.99</v>
      </c>
      <c r="L289" s="8" t="inlineStr">
        <is>
          <t>EOD-Close</t>
        </is>
      </c>
      <c r="M289" s="9">
        <f>M288+J289</f>
        <v/>
      </c>
    </row>
    <row r="290">
      <c r="A290" s="2" t="inlineStr">
        <is>
          <t>2021-12-07</t>
        </is>
      </c>
      <c r="B290" s="2" t="inlineStr">
        <is>
          <t>Tuesday</t>
        </is>
      </c>
      <c r="C290" s="2" t="inlineStr">
        <is>
          <t>MNQZ1</t>
        </is>
      </c>
      <c r="D290" s="3" t="n">
        <v>16179.25</v>
      </c>
      <c r="E290" s="3" t="n">
        <v>16119</v>
      </c>
      <c r="F290" s="3">
        <f>D290-E290</f>
        <v/>
      </c>
      <c r="G290" s="2" t="inlineStr">
        <is>
          <t>Long</t>
        </is>
      </c>
      <c r="H290" s="3" t="n">
        <v>16179.25</v>
      </c>
      <c r="I290" s="3" t="n">
        <v>16239.5</v>
      </c>
      <c r="J290" s="3">
        <f>IF(G290="Long",I290-H290,IF(G290="Short",H290-I290,0))</f>
        <v/>
      </c>
      <c r="K290" s="4" t="n">
        <v>0</v>
      </c>
      <c r="L290" s="2" t="inlineStr">
        <is>
          <t>Win</t>
        </is>
      </c>
      <c r="M290" s="3">
        <f>M289+J290</f>
        <v/>
      </c>
    </row>
    <row r="291">
      <c r="A291" s="8" t="inlineStr">
        <is>
          <t>2021-12-08</t>
        </is>
      </c>
      <c r="B291" s="8" t="inlineStr">
        <is>
          <t>Wednesday</t>
        </is>
      </c>
      <c r="C291" s="8" t="inlineStr">
        <is>
          <t>MNQZ1</t>
        </is>
      </c>
      <c r="D291" s="9" t="n">
        <v>16334</v>
      </c>
      <c r="E291" s="9" t="n">
        <v>16251.5</v>
      </c>
      <c r="F291" s="9">
        <f>D291-E291</f>
        <v/>
      </c>
      <c r="G291" s="8" t="inlineStr">
        <is>
          <t>Long</t>
        </is>
      </c>
      <c r="H291" s="9" t="n">
        <v>16334</v>
      </c>
      <c r="I291" s="9" t="n">
        <v>16388.25</v>
      </c>
      <c r="J291" s="9">
        <f>IF(G291="Long",I291-H291,IF(G291="Short",H291-I291,0))</f>
        <v/>
      </c>
      <c r="K291" s="10" t="n">
        <v>96.36</v>
      </c>
      <c r="L291" s="8" t="inlineStr">
        <is>
          <t>EOD-Close</t>
        </is>
      </c>
      <c r="M291" s="9">
        <f>M290+J291</f>
        <v/>
      </c>
    </row>
    <row r="292">
      <c r="A292" s="2" t="inlineStr">
        <is>
          <t>2021-12-09</t>
        </is>
      </c>
      <c r="B292" s="2" t="inlineStr">
        <is>
          <t>Thursday</t>
        </is>
      </c>
      <c r="C292" s="2" t="inlineStr">
        <is>
          <t>MNQZ1</t>
        </is>
      </c>
      <c r="D292" s="3" t="n">
        <v>16413.5</v>
      </c>
      <c r="E292" s="3" t="n">
        <v>16334.75</v>
      </c>
      <c r="F292" s="3">
        <f>D292-E292</f>
        <v/>
      </c>
      <c r="G292" s="2" t="inlineStr">
        <is>
          <t>Short</t>
        </is>
      </c>
      <c r="H292" s="3" t="n">
        <v>16334.75</v>
      </c>
      <c r="I292" s="3" t="n">
        <v>16256</v>
      </c>
      <c r="J292" s="3">
        <f>IF(G292="Long",I292-H292,IF(G292="Short",H292-I292,0))</f>
        <v/>
      </c>
      <c r="K292" s="4" t="n">
        <v>17.14</v>
      </c>
      <c r="L292" s="2" t="inlineStr">
        <is>
          <t>Win</t>
        </is>
      </c>
      <c r="M292" s="3">
        <f>M291+J292</f>
        <v/>
      </c>
    </row>
    <row r="293">
      <c r="A293" s="2" t="inlineStr">
        <is>
          <t>2021-12-09</t>
        </is>
      </c>
      <c r="B293" s="2" t="inlineStr">
        <is>
          <t>Thursday</t>
        </is>
      </c>
      <c r="C293" s="2" t="inlineStr">
        <is>
          <t>MNQZ1</t>
        </is>
      </c>
      <c r="D293" s="3" t="n">
        <v>16413.5</v>
      </c>
      <c r="E293" s="3" t="n">
        <v>16334.75</v>
      </c>
      <c r="F293" s="3">
        <f>D293-E293</f>
        <v/>
      </c>
      <c r="G293" s="2" t="inlineStr">
        <is>
          <t>Short</t>
        </is>
      </c>
      <c r="H293" s="3" t="n">
        <v>16334.75</v>
      </c>
      <c r="I293" s="3" t="n">
        <v>16256</v>
      </c>
      <c r="J293" s="3">
        <f>IF(G293="Long",I293-H293,IF(G293="Short",H293-I293,0))</f>
        <v/>
      </c>
      <c r="K293" s="4" t="n">
        <v>12.38</v>
      </c>
      <c r="L293" s="2" t="inlineStr">
        <is>
          <t>Win</t>
        </is>
      </c>
      <c r="M293" s="3">
        <f>M292+J293</f>
        <v/>
      </c>
    </row>
    <row r="294">
      <c r="A294" s="2" t="inlineStr">
        <is>
          <t>2021-12-10</t>
        </is>
      </c>
      <c r="B294" s="2" t="inlineStr">
        <is>
          <t>Friday</t>
        </is>
      </c>
      <c r="C294" s="2" t="inlineStr">
        <is>
          <t>MNQH2</t>
        </is>
      </c>
      <c r="D294" s="3" t="n">
        <v>16328.25</v>
      </c>
      <c r="E294" s="3" t="n">
        <v>16243</v>
      </c>
      <c r="F294" s="3">
        <f>D294-E294</f>
        <v/>
      </c>
      <c r="G294" s="2" t="inlineStr">
        <is>
          <t>Short</t>
        </is>
      </c>
      <c r="H294" s="3" t="n">
        <v>16243</v>
      </c>
      <c r="I294" s="3" t="n">
        <v>16157.75</v>
      </c>
      <c r="J294" s="3">
        <f>IF(G294="Long",I294-H294,IF(G294="Short",H294-I294,0))</f>
        <v/>
      </c>
      <c r="K294" s="4" t="n">
        <v>83.28</v>
      </c>
      <c r="L294" s="2" t="inlineStr">
        <is>
          <t>Win</t>
        </is>
      </c>
      <c r="M294" s="3">
        <f>M293+J294</f>
        <v/>
      </c>
    </row>
    <row r="295">
      <c r="A295" s="5" t="inlineStr">
        <is>
          <t>2021-12-10</t>
        </is>
      </c>
      <c r="B295" s="5" t="inlineStr">
        <is>
          <t>Friday</t>
        </is>
      </c>
      <c r="C295" s="5" t="inlineStr">
        <is>
          <t>MNQH2</t>
        </is>
      </c>
      <c r="D295" s="6" t="n">
        <v>16328.25</v>
      </c>
      <c r="E295" s="6" t="n">
        <v>16243</v>
      </c>
      <c r="F295" s="6">
        <f>D295-E295</f>
        <v/>
      </c>
      <c r="G295" s="5" t="inlineStr">
        <is>
          <t>Short</t>
        </is>
      </c>
      <c r="H295" s="6" t="n">
        <v>16243</v>
      </c>
      <c r="I295" s="6" t="n">
        <v>16328.25</v>
      </c>
      <c r="J295" s="6">
        <f>IF(G295="Long",I295-H295,IF(G295="Short",H295-I295,0))</f>
        <v/>
      </c>
      <c r="K295" s="7" t="n">
        <v>100</v>
      </c>
      <c r="L295" s="5" t="inlineStr">
        <is>
          <t>Loss</t>
        </is>
      </c>
      <c r="M295" s="6">
        <f>M294+J295</f>
        <v/>
      </c>
    </row>
    <row r="296">
      <c r="A296" s="2" t="inlineStr">
        <is>
          <t>2021-12-13</t>
        </is>
      </c>
      <c r="B296" s="2" t="inlineStr">
        <is>
          <t>Monday</t>
        </is>
      </c>
      <c r="C296" s="2" t="inlineStr">
        <is>
          <t>MNQH2</t>
        </is>
      </c>
      <c r="D296" s="3" t="n">
        <v>16340</v>
      </c>
      <c r="E296" s="3" t="n">
        <v>16269</v>
      </c>
      <c r="F296" s="3">
        <f>D296-E296</f>
        <v/>
      </c>
      <c r="G296" s="2" t="inlineStr">
        <is>
          <t>Short</t>
        </is>
      </c>
      <c r="H296" s="3" t="n">
        <v>16269</v>
      </c>
      <c r="I296" s="3" t="n">
        <v>16198</v>
      </c>
      <c r="J296" s="3">
        <f>IF(G296="Long",I296-H296,IF(G296="Short",H296-I296,0))</f>
        <v/>
      </c>
      <c r="K296" s="4" t="n">
        <v>62.68</v>
      </c>
      <c r="L296" s="2" t="inlineStr">
        <is>
          <t>Win</t>
        </is>
      </c>
      <c r="M296" s="3">
        <f>M295+J296</f>
        <v/>
      </c>
    </row>
    <row r="297">
      <c r="A297" s="8" t="inlineStr">
        <is>
          <t>2021-12-14</t>
        </is>
      </c>
      <c r="B297" s="8" t="inlineStr">
        <is>
          <t>Tuesday</t>
        </is>
      </c>
      <c r="C297" s="8" t="inlineStr">
        <is>
          <t>MNQH2</t>
        </is>
      </c>
      <c r="D297" s="9" t="n">
        <v>15992</v>
      </c>
      <c r="E297" s="9" t="n">
        <v>15856.25</v>
      </c>
      <c r="F297" s="9">
        <f>D297-E297</f>
        <v/>
      </c>
      <c r="G297" s="8" t="inlineStr">
        <is>
          <t>Short</t>
        </is>
      </c>
      <c r="H297" s="9" t="n">
        <v>15856.25</v>
      </c>
      <c r="I297" s="9" t="n">
        <v>15926.75</v>
      </c>
      <c r="J297" s="9">
        <f>IF(G297="Long",I297-H297,IF(G297="Short",H297-I297,0))</f>
        <v/>
      </c>
      <c r="K297" s="10" t="n">
        <v>81.03</v>
      </c>
      <c r="L297" s="8" t="inlineStr">
        <is>
          <t>EOD-Close</t>
        </is>
      </c>
      <c r="M297" s="9">
        <f>M296+J297</f>
        <v/>
      </c>
    </row>
    <row r="298">
      <c r="A298" s="2" t="inlineStr">
        <is>
          <t>2021-12-15</t>
        </is>
      </c>
      <c r="B298" s="2" t="inlineStr">
        <is>
          <t>Wednesday</t>
        </is>
      </c>
      <c r="C298" s="2" t="inlineStr">
        <is>
          <t>MNQH2</t>
        </is>
      </c>
      <c r="D298" s="3" t="n">
        <v>15927.75</v>
      </c>
      <c r="E298" s="3" t="n">
        <v>15859.75</v>
      </c>
      <c r="F298" s="3">
        <f>D298-E298</f>
        <v/>
      </c>
      <c r="G298" s="2" t="inlineStr">
        <is>
          <t>Short</t>
        </is>
      </c>
      <c r="H298" s="3" t="n">
        <v>15859.75</v>
      </c>
      <c r="I298" s="3" t="n">
        <v>15791.75</v>
      </c>
      <c r="J298" s="3">
        <f>IF(G298="Long",I298-H298,IF(G298="Short",H298-I298,0))</f>
        <v/>
      </c>
      <c r="K298" s="4" t="n">
        <v>73.90000000000001</v>
      </c>
      <c r="L298" s="2" t="inlineStr">
        <is>
          <t>Win</t>
        </is>
      </c>
      <c r="M298" s="3">
        <f>M297+J298</f>
        <v/>
      </c>
    </row>
    <row r="299">
      <c r="A299" s="2" t="inlineStr">
        <is>
          <t>2021-12-15</t>
        </is>
      </c>
      <c r="B299" s="2" t="inlineStr">
        <is>
          <t>Wednesday</t>
        </is>
      </c>
      <c r="C299" s="2" t="inlineStr">
        <is>
          <t>MNQH2</t>
        </is>
      </c>
      <c r="D299" s="3" t="n">
        <v>15927.75</v>
      </c>
      <c r="E299" s="3" t="n">
        <v>15859.75</v>
      </c>
      <c r="F299" s="3">
        <f>D299-E299</f>
        <v/>
      </c>
      <c r="G299" s="2" t="inlineStr">
        <is>
          <t>Short</t>
        </is>
      </c>
      <c r="H299" s="3" t="n">
        <v>15859.75</v>
      </c>
      <c r="I299" s="3" t="n">
        <v>15791.75</v>
      </c>
      <c r="J299" s="3">
        <f>IF(G299="Long",I299-H299,IF(G299="Short",H299-I299,0))</f>
        <v/>
      </c>
      <c r="K299" s="4" t="n">
        <v>80.15000000000001</v>
      </c>
      <c r="L299" s="2" t="inlineStr">
        <is>
          <t>Win</t>
        </is>
      </c>
      <c r="M299" s="3">
        <f>M298+J299</f>
        <v/>
      </c>
    </row>
    <row r="300">
      <c r="A300" s="2" t="inlineStr">
        <is>
          <t>2021-12-16</t>
        </is>
      </c>
      <c r="B300" s="2" t="inlineStr">
        <is>
          <t>Thursday</t>
        </is>
      </c>
      <c r="C300" s="2" t="inlineStr">
        <is>
          <t>MNQH2</t>
        </is>
      </c>
      <c r="D300" s="3" t="n">
        <v>16342</v>
      </c>
      <c r="E300" s="3" t="n">
        <v>16212.5</v>
      </c>
      <c r="F300" s="3">
        <f>D300-E300</f>
        <v/>
      </c>
      <c r="G300" s="2" t="inlineStr">
        <is>
          <t>Short</t>
        </is>
      </c>
      <c r="H300" s="3" t="n">
        <v>16212.5</v>
      </c>
      <c r="I300" s="3" t="n">
        <v>16083</v>
      </c>
      <c r="J300" s="3">
        <f>IF(G300="Long",I300-H300,IF(G300="Short",H300-I300,0))</f>
        <v/>
      </c>
      <c r="K300" s="4" t="n">
        <v>0</v>
      </c>
      <c r="L300" s="2" t="inlineStr">
        <is>
          <t>Win</t>
        </is>
      </c>
      <c r="M300" s="3">
        <f>M299+J300</f>
        <v/>
      </c>
    </row>
    <row r="301">
      <c r="A301" s="5" t="inlineStr">
        <is>
          <t>2021-12-17</t>
        </is>
      </c>
      <c r="B301" s="5" t="inlineStr">
        <is>
          <t>Friday</t>
        </is>
      </c>
      <c r="C301" s="5" t="inlineStr">
        <is>
          <t>MNQH2</t>
        </is>
      </c>
      <c r="D301" s="6" t="n">
        <v>15791.75</v>
      </c>
      <c r="E301" s="6" t="n">
        <v>15656.75</v>
      </c>
      <c r="F301" s="6">
        <f>D301-E301</f>
        <v/>
      </c>
      <c r="G301" s="5" t="inlineStr">
        <is>
          <t>Long</t>
        </is>
      </c>
      <c r="H301" s="6" t="n">
        <v>15791.75</v>
      </c>
      <c r="I301" s="6" t="n">
        <v>15656.75</v>
      </c>
      <c r="J301" s="6">
        <f>IF(G301="Long",I301-H301,IF(G301="Short",H301-I301,0))</f>
        <v/>
      </c>
      <c r="K301" s="7" t="n">
        <v>100</v>
      </c>
      <c r="L301" s="5" t="inlineStr">
        <is>
          <t>Loss</t>
        </is>
      </c>
      <c r="M301" s="6">
        <f>M300+J301</f>
        <v/>
      </c>
    </row>
    <row r="302">
      <c r="A302" s="2" t="inlineStr">
        <is>
          <t>2021-12-17</t>
        </is>
      </c>
      <c r="B302" s="2" t="inlineStr">
        <is>
          <t>Friday</t>
        </is>
      </c>
      <c r="C302" s="2" t="inlineStr">
        <is>
          <t>MNQH2</t>
        </is>
      </c>
      <c r="D302" s="3" t="n">
        <v>15791.75</v>
      </c>
      <c r="E302" s="3" t="n">
        <v>15656.75</v>
      </c>
      <c r="F302" s="3">
        <f>D302-E302</f>
        <v/>
      </c>
      <c r="G302" s="2" t="inlineStr">
        <is>
          <t>Long</t>
        </is>
      </c>
      <c r="H302" s="3" t="n">
        <v>15791.75</v>
      </c>
      <c r="I302" s="3" t="n">
        <v>15926.75</v>
      </c>
      <c r="J302" s="3">
        <f>IF(G302="Long",I302-H302,IF(G302="Short",H302-I302,0))</f>
        <v/>
      </c>
      <c r="K302" s="4" t="n">
        <v>0</v>
      </c>
      <c r="L302" s="2" t="inlineStr">
        <is>
          <t>Win</t>
        </is>
      </c>
      <c r="M302" s="3">
        <f>M301+J302</f>
        <v/>
      </c>
    </row>
    <row r="303">
      <c r="A303" s="5" t="inlineStr">
        <is>
          <t>2021-12-20</t>
        </is>
      </c>
      <c r="B303" s="5" t="inlineStr">
        <is>
          <t>Monday</t>
        </is>
      </c>
      <c r="C303" s="5" t="inlineStr">
        <is>
          <t>MNQH2</t>
        </is>
      </c>
      <c r="D303" s="6" t="n">
        <v>15642.5</v>
      </c>
      <c r="E303" s="6" t="n">
        <v>15542.75</v>
      </c>
      <c r="F303" s="6">
        <f>D303-E303</f>
        <v/>
      </c>
      <c r="G303" s="5" t="inlineStr">
        <is>
          <t>Short</t>
        </is>
      </c>
      <c r="H303" s="6" t="n">
        <v>15542.75</v>
      </c>
      <c r="I303" s="6" t="n">
        <v>15642.5</v>
      </c>
      <c r="J303" s="6">
        <f>IF(G303="Long",I303-H303,IF(G303="Short",H303-I303,0))</f>
        <v/>
      </c>
      <c r="K303" s="7" t="n">
        <v>100</v>
      </c>
      <c r="L303" s="5" t="inlineStr">
        <is>
          <t>Loss</t>
        </is>
      </c>
      <c r="M303" s="6">
        <f>M302+J303</f>
        <v/>
      </c>
    </row>
    <row r="304">
      <c r="A304" s="2" t="inlineStr">
        <is>
          <t>2021-12-21</t>
        </is>
      </c>
      <c r="B304" s="2" t="inlineStr">
        <is>
          <t>Tuesday</t>
        </is>
      </c>
      <c r="C304" s="2" t="inlineStr">
        <is>
          <t>MNQH2</t>
        </is>
      </c>
      <c r="D304" s="3" t="n">
        <v>15798.75</v>
      </c>
      <c r="E304" s="3" t="n">
        <v>15707.5</v>
      </c>
      <c r="F304" s="3">
        <f>D304-E304</f>
        <v/>
      </c>
      <c r="G304" s="2" t="inlineStr">
        <is>
          <t>Short</t>
        </is>
      </c>
      <c r="H304" s="3" t="n">
        <v>15707.5</v>
      </c>
      <c r="I304" s="3" t="n">
        <v>15616.25</v>
      </c>
      <c r="J304" s="3">
        <f>IF(G304="Long",I304-H304,IF(G304="Short",H304-I304,0))</f>
        <v/>
      </c>
      <c r="K304" s="4" t="n">
        <v>1.92</v>
      </c>
      <c r="L304" s="2" t="inlineStr">
        <is>
          <t>Win</t>
        </is>
      </c>
      <c r="M304" s="3">
        <f>M303+J304</f>
        <v/>
      </c>
    </row>
    <row r="305">
      <c r="A305" s="5" t="inlineStr">
        <is>
          <t>2021-12-21</t>
        </is>
      </c>
      <c r="B305" s="5" t="inlineStr">
        <is>
          <t>Tuesday</t>
        </is>
      </c>
      <c r="C305" s="5" t="inlineStr">
        <is>
          <t>MNQH2</t>
        </is>
      </c>
      <c r="D305" s="6" t="n">
        <v>15798.75</v>
      </c>
      <c r="E305" s="6" t="n">
        <v>15707.5</v>
      </c>
      <c r="F305" s="6">
        <f>D305-E305</f>
        <v/>
      </c>
      <c r="G305" s="5" t="inlineStr">
        <is>
          <t>Short</t>
        </is>
      </c>
      <c r="H305" s="6" t="n">
        <v>15707.5</v>
      </c>
      <c r="I305" s="6" t="n">
        <v>15798.75</v>
      </c>
      <c r="J305" s="6">
        <f>IF(G305="Long",I305-H305,IF(G305="Short",H305-I305,0))</f>
        <v/>
      </c>
      <c r="K305" s="7" t="n">
        <v>100</v>
      </c>
      <c r="L305" s="5" t="inlineStr">
        <is>
          <t>Loss</t>
        </is>
      </c>
      <c r="M305" s="6">
        <f>M304+J305</f>
        <v/>
      </c>
    </row>
    <row r="306">
      <c r="A306" s="2" t="inlineStr">
        <is>
          <t>2021-12-22</t>
        </is>
      </c>
      <c r="B306" s="2" t="inlineStr">
        <is>
          <t>Wednesday</t>
        </is>
      </c>
      <c r="C306" s="2" t="inlineStr">
        <is>
          <t>MNQH2</t>
        </is>
      </c>
      <c r="D306" s="3" t="n">
        <v>16012.25</v>
      </c>
      <c r="E306" s="3" t="n">
        <v>15933.75</v>
      </c>
      <c r="F306" s="3">
        <f>D306-E306</f>
        <v/>
      </c>
      <c r="G306" s="2" t="inlineStr">
        <is>
          <t>Long</t>
        </is>
      </c>
      <c r="H306" s="3" t="n">
        <v>16012.25</v>
      </c>
      <c r="I306" s="3" t="n">
        <v>16090.75</v>
      </c>
      <c r="J306" s="3">
        <f>IF(G306="Long",I306-H306,IF(G306="Short",H306-I306,0))</f>
        <v/>
      </c>
      <c r="K306" s="4" t="n">
        <v>79.94</v>
      </c>
      <c r="L306" s="2" t="inlineStr">
        <is>
          <t>Win</t>
        </is>
      </c>
      <c r="M306" s="3">
        <f>M305+J306</f>
        <v/>
      </c>
    </row>
    <row r="307">
      <c r="A307" s="2" t="inlineStr">
        <is>
          <t>2021-12-23</t>
        </is>
      </c>
      <c r="B307" s="2" t="inlineStr">
        <is>
          <t>Thursday</t>
        </is>
      </c>
      <c r="C307" s="2" t="inlineStr">
        <is>
          <t>MNQH2</t>
        </is>
      </c>
      <c r="D307" s="3" t="n">
        <v>16237</v>
      </c>
      <c r="E307" s="3" t="n">
        <v>16176.5</v>
      </c>
      <c r="F307" s="3">
        <f>D307-E307</f>
        <v/>
      </c>
      <c r="G307" s="2" t="inlineStr">
        <is>
          <t>Long</t>
        </is>
      </c>
      <c r="H307" s="3" t="n">
        <v>16237</v>
      </c>
      <c r="I307" s="3" t="n">
        <v>16297.5</v>
      </c>
      <c r="J307" s="3">
        <f>IF(G307="Long",I307-H307,IF(G307="Short",H307-I307,0))</f>
        <v/>
      </c>
      <c r="K307" s="4" t="n">
        <v>0</v>
      </c>
      <c r="L307" s="2" t="inlineStr">
        <is>
          <t>Win</t>
        </is>
      </c>
      <c r="M307" s="3">
        <f>M306+J307</f>
        <v/>
      </c>
    </row>
    <row r="308">
      <c r="A308" s="2" t="inlineStr">
        <is>
          <t>2021-12-27</t>
        </is>
      </c>
      <c r="B308" s="2" t="inlineStr">
        <is>
          <t>Monday</t>
        </is>
      </c>
      <c r="C308" s="2" t="inlineStr">
        <is>
          <t>MNQH2</t>
        </is>
      </c>
      <c r="D308" s="3" t="n">
        <v>16448.25</v>
      </c>
      <c r="E308" s="3" t="n">
        <v>16344.5</v>
      </c>
      <c r="F308" s="3">
        <f>D308-E308</f>
        <v/>
      </c>
      <c r="G308" s="2" t="inlineStr">
        <is>
          <t>Long</t>
        </is>
      </c>
      <c r="H308" s="3" t="n">
        <v>16448.25</v>
      </c>
      <c r="I308" s="3" t="n">
        <v>16552</v>
      </c>
      <c r="J308" s="3">
        <f>IF(G308="Long",I308-H308,IF(G308="Short",H308-I308,0))</f>
        <v/>
      </c>
      <c r="K308" s="4" t="n">
        <v>0</v>
      </c>
      <c r="L308" s="2" t="inlineStr">
        <is>
          <t>Win</t>
        </is>
      </c>
      <c r="M308" s="3">
        <f>M307+J308</f>
        <v/>
      </c>
    </row>
    <row r="309">
      <c r="A309" s="8" t="inlineStr">
        <is>
          <t>2021-12-28</t>
        </is>
      </c>
      <c r="B309" s="8" t="inlineStr">
        <is>
          <t>Tuesday</t>
        </is>
      </c>
      <c r="C309" s="8" t="inlineStr">
        <is>
          <t>MNQH2</t>
        </is>
      </c>
      <c r="D309" s="9" t="n">
        <v>16611.5</v>
      </c>
      <c r="E309" s="9" t="n">
        <v>16520.75</v>
      </c>
      <c r="F309" s="9">
        <f>D309-E309</f>
        <v/>
      </c>
      <c r="G309" s="8" t="inlineStr">
        <is>
          <t>Short</t>
        </is>
      </c>
      <c r="H309" s="9" t="n">
        <v>16520.75</v>
      </c>
      <c r="I309" s="9" t="n">
        <v>16494.5</v>
      </c>
      <c r="J309" s="9">
        <f>IF(G309="Long",I309-H309,IF(G309="Short",H309-I309,0))</f>
        <v/>
      </c>
      <c r="K309" s="10" t="n">
        <v>70.52</v>
      </c>
      <c r="L309" s="8" t="inlineStr">
        <is>
          <t>EOD-Close</t>
        </is>
      </c>
      <c r="M309" s="9">
        <f>M308+J309</f>
        <v/>
      </c>
    </row>
    <row r="310">
      <c r="A310" s="2" t="inlineStr">
        <is>
          <t>2021-12-29</t>
        </is>
      </c>
      <c r="B310" s="2" t="inlineStr">
        <is>
          <t>Wednesday</t>
        </is>
      </c>
      <c r="C310" s="2" t="inlineStr">
        <is>
          <t>MNQH2</t>
        </is>
      </c>
      <c r="D310" s="3" t="n">
        <v>16549.25</v>
      </c>
      <c r="E310" s="3" t="n">
        <v>16492</v>
      </c>
      <c r="F310" s="3">
        <f>D310-E310</f>
        <v/>
      </c>
      <c r="G310" s="2" t="inlineStr">
        <is>
          <t>Short</t>
        </is>
      </c>
      <c r="H310" s="3" t="n">
        <v>16492</v>
      </c>
      <c r="I310" s="3" t="n">
        <v>16434.75</v>
      </c>
      <c r="J310" s="3">
        <f>IF(G310="Long",I310-H310,IF(G310="Short",H310-I310,0))</f>
        <v/>
      </c>
      <c r="K310" s="4" t="n">
        <v>17.47</v>
      </c>
      <c r="L310" s="2" t="inlineStr">
        <is>
          <t>Win</t>
        </is>
      </c>
      <c r="M310" s="3">
        <f>M309+J310</f>
        <v/>
      </c>
    </row>
    <row r="311">
      <c r="A311" s="2" t="inlineStr">
        <is>
          <t>2021-12-29</t>
        </is>
      </c>
      <c r="B311" s="2" t="inlineStr">
        <is>
          <t>Wednesday</t>
        </is>
      </c>
      <c r="C311" s="2" t="inlineStr">
        <is>
          <t>MNQH2</t>
        </is>
      </c>
      <c r="D311" s="3" t="n">
        <v>16549.25</v>
      </c>
      <c r="E311" s="3" t="n">
        <v>16492</v>
      </c>
      <c r="F311" s="3">
        <f>D311-E311</f>
        <v/>
      </c>
      <c r="G311" s="2" t="inlineStr">
        <is>
          <t>Short</t>
        </is>
      </c>
      <c r="H311" s="3" t="n">
        <v>16492</v>
      </c>
      <c r="I311" s="3" t="n">
        <v>16434.75</v>
      </c>
      <c r="J311" s="3">
        <f>IF(G311="Long",I311-H311,IF(G311="Short",H311-I311,0))</f>
        <v/>
      </c>
      <c r="K311" s="4" t="n">
        <v>0</v>
      </c>
      <c r="L311" s="2" t="inlineStr">
        <is>
          <t>Win</t>
        </is>
      </c>
      <c r="M311" s="3">
        <f>M310+J311</f>
        <v/>
      </c>
    </row>
    <row r="312">
      <c r="A312" s="5" t="inlineStr">
        <is>
          <t>2021-12-30</t>
        </is>
      </c>
      <c r="B312" s="5" t="inlineStr">
        <is>
          <t>Thursday</t>
        </is>
      </c>
      <c r="C312" s="5" t="inlineStr">
        <is>
          <t>MNQH2</t>
        </is>
      </c>
      <c r="D312" s="6" t="n">
        <v>16518</v>
      </c>
      <c r="E312" s="6" t="n">
        <v>16449.5</v>
      </c>
      <c r="F312" s="6">
        <f>D312-E312</f>
        <v/>
      </c>
      <c r="G312" s="5" t="inlineStr">
        <is>
          <t>Long</t>
        </is>
      </c>
      <c r="H312" s="6" t="n">
        <v>16518</v>
      </c>
      <c r="I312" s="6" t="n">
        <v>16449.5</v>
      </c>
      <c r="J312" s="6">
        <f>IF(G312="Long",I312-H312,IF(G312="Short",H312-I312,0))</f>
        <v/>
      </c>
      <c r="K312" s="7" t="n">
        <v>100</v>
      </c>
      <c r="L312" s="5" t="inlineStr">
        <is>
          <t>Loss</t>
        </is>
      </c>
      <c r="M312" s="6">
        <f>M311+J312</f>
        <v/>
      </c>
    </row>
    <row r="313">
      <c r="A313" s="8" t="inlineStr">
        <is>
          <t>2021-12-30</t>
        </is>
      </c>
      <c r="B313" s="8" t="inlineStr">
        <is>
          <t>Thursday</t>
        </is>
      </c>
      <c r="C313" s="8" t="inlineStr">
        <is>
          <t>MNQH2</t>
        </is>
      </c>
      <c r="D313" s="9" t="n">
        <v>16518</v>
      </c>
      <c r="E313" s="9" t="n">
        <v>16449.5</v>
      </c>
      <c r="F313" s="9">
        <f>D313-E313</f>
        <v/>
      </c>
      <c r="G313" s="8" t="inlineStr">
        <is>
          <t>Short</t>
        </is>
      </c>
      <c r="H313" s="9" t="n">
        <v>16449.5</v>
      </c>
      <c r="I313" s="9" t="n">
        <v>16428.5</v>
      </c>
      <c r="J313" s="9">
        <f>IF(G313="Long",I313-H313,IF(G313="Short",H313-I313,0))</f>
        <v/>
      </c>
      <c r="K313" s="10" t="n">
        <v>0</v>
      </c>
      <c r="L313" s="8" t="inlineStr">
        <is>
          <t>EOD-Close</t>
        </is>
      </c>
      <c r="M313" s="9">
        <f>M312+J313</f>
        <v/>
      </c>
    </row>
    <row r="314">
      <c r="A314" s="2" t="inlineStr">
        <is>
          <t>2021-12-31</t>
        </is>
      </c>
      <c r="B314" s="2" t="inlineStr">
        <is>
          <t>Friday</t>
        </is>
      </c>
      <c r="C314" s="2" t="inlineStr">
        <is>
          <t>MNQH2</t>
        </is>
      </c>
      <c r="D314" s="3" t="n">
        <v>16464</v>
      </c>
      <c r="E314" s="3" t="n">
        <v>16406</v>
      </c>
      <c r="F314" s="3">
        <f>D314-E314</f>
        <v/>
      </c>
      <c r="G314" s="2" t="inlineStr">
        <is>
          <t>Short</t>
        </is>
      </c>
      <c r="H314" s="3" t="n">
        <v>16406</v>
      </c>
      <c r="I314" s="3" t="n">
        <v>16348</v>
      </c>
      <c r="J314" s="3">
        <f>IF(G314="Long",I314-H314,IF(G314="Short",H314-I314,0))</f>
        <v/>
      </c>
      <c r="K314" s="4" t="n">
        <v>42.67</v>
      </c>
      <c r="L314" s="2" t="inlineStr">
        <is>
          <t>Win</t>
        </is>
      </c>
      <c r="M314" s="3">
        <f>M313+J314</f>
        <v/>
      </c>
    </row>
    <row r="315">
      <c r="A315" s="5" t="inlineStr">
        <is>
          <t>2022-01-03</t>
        </is>
      </c>
      <c r="B315" s="5" t="inlineStr">
        <is>
          <t>Monday</t>
        </is>
      </c>
      <c r="C315" s="5" t="inlineStr">
        <is>
          <t>MNQH2</t>
        </is>
      </c>
      <c r="D315" s="6" t="n">
        <v>16484.75</v>
      </c>
      <c r="E315" s="6" t="n">
        <v>16378.5</v>
      </c>
      <c r="F315" s="6">
        <f>D315-E315</f>
        <v/>
      </c>
      <c r="G315" s="5" t="inlineStr">
        <is>
          <t>Short</t>
        </is>
      </c>
      <c r="H315" s="6" t="n">
        <v>16378.5</v>
      </c>
      <c r="I315" s="6" t="n">
        <v>16484.75</v>
      </c>
      <c r="J315" s="6">
        <f>IF(G315="Long",I315-H315,IF(G315="Short",H315-I315,0))</f>
        <v/>
      </c>
      <c r="K315" s="7" t="n">
        <v>100</v>
      </c>
      <c r="L315" s="5" t="inlineStr">
        <is>
          <t>Loss</t>
        </is>
      </c>
      <c r="M315" s="6">
        <f>M314+J315</f>
        <v/>
      </c>
    </row>
    <row r="316">
      <c r="A316" s="8" t="inlineStr">
        <is>
          <t>2022-01-03</t>
        </is>
      </c>
      <c r="B316" s="8" t="inlineStr">
        <is>
          <t>Monday</t>
        </is>
      </c>
      <c r="C316" s="8" t="inlineStr">
        <is>
          <t>MNQH2</t>
        </is>
      </c>
      <c r="D316" s="9" t="n">
        <v>16484.75</v>
      </c>
      <c r="E316" s="9" t="n">
        <v>16378.5</v>
      </c>
      <c r="F316" s="9">
        <f>D316-E316</f>
        <v/>
      </c>
      <c r="G316" s="8" t="inlineStr">
        <is>
          <t>Long</t>
        </is>
      </c>
      <c r="H316" s="9" t="n">
        <v>16484.75</v>
      </c>
      <c r="I316" s="9" t="n">
        <v>16489.5</v>
      </c>
      <c r="J316" s="9">
        <f>IF(G316="Long",I316-H316,IF(G316="Short",H316-I316,0))</f>
        <v/>
      </c>
      <c r="K316" s="10" t="n">
        <v>32.47</v>
      </c>
      <c r="L316" s="8" t="inlineStr">
        <is>
          <t>EOD-Close</t>
        </is>
      </c>
      <c r="M316" s="9">
        <f>M315+J316</f>
        <v/>
      </c>
    </row>
    <row r="317">
      <c r="A317" s="2" t="inlineStr">
        <is>
          <t>2022-01-04</t>
        </is>
      </c>
      <c r="B317" s="2" t="inlineStr">
        <is>
          <t>Tuesday</t>
        </is>
      </c>
      <c r="C317" s="2" t="inlineStr">
        <is>
          <t>MNQH2</t>
        </is>
      </c>
      <c r="D317" s="3" t="n">
        <v>16512.25</v>
      </c>
      <c r="E317" s="3" t="n">
        <v>16467.25</v>
      </c>
      <c r="F317" s="3">
        <f>D317-E317</f>
        <v/>
      </c>
      <c r="G317" s="2" t="inlineStr">
        <is>
          <t>Short</t>
        </is>
      </c>
      <c r="H317" s="3" t="n">
        <v>16467.25</v>
      </c>
      <c r="I317" s="3" t="n">
        <v>16422.25</v>
      </c>
      <c r="J317" s="3">
        <f>IF(G317="Long",I317-H317,IF(G317="Short",H317-I317,0))</f>
        <v/>
      </c>
      <c r="K317" s="4" t="n">
        <v>6.67</v>
      </c>
      <c r="L317" s="2" t="inlineStr">
        <is>
          <t>Win</t>
        </is>
      </c>
      <c r="M317" s="3">
        <f>M316+J317</f>
        <v/>
      </c>
    </row>
    <row r="318">
      <c r="A318" s="2" t="inlineStr">
        <is>
          <t>2022-01-05</t>
        </is>
      </c>
      <c r="B318" s="2" t="inlineStr">
        <is>
          <t>Wednesday</t>
        </is>
      </c>
      <c r="C318" s="2" t="inlineStr">
        <is>
          <t>MNQH2</t>
        </is>
      </c>
      <c r="D318" s="3" t="n">
        <v>16216.75</v>
      </c>
      <c r="E318" s="3" t="n">
        <v>16103</v>
      </c>
      <c r="F318" s="3">
        <f>D318-E318</f>
        <v/>
      </c>
      <c r="G318" s="2" t="inlineStr">
        <is>
          <t>Short</t>
        </is>
      </c>
      <c r="H318" s="3" t="n">
        <v>16103</v>
      </c>
      <c r="I318" s="3" t="n">
        <v>15989.25</v>
      </c>
      <c r="J318" s="3">
        <f>IF(G318="Long",I318-H318,IF(G318="Short",H318-I318,0))</f>
        <v/>
      </c>
      <c r="K318" s="4" t="n">
        <v>23.08</v>
      </c>
      <c r="L318" s="2" t="inlineStr">
        <is>
          <t>Win</t>
        </is>
      </c>
      <c r="M318" s="3">
        <f>M317+J318</f>
        <v/>
      </c>
    </row>
    <row r="319">
      <c r="A319" s="5" t="inlineStr">
        <is>
          <t>2022-01-06</t>
        </is>
      </c>
      <c r="B319" s="5" t="inlineStr">
        <is>
          <t>Thursday</t>
        </is>
      </c>
      <c r="C319" s="5" t="inlineStr">
        <is>
          <t>MNQH2</t>
        </is>
      </c>
      <c r="D319" s="6" t="n">
        <v>15850.5</v>
      </c>
      <c r="E319" s="6" t="n">
        <v>15672</v>
      </c>
      <c r="F319" s="6">
        <f>D319-E319</f>
        <v/>
      </c>
      <c r="G319" s="5" t="inlineStr">
        <is>
          <t>Short</t>
        </is>
      </c>
      <c r="H319" s="6" t="n">
        <v>15672</v>
      </c>
      <c r="I319" s="6" t="n">
        <v>15850.5</v>
      </c>
      <c r="J319" s="6">
        <f>IF(G319="Long",I319-H319,IF(G319="Short",H319-I319,0))</f>
        <v/>
      </c>
      <c r="K319" s="7" t="n">
        <v>100</v>
      </c>
      <c r="L319" s="5" t="inlineStr">
        <is>
          <t>Loss</t>
        </is>
      </c>
      <c r="M319" s="6">
        <f>M318+J319</f>
        <v/>
      </c>
    </row>
    <row r="320">
      <c r="A320" s="8" t="inlineStr">
        <is>
          <t>2022-01-06</t>
        </is>
      </c>
      <c r="B320" s="8" t="inlineStr">
        <is>
          <t>Thursday</t>
        </is>
      </c>
      <c r="C320" s="8" t="inlineStr">
        <is>
          <t>MNQH2</t>
        </is>
      </c>
      <c r="D320" s="9" t="n">
        <v>15850.5</v>
      </c>
      <c r="E320" s="9" t="n">
        <v>15672</v>
      </c>
      <c r="F320" s="9">
        <f>D320-E320</f>
        <v/>
      </c>
      <c r="G320" s="8" t="inlineStr">
        <is>
          <t>Long</t>
        </is>
      </c>
      <c r="H320" s="9" t="n">
        <v>15850.5</v>
      </c>
      <c r="I320" s="9" t="n">
        <v>15758.25</v>
      </c>
      <c r="J320" s="9">
        <f>IF(G320="Long",I320-H320,IF(G320="Short",H320-I320,0))</f>
        <v/>
      </c>
      <c r="K320" s="10" t="n">
        <v>74.23</v>
      </c>
      <c r="L320" s="8" t="inlineStr">
        <is>
          <t>EOD-Close</t>
        </is>
      </c>
      <c r="M320" s="9">
        <f>M319+J320</f>
        <v/>
      </c>
    </row>
    <row r="321">
      <c r="A321" s="2" t="inlineStr">
        <is>
          <t>2022-01-07</t>
        </is>
      </c>
      <c r="B321" s="2" t="inlineStr">
        <is>
          <t>Friday</t>
        </is>
      </c>
      <c r="C321" s="2" t="inlineStr">
        <is>
          <t>MNQH2</t>
        </is>
      </c>
      <c r="D321" s="3" t="n">
        <v>15812.5</v>
      </c>
      <c r="E321" s="3" t="n">
        <v>15673.75</v>
      </c>
      <c r="F321" s="3">
        <f>D321-E321</f>
        <v/>
      </c>
      <c r="G321" s="2" t="inlineStr">
        <is>
          <t>Short</t>
        </is>
      </c>
      <c r="H321" s="3" t="n">
        <v>15673.75</v>
      </c>
      <c r="I321" s="3" t="n">
        <v>15535</v>
      </c>
      <c r="J321" s="3">
        <f>IF(G321="Long",I321-H321,IF(G321="Short",H321-I321,0))</f>
        <v/>
      </c>
      <c r="K321" s="4" t="n">
        <v>9.91</v>
      </c>
      <c r="L321" s="2" t="inlineStr">
        <is>
          <t>Win</t>
        </is>
      </c>
      <c r="M321" s="3">
        <f>M320+J321</f>
        <v/>
      </c>
    </row>
    <row r="322">
      <c r="A322" s="2" t="inlineStr">
        <is>
          <t>2022-01-10</t>
        </is>
      </c>
      <c r="B322" s="2" t="inlineStr">
        <is>
          <t>Monday</t>
        </is>
      </c>
      <c r="C322" s="2" t="inlineStr">
        <is>
          <t>MNQH2</t>
        </is>
      </c>
      <c r="D322" s="3" t="n">
        <v>15415</v>
      </c>
      <c r="E322" s="3" t="n">
        <v>15289.75</v>
      </c>
      <c r="F322" s="3">
        <f>D322-E322</f>
        <v/>
      </c>
      <c r="G322" s="2" t="inlineStr">
        <is>
          <t>Short</t>
        </is>
      </c>
      <c r="H322" s="3" t="n">
        <v>15289.75</v>
      </c>
      <c r="I322" s="3" t="n">
        <v>15164.5</v>
      </c>
      <c r="J322" s="3">
        <f>IF(G322="Long",I322-H322,IF(G322="Short",H322-I322,0))</f>
        <v/>
      </c>
      <c r="K322" s="4" t="n">
        <v>2.59</v>
      </c>
      <c r="L322" s="2" t="inlineStr">
        <is>
          <t>Win</t>
        </is>
      </c>
      <c r="M322" s="3">
        <f>M321+J322</f>
        <v/>
      </c>
    </row>
    <row r="323">
      <c r="A323" s="5" t="inlineStr">
        <is>
          <t>2022-01-10</t>
        </is>
      </c>
      <c r="B323" s="5" t="inlineStr">
        <is>
          <t>Monday</t>
        </is>
      </c>
      <c r="C323" s="5" t="inlineStr">
        <is>
          <t>MNQH2</t>
        </is>
      </c>
      <c r="D323" s="6" t="n">
        <v>15415</v>
      </c>
      <c r="E323" s="6" t="n">
        <v>15289.75</v>
      </c>
      <c r="F323" s="6">
        <f>D323-E323</f>
        <v/>
      </c>
      <c r="G323" s="5" t="inlineStr">
        <is>
          <t>Short</t>
        </is>
      </c>
      <c r="H323" s="6" t="n">
        <v>15289.75</v>
      </c>
      <c r="I323" s="6" t="n">
        <v>15415</v>
      </c>
      <c r="J323" s="6">
        <f>IF(G323="Long",I323-H323,IF(G323="Short",H323-I323,0))</f>
        <v/>
      </c>
      <c r="K323" s="7" t="n">
        <v>100</v>
      </c>
      <c r="L323" s="5" t="inlineStr">
        <is>
          <t>Loss</t>
        </is>
      </c>
      <c r="M323" s="6">
        <f>M322+J323</f>
        <v/>
      </c>
    </row>
    <row r="324">
      <c r="A324" s="2" t="inlineStr">
        <is>
          <t>2022-01-11</t>
        </is>
      </c>
      <c r="B324" s="2" t="inlineStr">
        <is>
          <t>Tuesday</t>
        </is>
      </c>
      <c r="C324" s="2" t="inlineStr">
        <is>
          <t>MNQH2</t>
        </is>
      </c>
      <c r="D324" s="3" t="n">
        <v>15594</v>
      </c>
      <c r="E324" s="3" t="n">
        <v>15474.5</v>
      </c>
      <c r="F324" s="3">
        <f>D324-E324</f>
        <v/>
      </c>
      <c r="G324" s="2" t="inlineStr">
        <is>
          <t>Long</t>
        </is>
      </c>
      <c r="H324" s="3" t="n">
        <v>15594</v>
      </c>
      <c r="I324" s="3" t="n">
        <v>15713.5</v>
      </c>
      <c r="J324" s="3">
        <f>IF(G324="Long",I324-H324,IF(G324="Short",H324-I324,0))</f>
        <v/>
      </c>
      <c r="K324" s="4" t="n">
        <v>75.09999999999999</v>
      </c>
      <c r="L324" s="2" t="inlineStr">
        <is>
          <t>Win</t>
        </is>
      </c>
      <c r="M324" s="3">
        <f>M323+J324</f>
        <v/>
      </c>
    </row>
    <row r="325">
      <c r="A325" s="5" t="inlineStr">
        <is>
          <t>2022-01-12</t>
        </is>
      </c>
      <c r="B325" s="5" t="inlineStr">
        <is>
          <t>Wednesday</t>
        </is>
      </c>
      <c r="C325" s="5" t="inlineStr">
        <is>
          <t>MNQH2</t>
        </is>
      </c>
      <c r="D325" s="6" t="n">
        <v>15992.5</v>
      </c>
      <c r="E325" s="6" t="n">
        <v>15894.5</v>
      </c>
      <c r="F325" s="6">
        <f>D325-E325</f>
        <v/>
      </c>
      <c r="G325" s="5" t="inlineStr">
        <is>
          <t>Long</t>
        </is>
      </c>
      <c r="H325" s="6" t="n">
        <v>15992.5</v>
      </c>
      <c r="I325" s="6" t="n">
        <v>15894.5</v>
      </c>
      <c r="J325" s="6">
        <f>IF(G325="Long",I325-H325,IF(G325="Short",H325-I325,0))</f>
        <v/>
      </c>
      <c r="K325" s="7" t="n">
        <v>100</v>
      </c>
      <c r="L325" s="5" t="inlineStr">
        <is>
          <t>Loss</t>
        </is>
      </c>
      <c r="M325" s="6">
        <f>M324+J325</f>
        <v/>
      </c>
    </row>
    <row r="326">
      <c r="A326" s="8" t="inlineStr">
        <is>
          <t>2022-01-12</t>
        </is>
      </c>
      <c r="B326" s="8" t="inlineStr">
        <is>
          <t>Wednesday</t>
        </is>
      </c>
      <c r="C326" s="8" t="inlineStr">
        <is>
          <t>MNQH2</t>
        </is>
      </c>
      <c r="D326" s="9" t="n">
        <v>15992.5</v>
      </c>
      <c r="E326" s="9" t="n">
        <v>15894.5</v>
      </c>
      <c r="F326" s="9">
        <f>D326-E326</f>
        <v/>
      </c>
      <c r="G326" s="8" t="inlineStr">
        <is>
          <t>Short</t>
        </is>
      </c>
      <c r="H326" s="9" t="n">
        <v>15894.5</v>
      </c>
      <c r="I326" s="9" t="n">
        <v>15895.5</v>
      </c>
      <c r="J326" s="9">
        <f>IF(G326="Long",I326-H326,IF(G326="Short",H326-I326,0))</f>
        <v/>
      </c>
      <c r="K326" s="10" t="n">
        <v>59.69</v>
      </c>
      <c r="L326" s="8" t="inlineStr">
        <is>
          <t>EOD-Close</t>
        </is>
      </c>
      <c r="M326" s="9">
        <f>M325+J326</f>
        <v/>
      </c>
    </row>
    <row r="327">
      <c r="A327" s="2" t="inlineStr">
        <is>
          <t>2022-01-13</t>
        </is>
      </c>
      <c r="B327" s="2" t="inlineStr">
        <is>
          <t>Thursday</t>
        </is>
      </c>
      <c r="C327" s="2" t="inlineStr">
        <is>
          <t>MNQH2</t>
        </is>
      </c>
      <c r="D327" s="3" t="n">
        <v>15979.25</v>
      </c>
      <c r="E327" s="3" t="n">
        <v>15914.25</v>
      </c>
      <c r="F327" s="3">
        <f>D327-E327</f>
        <v/>
      </c>
      <c r="G327" s="2" t="inlineStr">
        <is>
          <t>Short</t>
        </is>
      </c>
      <c r="H327" s="3" t="n">
        <v>15914.25</v>
      </c>
      <c r="I327" s="3" t="n">
        <v>15849.25</v>
      </c>
      <c r="J327" s="3">
        <f>IF(G327="Long",I327-H327,IF(G327="Short",H327-I327,0))</f>
        <v/>
      </c>
      <c r="K327" s="4" t="n">
        <v>0.77</v>
      </c>
      <c r="L327" s="2" t="inlineStr">
        <is>
          <t>Win</t>
        </is>
      </c>
      <c r="M327" s="3">
        <f>M326+J327</f>
        <v/>
      </c>
    </row>
    <row r="328">
      <c r="A328" s="8" t="inlineStr">
        <is>
          <t>2022-01-14</t>
        </is>
      </c>
      <c r="B328" s="8" t="inlineStr">
        <is>
          <t>Friday</t>
        </is>
      </c>
      <c r="C328" s="8" t="inlineStr">
        <is>
          <t>MNQH2</t>
        </is>
      </c>
      <c r="D328" s="9" t="n">
        <v>15536</v>
      </c>
      <c r="E328" s="9" t="n">
        <v>15379.75</v>
      </c>
      <c r="F328" s="9">
        <f>D328-E328</f>
        <v/>
      </c>
      <c r="G328" s="8" t="inlineStr">
        <is>
          <t>Long</t>
        </is>
      </c>
      <c r="H328" s="9" t="n">
        <v>15536</v>
      </c>
      <c r="I328" s="9" t="n">
        <v>15592.75</v>
      </c>
      <c r="J328" s="9">
        <f>IF(G328="Long",I328-H328,IF(G328="Short",H328-I328,0))</f>
        <v/>
      </c>
      <c r="K328" s="10" t="n">
        <v>84.48</v>
      </c>
      <c r="L328" s="8" t="inlineStr">
        <is>
          <t>EOD-Close</t>
        </is>
      </c>
      <c r="M328" s="9">
        <f>M327+J328</f>
        <v/>
      </c>
    </row>
    <row r="329">
      <c r="A329" s="8" t="inlineStr">
        <is>
          <t>2022-01-17</t>
        </is>
      </c>
      <c r="B329" s="8" t="inlineStr">
        <is>
          <t>Monday</t>
        </is>
      </c>
      <c r="C329" s="8" t="inlineStr">
        <is>
          <t>MNQH2</t>
        </is>
      </c>
      <c r="D329" s="9" t="n">
        <v>15611.25</v>
      </c>
      <c r="E329" s="9" t="n">
        <v>15572.5</v>
      </c>
      <c r="F329" s="9">
        <f>D329-E329</f>
        <v/>
      </c>
      <c r="G329" s="8" t="inlineStr">
        <is>
          <t>Short</t>
        </is>
      </c>
      <c r="H329" s="9" t="n">
        <v>15572.5</v>
      </c>
      <c r="I329" s="9" t="n">
        <v>15555</v>
      </c>
      <c r="J329" s="9">
        <f>IF(G329="Long",I329-H329,IF(G329="Short",H329-I329,0))</f>
        <v/>
      </c>
      <c r="K329" s="10" t="n">
        <v>61.94</v>
      </c>
      <c r="L329" s="8" t="inlineStr">
        <is>
          <t>EOD-Close</t>
        </is>
      </c>
      <c r="M329" s="9">
        <f>M328+J329</f>
        <v/>
      </c>
    </row>
    <row r="330">
      <c r="A330" s="5" t="inlineStr">
        <is>
          <t>2022-01-18</t>
        </is>
      </c>
      <c r="B330" s="5" t="inlineStr">
        <is>
          <t>Tuesday</t>
        </is>
      </c>
      <c r="C330" s="5" t="inlineStr">
        <is>
          <t>MNQH2</t>
        </is>
      </c>
      <c r="D330" s="6" t="n">
        <v>15374.25</v>
      </c>
      <c r="E330" s="6" t="n">
        <v>15272.5</v>
      </c>
      <c r="F330" s="6">
        <f>D330-E330</f>
        <v/>
      </c>
      <c r="G330" s="5" t="inlineStr">
        <is>
          <t>Long</t>
        </is>
      </c>
      <c r="H330" s="6" t="n">
        <v>15374.25</v>
      </c>
      <c r="I330" s="6" t="n">
        <v>15272.5</v>
      </c>
      <c r="J330" s="6">
        <f>IF(G330="Long",I330-H330,IF(G330="Short",H330-I330,0))</f>
        <v/>
      </c>
      <c r="K330" s="7" t="n">
        <v>100</v>
      </c>
      <c r="L330" s="5" t="inlineStr">
        <is>
          <t>Loss</t>
        </is>
      </c>
      <c r="M330" s="6">
        <f>M329+J330</f>
        <v/>
      </c>
    </row>
    <row r="331">
      <c r="A331" s="2" t="inlineStr">
        <is>
          <t>2022-01-18</t>
        </is>
      </c>
      <c r="B331" s="2" t="inlineStr">
        <is>
          <t>Tuesday</t>
        </is>
      </c>
      <c r="C331" s="2" t="inlineStr">
        <is>
          <t>MNQH2</t>
        </is>
      </c>
      <c r="D331" s="3" t="n">
        <v>15374.25</v>
      </c>
      <c r="E331" s="3" t="n">
        <v>15272.5</v>
      </c>
      <c r="F331" s="3">
        <f>D331-E331</f>
        <v/>
      </c>
      <c r="G331" s="2" t="inlineStr">
        <is>
          <t>Short</t>
        </is>
      </c>
      <c r="H331" s="3" t="n">
        <v>15272.5</v>
      </c>
      <c r="I331" s="3" t="n">
        <v>15170.75</v>
      </c>
      <c r="J331" s="3">
        <f>IF(G331="Long",I331-H331,IF(G331="Short",H331-I331,0))</f>
        <v/>
      </c>
      <c r="K331" s="4" t="n">
        <v>89.68000000000001</v>
      </c>
      <c r="L331" s="2" t="inlineStr">
        <is>
          <t>Win</t>
        </is>
      </c>
      <c r="M331" s="3">
        <f>M330+J331</f>
        <v/>
      </c>
    </row>
    <row r="332">
      <c r="A332" s="5" t="inlineStr">
        <is>
          <t>2022-01-19</t>
        </is>
      </c>
      <c r="B332" s="5" t="inlineStr">
        <is>
          <t>Wednesday</t>
        </is>
      </c>
      <c r="C332" s="5" t="inlineStr">
        <is>
          <t>MNQH2</t>
        </is>
      </c>
      <c r="D332" s="6" t="n">
        <v>15340</v>
      </c>
      <c r="E332" s="6" t="n">
        <v>15251.5</v>
      </c>
      <c r="F332" s="6">
        <f>D332-E332</f>
        <v/>
      </c>
      <c r="G332" s="5" t="inlineStr">
        <is>
          <t>Long</t>
        </is>
      </c>
      <c r="H332" s="6" t="n">
        <v>15340</v>
      </c>
      <c r="I332" s="6" t="n">
        <v>15251.5</v>
      </c>
      <c r="J332" s="6">
        <f>IF(G332="Long",I332-H332,IF(G332="Short",H332-I332,0))</f>
        <v/>
      </c>
      <c r="K332" s="7" t="n">
        <v>100</v>
      </c>
      <c r="L332" s="5" t="inlineStr">
        <is>
          <t>Loss</t>
        </is>
      </c>
      <c r="M332" s="6">
        <f>M331+J332</f>
        <v/>
      </c>
    </row>
    <row r="333">
      <c r="A333" s="2" t="inlineStr">
        <is>
          <t>2022-01-19</t>
        </is>
      </c>
      <c r="B333" s="2" t="inlineStr">
        <is>
          <t>Wednesday</t>
        </is>
      </c>
      <c r="C333" s="2" t="inlineStr">
        <is>
          <t>MNQH2</t>
        </is>
      </c>
      <c r="D333" s="3" t="n">
        <v>15340</v>
      </c>
      <c r="E333" s="3" t="n">
        <v>15251.5</v>
      </c>
      <c r="F333" s="3">
        <f>D333-E333</f>
        <v/>
      </c>
      <c r="G333" s="2" t="inlineStr">
        <is>
          <t>Short</t>
        </is>
      </c>
      <c r="H333" s="3" t="n">
        <v>15251.5</v>
      </c>
      <c r="I333" s="3" t="n">
        <v>15163</v>
      </c>
      <c r="J333" s="3">
        <f>IF(G333="Long",I333-H333,IF(G333="Short",H333-I333,0))</f>
        <v/>
      </c>
      <c r="K333" s="4" t="n">
        <v>0</v>
      </c>
      <c r="L333" s="2" t="inlineStr">
        <is>
          <t>Win</t>
        </is>
      </c>
      <c r="M333" s="3">
        <f>M332+J333</f>
        <v/>
      </c>
    </row>
    <row r="334">
      <c r="A334" s="5" t="inlineStr">
        <is>
          <t>2022-01-20</t>
        </is>
      </c>
      <c r="B334" s="5" t="inlineStr">
        <is>
          <t>Thursday</t>
        </is>
      </c>
      <c r="C334" s="5" t="inlineStr">
        <is>
          <t>MNQH2</t>
        </is>
      </c>
      <c r="D334" s="6" t="n">
        <v>15258.5</v>
      </c>
      <c r="E334" s="6" t="n">
        <v>15160.5</v>
      </c>
      <c r="F334" s="6">
        <f>D334-E334</f>
        <v/>
      </c>
      <c r="G334" s="5" t="inlineStr">
        <is>
          <t>Long</t>
        </is>
      </c>
      <c r="H334" s="6" t="n">
        <v>15258.5</v>
      </c>
      <c r="I334" s="6" t="n">
        <v>15160.5</v>
      </c>
      <c r="J334" s="6">
        <f>IF(G334="Long",I334-H334,IF(G334="Short",H334-I334,0))</f>
        <v/>
      </c>
      <c r="K334" s="7" t="n">
        <v>100</v>
      </c>
      <c r="L334" s="5" t="inlineStr">
        <is>
          <t>Loss</t>
        </is>
      </c>
      <c r="M334" s="6">
        <f>M333+J334</f>
        <v/>
      </c>
    </row>
    <row r="335">
      <c r="A335" s="2" t="inlineStr">
        <is>
          <t>2022-01-20</t>
        </is>
      </c>
      <c r="B335" s="2" t="inlineStr">
        <is>
          <t>Thursday</t>
        </is>
      </c>
      <c r="C335" s="2" t="inlineStr">
        <is>
          <t>MNQH2</t>
        </is>
      </c>
      <c r="D335" s="3" t="n">
        <v>15258.5</v>
      </c>
      <c r="E335" s="3" t="n">
        <v>15160.5</v>
      </c>
      <c r="F335" s="3">
        <f>D335-E335</f>
        <v/>
      </c>
      <c r="G335" s="2" t="inlineStr">
        <is>
          <t>Short</t>
        </is>
      </c>
      <c r="H335" s="3" t="n">
        <v>15160.5</v>
      </c>
      <c r="I335" s="3" t="n">
        <v>15062.5</v>
      </c>
      <c r="J335" s="3">
        <f>IF(G335="Long",I335-H335,IF(G335="Short",H335-I335,0))</f>
        <v/>
      </c>
      <c r="K335" s="4" t="n">
        <v>10.97</v>
      </c>
      <c r="L335" s="2" t="inlineStr">
        <is>
          <t>Win</t>
        </is>
      </c>
      <c r="M335" s="3">
        <f>M334+J335</f>
        <v/>
      </c>
    </row>
    <row r="336">
      <c r="A336" s="5" t="inlineStr">
        <is>
          <t>2022-01-21</t>
        </is>
      </c>
      <c r="B336" s="5" t="inlineStr">
        <is>
          <t>Friday</t>
        </is>
      </c>
      <c r="C336" s="5" t="inlineStr">
        <is>
          <t>MNQH2</t>
        </is>
      </c>
      <c r="D336" s="6" t="n">
        <v>14818.75</v>
      </c>
      <c r="E336" s="6" t="n">
        <v>14667.5</v>
      </c>
      <c r="F336" s="6">
        <f>D336-E336</f>
        <v/>
      </c>
      <c r="G336" s="5" t="inlineStr">
        <is>
          <t>Short</t>
        </is>
      </c>
      <c r="H336" s="6" t="n">
        <v>14667.5</v>
      </c>
      <c r="I336" s="6" t="n">
        <v>14818.75</v>
      </c>
      <c r="J336" s="6">
        <f>IF(G336="Long",I336-H336,IF(G336="Short",H336-I336,0))</f>
        <v/>
      </c>
      <c r="K336" s="7" t="n">
        <v>100</v>
      </c>
      <c r="L336" s="5" t="inlineStr">
        <is>
          <t>Loss</t>
        </is>
      </c>
      <c r="M336" s="6">
        <f>M335+J336</f>
        <v/>
      </c>
    </row>
    <row r="337">
      <c r="A337" s="5" t="inlineStr">
        <is>
          <t>2022-01-21</t>
        </is>
      </c>
      <c r="B337" s="5" t="inlineStr">
        <is>
          <t>Friday</t>
        </is>
      </c>
      <c r="C337" s="5" t="inlineStr">
        <is>
          <t>MNQH2</t>
        </is>
      </c>
      <c r="D337" s="6" t="n">
        <v>14818.75</v>
      </c>
      <c r="E337" s="6" t="n">
        <v>14667.5</v>
      </c>
      <c r="F337" s="6">
        <f>D337-E337</f>
        <v/>
      </c>
      <c r="G337" s="5" t="inlineStr">
        <is>
          <t>Long</t>
        </is>
      </c>
      <c r="H337" s="6" t="n">
        <v>14818.75</v>
      </c>
      <c r="I337" s="6" t="n">
        <v>14667.5</v>
      </c>
      <c r="J337" s="6">
        <f>IF(G337="Long",I337-H337,IF(G337="Short",H337-I337,0))</f>
        <v/>
      </c>
      <c r="K337" s="7" t="n">
        <v>100</v>
      </c>
      <c r="L337" s="5" t="inlineStr">
        <is>
          <t>Loss</t>
        </is>
      </c>
      <c r="M337" s="6">
        <f>M336+J337</f>
        <v/>
      </c>
    </row>
    <row r="338">
      <c r="A338" s="2" t="inlineStr">
        <is>
          <t>2022-01-24</t>
        </is>
      </c>
      <c r="B338" s="2" t="inlineStr">
        <is>
          <t>Monday</t>
        </is>
      </c>
      <c r="C338" s="2" t="inlineStr">
        <is>
          <t>MNQH2</t>
        </is>
      </c>
      <c r="D338" s="3" t="n">
        <v>14263.75</v>
      </c>
      <c r="E338" s="3" t="n">
        <v>14116.75</v>
      </c>
      <c r="F338" s="3">
        <f>D338-E338</f>
        <v/>
      </c>
      <c r="G338" s="2" t="inlineStr">
        <is>
          <t>Short</t>
        </is>
      </c>
      <c r="H338" s="3" t="n">
        <v>14116.75</v>
      </c>
      <c r="I338" s="3" t="n">
        <v>13969.75</v>
      </c>
      <c r="J338" s="3">
        <f>IF(G338="Long",I338-H338,IF(G338="Short",H338-I338,0))</f>
        <v/>
      </c>
      <c r="K338" s="4" t="n">
        <v>35.03</v>
      </c>
      <c r="L338" s="2" t="inlineStr">
        <is>
          <t>Win</t>
        </is>
      </c>
      <c r="M338" s="3">
        <f>M337+J338</f>
        <v/>
      </c>
    </row>
    <row r="339">
      <c r="A339" s="5" t="inlineStr">
        <is>
          <t>2022-01-24</t>
        </is>
      </c>
      <c r="B339" s="5" t="inlineStr">
        <is>
          <t>Monday</t>
        </is>
      </c>
      <c r="C339" s="5" t="inlineStr">
        <is>
          <t>MNQH2</t>
        </is>
      </c>
      <c r="D339" s="6" t="n">
        <v>14263.75</v>
      </c>
      <c r="E339" s="6" t="n">
        <v>14116.75</v>
      </c>
      <c r="F339" s="6">
        <f>D339-E339</f>
        <v/>
      </c>
      <c r="G339" s="5" t="inlineStr">
        <is>
          <t>Short</t>
        </is>
      </c>
      <c r="H339" s="6" t="n">
        <v>14116.75</v>
      </c>
      <c r="I339" s="6" t="n">
        <v>14263.75</v>
      </c>
      <c r="J339" s="6">
        <f>IF(G339="Long",I339-H339,IF(G339="Short",H339-I339,0))</f>
        <v/>
      </c>
      <c r="K339" s="7" t="n">
        <v>100</v>
      </c>
      <c r="L339" s="5" t="inlineStr">
        <is>
          <t>Loss</t>
        </is>
      </c>
      <c r="M339" s="6">
        <f>M338+J339</f>
        <v/>
      </c>
    </row>
    <row r="340">
      <c r="A340" s="2" t="inlineStr">
        <is>
          <t>2022-01-25</t>
        </is>
      </c>
      <c r="B340" s="2" t="inlineStr">
        <is>
          <t>Tuesday</t>
        </is>
      </c>
      <c r="C340" s="2" t="inlineStr">
        <is>
          <t>MNQH2</t>
        </is>
      </c>
      <c r="D340" s="3" t="n">
        <v>14304.75</v>
      </c>
      <c r="E340" s="3" t="n">
        <v>14184</v>
      </c>
      <c r="F340" s="3">
        <f>D340-E340</f>
        <v/>
      </c>
      <c r="G340" s="2" t="inlineStr">
        <is>
          <t>Short</t>
        </is>
      </c>
      <c r="H340" s="3" t="n">
        <v>14184</v>
      </c>
      <c r="I340" s="3" t="n">
        <v>14063.25</v>
      </c>
      <c r="J340" s="3">
        <f>IF(G340="Long",I340-H340,IF(G340="Short",H340-I340,0))</f>
        <v/>
      </c>
      <c r="K340" s="4" t="n">
        <v>0</v>
      </c>
      <c r="L340" s="2" t="inlineStr">
        <is>
          <t>Win</t>
        </is>
      </c>
      <c r="M340" s="3">
        <f>M339+J340</f>
        <v/>
      </c>
    </row>
    <row r="341">
      <c r="A341" s="2" t="inlineStr">
        <is>
          <t>2022-01-25</t>
        </is>
      </c>
      <c r="B341" s="2" t="inlineStr">
        <is>
          <t>Tuesday</t>
        </is>
      </c>
      <c r="C341" s="2" t="inlineStr">
        <is>
          <t>MNQH2</t>
        </is>
      </c>
      <c r="D341" s="3" t="n">
        <v>14304.75</v>
      </c>
      <c r="E341" s="3" t="n">
        <v>14184</v>
      </c>
      <c r="F341" s="3">
        <f>D341-E341</f>
        <v/>
      </c>
      <c r="G341" s="2" t="inlineStr">
        <is>
          <t>Short</t>
        </is>
      </c>
      <c r="H341" s="3" t="n">
        <v>14184</v>
      </c>
      <c r="I341" s="3" t="n">
        <v>14063.25</v>
      </c>
      <c r="J341" s="3">
        <f>IF(G341="Long",I341-H341,IF(G341="Short",H341-I341,0))</f>
        <v/>
      </c>
      <c r="K341" s="4" t="n">
        <v>48.86</v>
      </c>
      <c r="L341" s="2" t="inlineStr">
        <is>
          <t>Win</t>
        </is>
      </c>
      <c r="M341" s="3">
        <f>M340+J341</f>
        <v/>
      </c>
    </row>
    <row r="342">
      <c r="A342" s="5" t="inlineStr">
        <is>
          <t>2022-01-26</t>
        </is>
      </c>
      <c r="B342" s="5" t="inlineStr">
        <is>
          <t>Wednesday</t>
        </is>
      </c>
      <c r="C342" s="5" t="inlineStr">
        <is>
          <t>MNQH2</t>
        </is>
      </c>
      <c r="D342" s="6" t="n">
        <v>14499.75</v>
      </c>
      <c r="E342" s="6" t="n">
        <v>14350</v>
      </c>
      <c r="F342" s="6">
        <f>D342-E342</f>
        <v/>
      </c>
      <c r="G342" s="5" t="inlineStr">
        <is>
          <t>Long</t>
        </is>
      </c>
      <c r="H342" s="6" t="n">
        <v>14499.75</v>
      </c>
      <c r="I342" s="6" t="n">
        <v>14350</v>
      </c>
      <c r="J342" s="6">
        <f>IF(G342="Long",I342-H342,IF(G342="Short",H342-I342,0))</f>
        <v/>
      </c>
      <c r="K342" s="7" t="n">
        <v>100</v>
      </c>
      <c r="L342" s="5" t="inlineStr">
        <is>
          <t>Loss</t>
        </is>
      </c>
      <c r="M342" s="6">
        <f>M341+J342</f>
        <v/>
      </c>
    </row>
    <row r="343">
      <c r="A343" s="5" t="inlineStr">
        <is>
          <t>2022-01-26</t>
        </is>
      </c>
      <c r="B343" s="5" t="inlineStr">
        <is>
          <t>Wednesday</t>
        </is>
      </c>
      <c r="C343" s="5" t="inlineStr">
        <is>
          <t>MNQH2</t>
        </is>
      </c>
      <c r="D343" s="6" t="n">
        <v>14499.75</v>
      </c>
      <c r="E343" s="6" t="n">
        <v>14350</v>
      </c>
      <c r="F343" s="6">
        <f>D343-E343</f>
        <v/>
      </c>
      <c r="G343" s="5" t="inlineStr">
        <is>
          <t>Short</t>
        </is>
      </c>
      <c r="H343" s="6" t="n">
        <v>14350</v>
      </c>
      <c r="I343" s="6" t="n">
        <v>14499.75</v>
      </c>
      <c r="J343" s="6">
        <f>IF(G343="Long",I343-H343,IF(G343="Short",H343-I343,0))</f>
        <v/>
      </c>
      <c r="K343" s="7" t="n">
        <v>100</v>
      </c>
      <c r="L343" s="5" t="inlineStr">
        <is>
          <t>Loss</t>
        </is>
      </c>
      <c r="M343" s="6">
        <f>M342+J343</f>
        <v/>
      </c>
    </row>
    <row r="344">
      <c r="A344" s="5" t="inlineStr">
        <is>
          <t>2022-01-27</t>
        </is>
      </c>
      <c r="B344" s="5" t="inlineStr">
        <is>
          <t>Thursday</t>
        </is>
      </c>
      <c r="C344" s="5" t="inlineStr">
        <is>
          <t>MNQH2</t>
        </is>
      </c>
      <c r="D344" s="6" t="n">
        <v>14354</v>
      </c>
      <c r="E344" s="6" t="n">
        <v>14231.75</v>
      </c>
      <c r="F344" s="6">
        <f>D344-E344</f>
        <v/>
      </c>
      <c r="G344" s="5" t="inlineStr">
        <is>
          <t>Long</t>
        </is>
      </c>
      <c r="H344" s="6" t="n">
        <v>14354</v>
      </c>
      <c r="I344" s="6" t="n">
        <v>14231.75</v>
      </c>
      <c r="J344" s="6">
        <f>IF(G344="Long",I344-H344,IF(G344="Short",H344-I344,0))</f>
        <v/>
      </c>
      <c r="K344" s="7" t="n">
        <v>100</v>
      </c>
      <c r="L344" s="5" t="inlineStr">
        <is>
          <t>Loss</t>
        </is>
      </c>
      <c r="M344" s="6">
        <f>M343+J344</f>
        <v/>
      </c>
    </row>
    <row r="345">
      <c r="A345" s="2" t="inlineStr">
        <is>
          <t>2022-01-27</t>
        </is>
      </c>
      <c r="B345" s="2" t="inlineStr">
        <is>
          <t>Thursday</t>
        </is>
      </c>
      <c r="C345" s="2" t="inlineStr">
        <is>
          <t>MNQH2</t>
        </is>
      </c>
      <c r="D345" s="3" t="n">
        <v>14354</v>
      </c>
      <c r="E345" s="3" t="n">
        <v>14231.75</v>
      </c>
      <c r="F345" s="3">
        <f>D345-E345</f>
        <v/>
      </c>
      <c r="G345" s="2" t="inlineStr">
        <is>
          <t>Short</t>
        </is>
      </c>
      <c r="H345" s="3" t="n">
        <v>14231.75</v>
      </c>
      <c r="I345" s="3" t="n">
        <v>14109.5</v>
      </c>
      <c r="J345" s="3">
        <f>IF(G345="Long",I345-H345,IF(G345="Short",H345-I345,0))</f>
        <v/>
      </c>
      <c r="K345" s="4" t="n">
        <v>98.36</v>
      </c>
      <c r="L345" s="2" t="inlineStr">
        <is>
          <t>Win</t>
        </is>
      </c>
      <c r="M345" s="3">
        <f>M344+J345</f>
        <v/>
      </c>
    </row>
    <row r="346">
      <c r="A346" s="2" t="inlineStr">
        <is>
          <t>2022-01-28</t>
        </is>
      </c>
      <c r="B346" s="2" t="inlineStr">
        <is>
          <t>Friday</t>
        </is>
      </c>
      <c r="C346" s="2" t="inlineStr">
        <is>
          <t>MNQH2</t>
        </is>
      </c>
      <c r="D346" s="3" t="n">
        <v>14102.25</v>
      </c>
      <c r="E346" s="3" t="n">
        <v>13893</v>
      </c>
      <c r="F346" s="3">
        <f>D346-E346</f>
        <v/>
      </c>
      <c r="G346" s="2" t="inlineStr">
        <is>
          <t>Long</t>
        </is>
      </c>
      <c r="H346" s="3" t="n">
        <v>14102.25</v>
      </c>
      <c r="I346" s="3" t="n">
        <v>14311.5</v>
      </c>
      <c r="J346" s="3">
        <f>IF(G346="Long",I346-H346,IF(G346="Short",H346-I346,0))</f>
        <v/>
      </c>
      <c r="K346" s="4" t="n">
        <v>9.199999999999999</v>
      </c>
      <c r="L346" s="2" t="inlineStr">
        <is>
          <t>Win</t>
        </is>
      </c>
      <c r="M346" s="3">
        <f>M345+J346</f>
        <v/>
      </c>
    </row>
    <row r="347">
      <c r="A347" s="2" t="inlineStr">
        <is>
          <t>2022-01-28</t>
        </is>
      </c>
      <c r="B347" s="2" t="inlineStr">
        <is>
          <t>Friday</t>
        </is>
      </c>
      <c r="C347" s="2" t="inlineStr">
        <is>
          <t>MNQH2</t>
        </is>
      </c>
      <c r="D347" s="3" t="n">
        <v>14102.25</v>
      </c>
      <c r="E347" s="3" t="n">
        <v>13893</v>
      </c>
      <c r="F347" s="3">
        <f>D347-E347</f>
        <v/>
      </c>
      <c r="G347" s="2" t="inlineStr">
        <is>
          <t>Long</t>
        </is>
      </c>
      <c r="H347" s="3" t="n">
        <v>14102.25</v>
      </c>
      <c r="I347" s="3" t="n">
        <v>14311.5</v>
      </c>
      <c r="J347" s="3">
        <f>IF(G347="Long",I347-H347,IF(G347="Short",H347-I347,0))</f>
        <v/>
      </c>
      <c r="K347" s="4" t="n">
        <v>20.91</v>
      </c>
      <c r="L347" s="2" t="inlineStr">
        <is>
          <t>Win</t>
        </is>
      </c>
      <c r="M347" s="3">
        <f>M346+J347</f>
        <v/>
      </c>
    </row>
    <row r="348">
      <c r="A348" s="2" t="inlineStr">
        <is>
          <t>2022-01-31</t>
        </is>
      </c>
      <c r="B348" s="2" t="inlineStr">
        <is>
          <t>Monday</t>
        </is>
      </c>
      <c r="C348" s="2" t="inlineStr">
        <is>
          <t>MNQH2</t>
        </is>
      </c>
      <c r="D348" s="3" t="n">
        <v>14584</v>
      </c>
      <c r="E348" s="3" t="n">
        <v>14416.25</v>
      </c>
      <c r="F348" s="3">
        <f>D348-E348</f>
        <v/>
      </c>
      <c r="G348" s="2" t="inlineStr">
        <is>
          <t>Long</t>
        </is>
      </c>
      <c r="H348" s="3" t="n">
        <v>14584</v>
      </c>
      <c r="I348" s="3" t="n">
        <v>14751.75</v>
      </c>
      <c r="J348" s="3">
        <f>IF(G348="Long",I348-H348,IF(G348="Short",H348-I348,0))</f>
        <v/>
      </c>
      <c r="K348" s="4" t="n">
        <v>0</v>
      </c>
      <c r="L348" s="2" t="inlineStr">
        <is>
          <t>Win</t>
        </is>
      </c>
      <c r="M348" s="3">
        <f>M347+J348</f>
        <v/>
      </c>
    </row>
    <row r="349">
      <c r="A349" s="5" t="inlineStr">
        <is>
          <t>2022-02-01</t>
        </is>
      </c>
      <c r="B349" s="5" t="inlineStr">
        <is>
          <t>Tuesday</t>
        </is>
      </c>
      <c r="C349" s="5" t="inlineStr">
        <is>
          <t>MNQH2</t>
        </is>
      </c>
      <c r="D349" s="6" t="n">
        <v>14952</v>
      </c>
      <c r="E349" s="6" t="n">
        <v>14787</v>
      </c>
      <c r="F349" s="6">
        <f>D349-E349</f>
        <v/>
      </c>
      <c r="G349" s="5" t="inlineStr">
        <is>
          <t>Short</t>
        </is>
      </c>
      <c r="H349" s="6" t="n">
        <v>14787</v>
      </c>
      <c r="I349" s="6" t="n">
        <v>14952</v>
      </c>
      <c r="J349" s="6">
        <f>IF(G349="Long",I349-H349,IF(G349="Short",H349-I349,0))</f>
        <v/>
      </c>
      <c r="K349" s="7" t="n">
        <v>100</v>
      </c>
      <c r="L349" s="5" t="inlineStr">
        <is>
          <t>Loss</t>
        </is>
      </c>
      <c r="M349" s="6">
        <f>M348+J349</f>
        <v/>
      </c>
    </row>
    <row r="350">
      <c r="A350" s="8" t="inlineStr">
        <is>
          <t>2022-02-01</t>
        </is>
      </c>
      <c r="B350" s="8" t="inlineStr">
        <is>
          <t>Tuesday</t>
        </is>
      </c>
      <c r="C350" s="8" t="inlineStr">
        <is>
          <t>MNQH2</t>
        </is>
      </c>
      <c r="D350" s="9" t="n">
        <v>14952</v>
      </c>
      <c r="E350" s="9" t="n">
        <v>14787</v>
      </c>
      <c r="F350" s="9">
        <f>D350-E350</f>
        <v/>
      </c>
      <c r="G350" s="8" t="inlineStr">
        <is>
          <t>Long</t>
        </is>
      </c>
      <c r="H350" s="9" t="n">
        <v>14952</v>
      </c>
      <c r="I350" s="9" t="n">
        <v>14991.25</v>
      </c>
      <c r="J350" s="9">
        <f>IF(G350="Long",I350-H350,IF(G350="Short",H350-I350,0))</f>
        <v/>
      </c>
      <c r="K350" s="10" t="n">
        <v>15.61</v>
      </c>
      <c r="L350" s="8" t="inlineStr">
        <is>
          <t>EOD-Close</t>
        </is>
      </c>
      <c r="M350" s="9">
        <f>M349+J350</f>
        <v/>
      </c>
    </row>
    <row r="351">
      <c r="A351" s="2" t="inlineStr">
        <is>
          <t>2022-02-02</t>
        </is>
      </c>
      <c r="B351" s="2" t="inlineStr">
        <is>
          <t>Wednesday</t>
        </is>
      </c>
      <c r="C351" s="2" t="inlineStr">
        <is>
          <t>MNQH2</t>
        </is>
      </c>
      <c r="D351" s="3" t="n">
        <v>15178</v>
      </c>
      <c r="E351" s="3" t="n">
        <v>15063</v>
      </c>
      <c r="F351" s="3">
        <f>D351-E351</f>
        <v/>
      </c>
      <c r="G351" s="2" t="inlineStr">
        <is>
          <t>Short</t>
        </is>
      </c>
      <c r="H351" s="3" t="n">
        <v>15063</v>
      </c>
      <c r="I351" s="3" t="n">
        <v>14948</v>
      </c>
      <c r="J351" s="3">
        <f>IF(G351="Long",I351-H351,IF(G351="Short",H351-I351,0))</f>
        <v/>
      </c>
      <c r="K351" s="4" t="n">
        <v>91.95999999999999</v>
      </c>
      <c r="L351" s="2" t="inlineStr">
        <is>
          <t>Win</t>
        </is>
      </c>
      <c r="M351" s="3">
        <f>M350+J351</f>
        <v/>
      </c>
    </row>
    <row r="352">
      <c r="A352" s="8" t="inlineStr">
        <is>
          <t>2022-02-02</t>
        </is>
      </c>
      <c r="B352" s="8" t="inlineStr">
        <is>
          <t>Wednesday</t>
        </is>
      </c>
      <c r="C352" s="8" t="inlineStr">
        <is>
          <t>MNQH2</t>
        </is>
      </c>
      <c r="D352" s="9" t="n">
        <v>15178</v>
      </c>
      <c r="E352" s="9" t="n">
        <v>15063</v>
      </c>
      <c r="F352" s="9">
        <f>D352-E352</f>
        <v/>
      </c>
      <c r="G352" s="8" t="inlineStr">
        <is>
          <t>Short</t>
        </is>
      </c>
      <c r="H352" s="9" t="n">
        <v>15063</v>
      </c>
      <c r="I352" s="9" t="n">
        <v>15114.25</v>
      </c>
      <c r="J352" s="9">
        <f>IF(G352="Long",I352-H352,IF(G352="Short",H352-I352,0))</f>
        <v/>
      </c>
      <c r="K352" s="10" t="n">
        <v>78.04000000000001</v>
      </c>
      <c r="L352" s="8" t="inlineStr">
        <is>
          <t>EOD-Close</t>
        </is>
      </c>
      <c r="M352" s="9">
        <f>M351+J352</f>
        <v/>
      </c>
    </row>
    <row r="353">
      <c r="A353" s="5" t="inlineStr">
        <is>
          <t>2022-02-03</t>
        </is>
      </c>
      <c r="B353" s="5" t="inlineStr">
        <is>
          <t>Thursday</t>
        </is>
      </c>
      <c r="C353" s="5" t="inlineStr">
        <is>
          <t>MNQH2</t>
        </is>
      </c>
      <c r="D353" s="6" t="n">
        <v>14799.25</v>
      </c>
      <c r="E353" s="6" t="n">
        <v>14677.25</v>
      </c>
      <c r="F353" s="6">
        <f>D353-E353</f>
        <v/>
      </c>
      <c r="G353" s="5" t="inlineStr">
        <is>
          <t>Long</t>
        </is>
      </c>
      <c r="H353" s="6" t="n">
        <v>14799.25</v>
      </c>
      <c r="I353" s="6" t="n">
        <v>14677.25</v>
      </c>
      <c r="J353" s="6">
        <f>IF(G353="Long",I353-H353,IF(G353="Short",H353-I353,0))</f>
        <v/>
      </c>
      <c r="K353" s="7" t="n">
        <v>100</v>
      </c>
      <c r="L353" s="5" t="inlineStr">
        <is>
          <t>Loss</t>
        </is>
      </c>
      <c r="M353" s="6">
        <f>M352+J353</f>
        <v/>
      </c>
    </row>
    <row r="354">
      <c r="A354" s="2" t="inlineStr">
        <is>
          <t>2022-02-03</t>
        </is>
      </c>
      <c r="B354" s="2" t="inlineStr">
        <is>
          <t>Thursday</t>
        </is>
      </c>
      <c r="C354" s="2" t="inlineStr">
        <is>
          <t>MNQH2</t>
        </is>
      </c>
      <c r="D354" s="3" t="n">
        <v>14799.25</v>
      </c>
      <c r="E354" s="3" t="n">
        <v>14677.25</v>
      </c>
      <c r="F354" s="3">
        <f>D354-E354</f>
        <v/>
      </c>
      <c r="G354" s="2" t="inlineStr">
        <is>
          <t>Short</t>
        </is>
      </c>
      <c r="H354" s="3" t="n">
        <v>14677.25</v>
      </c>
      <c r="I354" s="3" t="n">
        <v>14555.25</v>
      </c>
      <c r="J354" s="3">
        <f>IF(G354="Long",I354-H354,IF(G354="Short",H354-I354,0))</f>
        <v/>
      </c>
      <c r="K354" s="4" t="n">
        <v>28.89</v>
      </c>
      <c r="L354" s="2" t="inlineStr">
        <is>
          <t>Win</t>
        </is>
      </c>
      <c r="M354" s="3">
        <f>M353+J354</f>
        <v/>
      </c>
    </row>
    <row r="355">
      <c r="A355" s="2" t="inlineStr">
        <is>
          <t>2022-02-04</t>
        </is>
      </c>
      <c r="B355" s="2" t="inlineStr">
        <is>
          <t>Friday</t>
        </is>
      </c>
      <c r="C355" s="2" t="inlineStr">
        <is>
          <t>MNQH2</t>
        </is>
      </c>
      <c r="D355" s="3" t="n">
        <v>14579.75</v>
      </c>
      <c r="E355" s="3" t="n">
        <v>14433</v>
      </c>
      <c r="F355" s="3">
        <f>D355-E355</f>
        <v/>
      </c>
      <c r="G355" s="2" t="inlineStr">
        <is>
          <t>Long</t>
        </is>
      </c>
      <c r="H355" s="3" t="n">
        <v>14579.75</v>
      </c>
      <c r="I355" s="3" t="n">
        <v>14726.5</v>
      </c>
      <c r="J355" s="3">
        <f>IF(G355="Long",I355-H355,IF(G355="Short",H355-I355,0))</f>
        <v/>
      </c>
      <c r="K355" s="4" t="n">
        <v>93.87</v>
      </c>
      <c r="L355" s="2" t="inlineStr">
        <is>
          <t>Win</t>
        </is>
      </c>
      <c r="M355" s="3">
        <f>M354+J355</f>
        <v/>
      </c>
    </row>
    <row r="356">
      <c r="A356" s="5" t="inlineStr">
        <is>
          <t>2022-02-07</t>
        </is>
      </c>
      <c r="B356" s="5" t="inlineStr">
        <is>
          <t>Monday</t>
        </is>
      </c>
      <c r="C356" s="5" t="inlineStr">
        <is>
          <t>MNQH2</t>
        </is>
      </c>
      <c r="D356" s="6" t="n">
        <v>14782.25</v>
      </c>
      <c r="E356" s="6" t="n">
        <v>14670.25</v>
      </c>
      <c r="F356" s="6">
        <f>D356-E356</f>
        <v/>
      </c>
      <c r="G356" s="5" t="inlineStr">
        <is>
          <t>Long</t>
        </is>
      </c>
      <c r="H356" s="6" t="n">
        <v>14782.25</v>
      </c>
      <c r="I356" s="6" t="n">
        <v>14670.25</v>
      </c>
      <c r="J356" s="6">
        <f>IF(G356="Long",I356-H356,IF(G356="Short",H356-I356,0))</f>
        <v/>
      </c>
      <c r="K356" s="7" t="n">
        <v>100</v>
      </c>
      <c r="L356" s="5" t="inlineStr">
        <is>
          <t>Loss</t>
        </is>
      </c>
      <c r="M356" s="6">
        <f>M355+J356</f>
        <v/>
      </c>
    </row>
    <row r="357">
      <c r="A357" s="2" t="inlineStr">
        <is>
          <t>2022-02-07</t>
        </is>
      </c>
      <c r="B357" s="2" t="inlineStr">
        <is>
          <t>Monday</t>
        </is>
      </c>
      <c r="C357" s="2" t="inlineStr">
        <is>
          <t>MNQH2</t>
        </is>
      </c>
      <c r="D357" s="3" t="n">
        <v>14782.25</v>
      </c>
      <c r="E357" s="3" t="n">
        <v>14670.25</v>
      </c>
      <c r="F357" s="3">
        <f>D357-E357</f>
        <v/>
      </c>
      <c r="G357" s="2" t="inlineStr">
        <is>
          <t>Short</t>
        </is>
      </c>
      <c r="H357" s="3" t="n">
        <v>14670.25</v>
      </c>
      <c r="I357" s="3" t="n">
        <v>14558.25</v>
      </c>
      <c r="J357" s="3">
        <f>IF(G357="Long",I357-H357,IF(G357="Short",H357-I357,0))</f>
        <v/>
      </c>
      <c r="K357" s="4" t="n">
        <v>19.2</v>
      </c>
      <c r="L357" s="2" t="inlineStr">
        <is>
          <t>Win</t>
        </is>
      </c>
      <c r="M357" s="3">
        <f>M356+J357</f>
        <v/>
      </c>
    </row>
    <row r="358">
      <c r="A358" s="5" t="inlineStr">
        <is>
          <t>2022-02-08</t>
        </is>
      </c>
      <c r="B358" s="5" t="inlineStr">
        <is>
          <t>Tuesday</t>
        </is>
      </c>
      <c r="C358" s="5" t="inlineStr">
        <is>
          <t>MNQH2</t>
        </is>
      </c>
      <c r="D358" s="6" t="n">
        <v>14588.25</v>
      </c>
      <c r="E358" s="6" t="n">
        <v>14501</v>
      </c>
      <c r="F358" s="6">
        <f>D358-E358</f>
        <v/>
      </c>
      <c r="G358" s="5" t="inlineStr">
        <is>
          <t>Short</t>
        </is>
      </c>
      <c r="H358" s="6" t="n">
        <v>14501</v>
      </c>
      <c r="I358" s="6" t="n">
        <v>14588.25</v>
      </c>
      <c r="J358" s="6">
        <f>IF(G358="Long",I358-H358,IF(G358="Short",H358-I358,0))</f>
        <v/>
      </c>
      <c r="K358" s="7" t="n">
        <v>100</v>
      </c>
      <c r="L358" s="5" t="inlineStr">
        <is>
          <t>Loss</t>
        </is>
      </c>
      <c r="M358" s="6">
        <f>M357+J358</f>
        <v/>
      </c>
    </row>
    <row r="359">
      <c r="A359" s="2" t="inlineStr">
        <is>
          <t>2022-02-08</t>
        </is>
      </c>
      <c r="B359" s="2" t="inlineStr">
        <is>
          <t>Tuesday</t>
        </is>
      </c>
      <c r="C359" s="2" t="inlineStr">
        <is>
          <t>MNQH2</t>
        </is>
      </c>
      <c r="D359" s="3" t="n">
        <v>14588.25</v>
      </c>
      <c r="E359" s="3" t="n">
        <v>14501</v>
      </c>
      <c r="F359" s="3">
        <f>D359-E359</f>
        <v/>
      </c>
      <c r="G359" s="2" t="inlineStr">
        <is>
          <t>Long</t>
        </is>
      </c>
      <c r="H359" s="3" t="n">
        <v>14588.25</v>
      </c>
      <c r="I359" s="3" t="n">
        <v>14675.5</v>
      </c>
      <c r="J359" s="3">
        <f>IF(G359="Long",I359-H359,IF(G359="Short",H359-I359,0))</f>
        <v/>
      </c>
      <c r="K359" s="4" t="n">
        <v>8.02</v>
      </c>
      <c r="L359" s="2" t="inlineStr">
        <is>
          <t>Win</t>
        </is>
      </c>
      <c r="M359" s="3">
        <f>M358+J359</f>
        <v/>
      </c>
    </row>
    <row r="360">
      <c r="A360" s="5" t="inlineStr">
        <is>
          <t>2022-02-09</t>
        </is>
      </c>
      <c r="B360" s="5" t="inlineStr">
        <is>
          <t>Wednesday</t>
        </is>
      </c>
      <c r="C360" s="5" t="inlineStr">
        <is>
          <t>MNQH2</t>
        </is>
      </c>
      <c r="D360" s="6" t="n">
        <v>14951.5</v>
      </c>
      <c r="E360" s="6" t="n">
        <v>14888.5</v>
      </c>
      <c r="F360" s="6">
        <f>D360-E360</f>
        <v/>
      </c>
      <c r="G360" s="5" t="inlineStr">
        <is>
          <t>Short</t>
        </is>
      </c>
      <c r="H360" s="6" t="n">
        <v>14888.5</v>
      </c>
      <c r="I360" s="6" t="n">
        <v>14951.5</v>
      </c>
      <c r="J360" s="6">
        <f>IF(G360="Long",I360-H360,IF(G360="Short",H360-I360,0))</f>
        <v/>
      </c>
      <c r="K360" s="7" t="n">
        <v>100</v>
      </c>
      <c r="L360" s="5" t="inlineStr">
        <is>
          <t>Loss</t>
        </is>
      </c>
      <c r="M360" s="6">
        <f>M359+J360</f>
        <v/>
      </c>
    </row>
    <row r="361">
      <c r="A361" s="2" t="inlineStr">
        <is>
          <t>2022-02-09</t>
        </is>
      </c>
      <c r="B361" s="2" t="inlineStr">
        <is>
          <t>Wednesday</t>
        </is>
      </c>
      <c r="C361" s="2" t="inlineStr">
        <is>
          <t>MNQH2</t>
        </is>
      </c>
      <c r="D361" s="3" t="n">
        <v>14951.5</v>
      </c>
      <c r="E361" s="3" t="n">
        <v>14888.5</v>
      </c>
      <c r="F361" s="3">
        <f>D361-E361</f>
        <v/>
      </c>
      <c r="G361" s="2" t="inlineStr">
        <is>
          <t>Long</t>
        </is>
      </c>
      <c r="H361" s="3" t="n">
        <v>14951.5</v>
      </c>
      <c r="I361" s="3" t="n">
        <v>15014.5</v>
      </c>
      <c r="J361" s="3">
        <f>IF(G361="Long",I361-H361,IF(G361="Short",H361-I361,0))</f>
        <v/>
      </c>
      <c r="K361" s="4" t="n">
        <v>66.67</v>
      </c>
      <c r="L361" s="2" t="inlineStr">
        <is>
          <t>Win</t>
        </is>
      </c>
      <c r="M361" s="3">
        <f>M360+J361</f>
        <v/>
      </c>
    </row>
    <row r="362">
      <c r="A362" s="2" t="inlineStr">
        <is>
          <t>2022-02-10</t>
        </is>
      </c>
      <c r="B362" s="2" t="inlineStr">
        <is>
          <t>Thursday</t>
        </is>
      </c>
      <c r="C362" s="2" t="inlineStr">
        <is>
          <t>MNQH2</t>
        </is>
      </c>
      <c r="D362" s="3" t="n">
        <v>14855.25</v>
      </c>
      <c r="E362" s="3" t="n">
        <v>14735.25</v>
      </c>
      <c r="F362" s="3">
        <f>D362-E362</f>
        <v/>
      </c>
      <c r="G362" s="2" t="inlineStr">
        <is>
          <t>Long</t>
        </is>
      </c>
      <c r="H362" s="3" t="n">
        <v>14855.25</v>
      </c>
      <c r="I362" s="3" t="n">
        <v>14975.25</v>
      </c>
      <c r="J362" s="3">
        <f>IF(G362="Long",I362-H362,IF(G362="Short",H362-I362,0))</f>
        <v/>
      </c>
      <c r="K362" s="4" t="n">
        <v>0</v>
      </c>
      <c r="L362" s="2" t="inlineStr">
        <is>
          <t>Win</t>
        </is>
      </c>
      <c r="M362" s="3">
        <f>M361+J362</f>
        <v/>
      </c>
    </row>
    <row r="363">
      <c r="A363" s="2" t="inlineStr">
        <is>
          <t>2022-02-10</t>
        </is>
      </c>
      <c r="B363" s="2" t="inlineStr">
        <is>
          <t>Thursday</t>
        </is>
      </c>
      <c r="C363" s="2" t="inlineStr">
        <is>
          <t>MNQH2</t>
        </is>
      </c>
      <c r="D363" s="3" t="n">
        <v>14855.25</v>
      </c>
      <c r="E363" s="3" t="n">
        <v>14735.25</v>
      </c>
      <c r="F363" s="3">
        <f>D363-E363</f>
        <v/>
      </c>
      <c r="G363" s="2" t="inlineStr">
        <is>
          <t>Long</t>
        </is>
      </c>
      <c r="H363" s="3" t="n">
        <v>14855.25</v>
      </c>
      <c r="I363" s="3" t="n">
        <v>14975.25</v>
      </c>
      <c r="J363" s="3">
        <f>IF(G363="Long",I363-H363,IF(G363="Short",H363-I363,0))</f>
        <v/>
      </c>
      <c r="K363" s="4" t="n">
        <v>2.71</v>
      </c>
      <c r="L363" s="2" t="inlineStr">
        <is>
          <t>Win</t>
        </is>
      </c>
      <c r="M363" s="3">
        <f>M362+J363</f>
        <v/>
      </c>
    </row>
    <row r="364">
      <c r="A364" s="2" t="inlineStr">
        <is>
          <t>2022-02-11</t>
        </is>
      </c>
      <c r="B364" s="2" t="inlineStr">
        <is>
          <t>Friday</t>
        </is>
      </c>
      <c r="C364" s="2" t="inlineStr">
        <is>
          <t>MNQH2</t>
        </is>
      </c>
      <c r="D364" s="3" t="n">
        <v>14750.5</v>
      </c>
      <c r="E364" s="3" t="n">
        <v>14656.25</v>
      </c>
      <c r="F364" s="3">
        <f>D364-E364</f>
        <v/>
      </c>
      <c r="G364" s="2" t="inlineStr">
        <is>
          <t>Short</t>
        </is>
      </c>
      <c r="H364" s="3" t="n">
        <v>14656.25</v>
      </c>
      <c r="I364" s="3" t="n">
        <v>14562</v>
      </c>
      <c r="J364" s="3">
        <f>IF(G364="Long",I364-H364,IF(G364="Short",H364-I364,0))</f>
        <v/>
      </c>
      <c r="K364" s="4" t="n">
        <v>72.68000000000001</v>
      </c>
      <c r="L364" s="2" t="inlineStr">
        <is>
          <t>Win</t>
        </is>
      </c>
      <c r="M364" s="3">
        <f>M363+J364</f>
        <v/>
      </c>
    </row>
    <row r="365">
      <c r="A365" s="5" t="inlineStr">
        <is>
          <t>2022-02-14</t>
        </is>
      </c>
      <c r="B365" s="5" t="inlineStr">
        <is>
          <t>Monday</t>
        </is>
      </c>
      <c r="C365" s="5" t="inlineStr">
        <is>
          <t>MNQH2</t>
        </is>
      </c>
      <c r="D365" s="6" t="n">
        <v>14288.25</v>
      </c>
      <c r="E365" s="6" t="n">
        <v>14182.25</v>
      </c>
      <c r="F365" s="6">
        <f>D365-E365</f>
        <v/>
      </c>
      <c r="G365" s="5" t="inlineStr">
        <is>
          <t>Long</t>
        </is>
      </c>
      <c r="H365" s="6" t="n">
        <v>14288.25</v>
      </c>
      <c r="I365" s="6" t="n">
        <v>14182.25</v>
      </c>
      <c r="J365" s="6">
        <f>IF(G365="Long",I365-H365,IF(G365="Short",H365-I365,0))</f>
        <v/>
      </c>
      <c r="K365" s="7" t="n">
        <v>100</v>
      </c>
      <c r="L365" s="5" t="inlineStr">
        <is>
          <t>Loss</t>
        </is>
      </c>
      <c r="M365" s="6">
        <f>M364+J365</f>
        <v/>
      </c>
    </row>
    <row r="366">
      <c r="A366" s="5" t="inlineStr">
        <is>
          <t>2022-02-14</t>
        </is>
      </c>
      <c r="B366" s="5" t="inlineStr">
        <is>
          <t>Monday</t>
        </is>
      </c>
      <c r="C366" s="5" t="inlineStr">
        <is>
          <t>MNQH2</t>
        </is>
      </c>
      <c r="D366" s="6" t="n">
        <v>14288.25</v>
      </c>
      <c r="E366" s="6" t="n">
        <v>14182.25</v>
      </c>
      <c r="F366" s="6">
        <f>D366-E366</f>
        <v/>
      </c>
      <c r="G366" s="5" t="inlineStr">
        <is>
          <t>Short</t>
        </is>
      </c>
      <c r="H366" s="6" t="n">
        <v>14182.25</v>
      </c>
      <c r="I366" s="6" t="n">
        <v>14288.25</v>
      </c>
      <c r="J366" s="6">
        <f>IF(G366="Long",I366-H366,IF(G366="Short",H366-I366,0))</f>
        <v/>
      </c>
      <c r="K366" s="7" t="n">
        <v>100</v>
      </c>
      <c r="L366" s="5" t="inlineStr">
        <is>
          <t>Loss</t>
        </is>
      </c>
      <c r="M366" s="6">
        <f>M365+J366</f>
        <v/>
      </c>
    </row>
    <row r="367">
      <c r="A367" s="5" t="inlineStr">
        <is>
          <t>2022-02-15</t>
        </is>
      </c>
      <c r="B367" s="5" t="inlineStr">
        <is>
          <t>Tuesday</t>
        </is>
      </c>
      <c r="C367" s="5" t="inlineStr">
        <is>
          <t>MNQH2</t>
        </is>
      </c>
      <c r="D367" s="6" t="n">
        <v>14522.25</v>
      </c>
      <c r="E367" s="6" t="n">
        <v>14446.25</v>
      </c>
      <c r="F367" s="6">
        <f>D367-E367</f>
        <v/>
      </c>
      <c r="G367" s="5" t="inlineStr">
        <is>
          <t>Long</t>
        </is>
      </c>
      <c r="H367" s="6" t="n">
        <v>14522.25</v>
      </c>
      <c r="I367" s="6" t="n">
        <v>14446.25</v>
      </c>
      <c r="J367" s="6">
        <f>IF(G367="Long",I367-H367,IF(G367="Short",H367-I367,0))</f>
        <v/>
      </c>
      <c r="K367" s="7" t="n">
        <v>100</v>
      </c>
      <c r="L367" s="5" t="inlineStr">
        <is>
          <t>Loss</t>
        </is>
      </c>
      <c r="M367" s="6">
        <f>M366+J367</f>
        <v/>
      </c>
    </row>
    <row r="368">
      <c r="A368" s="5" t="inlineStr">
        <is>
          <t>2022-02-15</t>
        </is>
      </c>
      <c r="B368" s="5" t="inlineStr">
        <is>
          <t>Tuesday</t>
        </is>
      </c>
      <c r="C368" s="5" t="inlineStr">
        <is>
          <t>MNQH2</t>
        </is>
      </c>
      <c r="D368" s="6" t="n">
        <v>14522.25</v>
      </c>
      <c r="E368" s="6" t="n">
        <v>14446.25</v>
      </c>
      <c r="F368" s="6">
        <f>D368-E368</f>
        <v/>
      </c>
      <c r="G368" s="5" t="inlineStr">
        <is>
          <t>Short</t>
        </is>
      </c>
      <c r="H368" s="6" t="n">
        <v>14446.25</v>
      </c>
      <c r="I368" s="6" t="n">
        <v>14522.25</v>
      </c>
      <c r="J368" s="6">
        <f>IF(G368="Long",I368-H368,IF(G368="Short",H368-I368,0))</f>
        <v/>
      </c>
      <c r="K368" s="7" t="n">
        <v>100</v>
      </c>
      <c r="L368" s="5" t="inlineStr">
        <is>
          <t>Loss</t>
        </is>
      </c>
      <c r="M368" s="6">
        <f>M367+J368</f>
        <v/>
      </c>
    </row>
    <row r="369">
      <c r="A369" s="5" t="inlineStr">
        <is>
          <t>2022-02-16</t>
        </is>
      </c>
      <c r="B369" s="5" t="inlineStr">
        <is>
          <t>Wednesday</t>
        </is>
      </c>
      <c r="C369" s="5" t="inlineStr">
        <is>
          <t>MNQH2</t>
        </is>
      </c>
      <c r="D369" s="6" t="n">
        <v>14516</v>
      </c>
      <c r="E369" s="6" t="n">
        <v>14430.5</v>
      </c>
      <c r="F369" s="6">
        <f>D369-E369</f>
        <v/>
      </c>
      <c r="G369" s="5" t="inlineStr">
        <is>
          <t>Short</t>
        </is>
      </c>
      <c r="H369" s="6" t="n">
        <v>14430.5</v>
      </c>
      <c r="I369" s="6" t="n">
        <v>14516</v>
      </c>
      <c r="J369" s="6">
        <f>IF(G369="Long",I369-H369,IF(G369="Short",H369-I369,0))</f>
        <v/>
      </c>
      <c r="K369" s="7" t="n">
        <v>100</v>
      </c>
      <c r="L369" s="5" t="inlineStr">
        <is>
          <t>Loss</t>
        </is>
      </c>
      <c r="M369" s="6">
        <f>M368+J369</f>
        <v/>
      </c>
    </row>
    <row r="370">
      <c r="A370" s="2" t="inlineStr">
        <is>
          <t>2022-02-16</t>
        </is>
      </c>
      <c r="B370" s="2" t="inlineStr">
        <is>
          <t>Wednesday</t>
        </is>
      </c>
      <c r="C370" s="2" t="inlineStr">
        <is>
          <t>MNQH2</t>
        </is>
      </c>
      <c r="D370" s="3" t="n">
        <v>14516</v>
      </c>
      <c r="E370" s="3" t="n">
        <v>14430.5</v>
      </c>
      <c r="F370" s="3">
        <f>D370-E370</f>
        <v/>
      </c>
      <c r="G370" s="2" t="inlineStr">
        <is>
          <t>Long</t>
        </is>
      </c>
      <c r="H370" s="3" t="n">
        <v>14516</v>
      </c>
      <c r="I370" s="3" t="n">
        <v>14601.5</v>
      </c>
      <c r="J370" s="3">
        <f>IF(G370="Long",I370-H370,IF(G370="Short",H370-I370,0))</f>
        <v/>
      </c>
      <c r="K370" s="4" t="n">
        <v>0</v>
      </c>
      <c r="L370" s="2" t="inlineStr">
        <is>
          <t>Win</t>
        </is>
      </c>
      <c r="M370" s="3">
        <f>M369+J370</f>
        <v/>
      </c>
    </row>
    <row r="371">
      <c r="A371" s="2" t="inlineStr">
        <is>
          <t>2022-02-17</t>
        </is>
      </c>
      <c r="B371" s="2" t="inlineStr">
        <is>
          <t>Thursday</t>
        </is>
      </c>
      <c r="C371" s="2" t="inlineStr">
        <is>
          <t>MNQH2</t>
        </is>
      </c>
      <c r="D371" s="3" t="n">
        <v>14496</v>
      </c>
      <c r="E371" s="3" t="n">
        <v>14448.75</v>
      </c>
      <c r="F371" s="3">
        <f>D371-E371</f>
        <v/>
      </c>
      <c r="G371" s="2" t="inlineStr">
        <is>
          <t>Short</t>
        </is>
      </c>
      <c r="H371" s="3" t="n">
        <v>14448.75</v>
      </c>
      <c r="I371" s="3" t="n">
        <v>14401.5</v>
      </c>
      <c r="J371" s="3">
        <f>IF(G371="Long",I371-H371,IF(G371="Short",H371-I371,0))</f>
        <v/>
      </c>
      <c r="K371" s="4" t="n">
        <v>0</v>
      </c>
      <c r="L371" s="2" t="inlineStr">
        <is>
          <t>Win</t>
        </is>
      </c>
      <c r="M371" s="3">
        <f>M370+J371</f>
        <v/>
      </c>
    </row>
    <row r="372">
      <c r="A372" s="2" t="inlineStr">
        <is>
          <t>2022-02-18</t>
        </is>
      </c>
      <c r="B372" s="2" t="inlineStr">
        <is>
          <t>Friday</t>
        </is>
      </c>
      <c r="C372" s="2" t="inlineStr">
        <is>
          <t>MNQH2</t>
        </is>
      </c>
      <c r="D372" s="3" t="n">
        <v>14218.25</v>
      </c>
      <c r="E372" s="3" t="n">
        <v>14088</v>
      </c>
      <c r="F372" s="3">
        <f>D372-E372</f>
        <v/>
      </c>
      <c r="G372" s="2" t="inlineStr">
        <is>
          <t>Short</t>
        </is>
      </c>
      <c r="H372" s="3" t="n">
        <v>14088</v>
      </c>
      <c r="I372" s="3" t="n">
        <v>13957.75</v>
      </c>
      <c r="J372" s="3">
        <f>IF(G372="Long",I372-H372,IF(G372="Short",H372-I372,0))</f>
        <v/>
      </c>
      <c r="K372" s="4" t="n">
        <v>0</v>
      </c>
      <c r="L372" s="2" t="inlineStr">
        <is>
          <t>Win</t>
        </is>
      </c>
      <c r="M372" s="3">
        <f>M371+J372</f>
        <v/>
      </c>
    </row>
    <row r="373">
      <c r="A373" s="8" t="inlineStr">
        <is>
          <t>2022-02-18</t>
        </is>
      </c>
      <c r="B373" s="8" t="inlineStr">
        <is>
          <t>Friday</t>
        </is>
      </c>
      <c r="C373" s="8" t="inlineStr">
        <is>
          <t>MNQH2</t>
        </is>
      </c>
      <c r="D373" s="9" t="n">
        <v>14218.25</v>
      </c>
      <c r="E373" s="9" t="n">
        <v>14088</v>
      </c>
      <c r="F373" s="9">
        <f>D373-E373</f>
        <v/>
      </c>
      <c r="G373" s="8" t="inlineStr">
        <is>
          <t>Short</t>
        </is>
      </c>
      <c r="H373" s="9" t="n">
        <v>14088</v>
      </c>
      <c r="I373" s="9" t="n">
        <v>14005.25</v>
      </c>
      <c r="J373" s="9">
        <f>IF(G373="Long",I373-H373,IF(G373="Short",H373-I373,0))</f>
        <v/>
      </c>
      <c r="K373" s="10" t="n">
        <v>42.8</v>
      </c>
      <c r="L373" s="8" t="inlineStr">
        <is>
          <t>EOD-Close</t>
        </is>
      </c>
      <c r="M373" s="9">
        <f>M372+J373</f>
        <v/>
      </c>
    </row>
    <row r="374">
      <c r="A374" s="2" t="inlineStr">
        <is>
          <t>2022-02-21</t>
        </is>
      </c>
      <c r="B374" s="2" t="inlineStr">
        <is>
          <t>Monday</t>
        </is>
      </c>
      <c r="C374" s="2" t="inlineStr">
        <is>
          <t>MNQH2</t>
        </is>
      </c>
      <c r="D374" s="3" t="n">
        <v>13884</v>
      </c>
      <c r="E374" s="3" t="n">
        <v>13812.25</v>
      </c>
      <c r="F374" s="3">
        <f>D374-E374</f>
        <v/>
      </c>
      <c r="G374" s="2" t="inlineStr">
        <is>
          <t>Short</t>
        </is>
      </c>
      <c r="H374" s="3" t="n">
        <v>13812.25</v>
      </c>
      <c r="I374" s="3" t="n">
        <v>13740.5</v>
      </c>
      <c r="J374" s="3">
        <f>IF(G374="Long",I374-H374,IF(G374="Short",H374-I374,0))</f>
        <v/>
      </c>
      <c r="K374" s="4" t="n">
        <v>19.51</v>
      </c>
      <c r="L374" s="2" t="inlineStr">
        <is>
          <t>Win</t>
        </is>
      </c>
      <c r="M374" s="3">
        <f>M373+J374</f>
        <v/>
      </c>
    </row>
    <row r="375">
      <c r="A375" s="5" t="inlineStr">
        <is>
          <t>2022-02-22</t>
        </is>
      </c>
      <c r="B375" s="5" t="inlineStr">
        <is>
          <t>Tuesday</t>
        </is>
      </c>
      <c r="C375" s="5" t="inlineStr">
        <is>
          <t>MNQH2</t>
        </is>
      </c>
      <c r="D375" s="6" t="n">
        <v>13987</v>
      </c>
      <c r="E375" s="6" t="n">
        <v>13862</v>
      </c>
      <c r="F375" s="6">
        <f>D375-E375</f>
        <v/>
      </c>
      <c r="G375" s="5" t="inlineStr">
        <is>
          <t>Long</t>
        </is>
      </c>
      <c r="H375" s="6" t="n">
        <v>13987</v>
      </c>
      <c r="I375" s="6" t="n">
        <v>13862</v>
      </c>
      <c r="J375" s="6">
        <f>IF(G375="Long",I375-H375,IF(G375="Short",H375-I375,0))</f>
        <v/>
      </c>
      <c r="K375" s="7" t="n">
        <v>100</v>
      </c>
      <c r="L375" s="5" t="inlineStr">
        <is>
          <t>Loss</t>
        </is>
      </c>
      <c r="M375" s="6">
        <f>M374+J375</f>
        <v/>
      </c>
    </row>
    <row r="376">
      <c r="A376" s="2" t="inlineStr">
        <is>
          <t>2022-02-22</t>
        </is>
      </c>
      <c r="B376" s="2" t="inlineStr">
        <is>
          <t>Tuesday</t>
        </is>
      </c>
      <c r="C376" s="2" t="inlineStr">
        <is>
          <t>MNQH2</t>
        </is>
      </c>
      <c r="D376" s="3" t="n">
        <v>13987</v>
      </c>
      <c r="E376" s="3" t="n">
        <v>13862</v>
      </c>
      <c r="F376" s="3">
        <f>D376-E376</f>
        <v/>
      </c>
      <c r="G376" s="2" t="inlineStr">
        <is>
          <t>Short</t>
        </is>
      </c>
      <c r="H376" s="3" t="n">
        <v>13862</v>
      </c>
      <c r="I376" s="3" t="n">
        <v>13737</v>
      </c>
      <c r="J376" s="3">
        <f>IF(G376="Long",I376-H376,IF(G376="Short",H376-I376,0))</f>
        <v/>
      </c>
      <c r="K376" s="4" t="n">
        <v>37</v>
      </c>
      <c r="L376" s="2" t="inlineStr">
        <is>
          <t>Win</t>
        </is>
      </c>
      <c r="M376" s="3">
        <f>M375+J376</f>
        <v/>
      </c>
    </row>
    <row r="377">
      <c r="A377" s="2" t="inlineStr">
        <is>
          <t>2022-02-23</t>
        </is>
      </c>
      <c r="B377" s="2" t="inlineStr">
        <is>
          <t>Wednesday</t>
        </is>
      </c>
      <c r="C377" s="2" t="inlineStr">
        <is>
          <t>MNQH2</t>
        </is>
      </c>
      <c r="D377" s="3" t="n">
        <v>14031.25</v>
      </c>
      <c r="E377" s="3" t="n">
        <v>13941.5</v>
      </c>
      <c r="F377" s="3">
        <f>D377-E377</f>
        <v/>
      </c>
      <c r="G377" s="2" t="inlineStr">
        <is>
          <t>Short</t>
        </is>
      </c>
      <c r="H377" s="3" t="n">
        <v>13941.5</v>
      </c>
      <c r="I377" s="3" t="n">
        <v>13851.75</v>
      </c>
      <c r="J377" s="3">
        <f>IF(G377="Long",I377-H377,IF(G377="Short",H377-I377,0))</f>
        <v/>
      </c>
      <c r="K377" s="4" t="n">
        <v>0</v>
      </c>
      <c r="L377" s="2" t="inlineStr">
        <is>
          <t>Win</t>
        </is>
      </c>
      <c r="M377" s="3">
        <f>M376+J377</f>
        <v/>
      </c>
    </row>
    <row r="378">
      <c r="A378" s="2" t="inlineStr">
        <is>
          <t>2022-02-24</t>
        </is>
      </c>
      <c r="B378" s="2" t="inlineStr">
        <is>
          <t>Thursday</t>
        </is>
      </c>
      <c r="C378" s="2" t="inlineStr">
        <is>
          <t>MNQH2</t>
        </is>
      </c>
      <c r="D378" s="3" t="n">
        <v>13304.5</v>
      </c>
      <c r="E378" s="3" t="n">
        <v>13058.75</v>
      </c>
      <c r="F378" s="3">
        <f>D378-E378</f>
        <v/>
      </c>
      <c r="G378" s="2" t="inlineStr">
        <is>
          <t>Long</t>
        </is>
      </c>
      <c r="H378" s="3" t="n">
        <v>13304.5</v>
      </c>
      <c r="I378" s="3" t="n">
        <v>13550.25</v>
      </c>
      <c r="J378" s="3">
        <f>IF(G378="Long",I378-H378,IF(G378="Short",H378-I378,0))</f>
        <v/>
      </c>
      <c r="K378" s="4" t="n">
        <v>23.6</v>
      </c>
      <c r="L378" s="2" t="inlineStr">
        <is>
          <t>Win</t>
        </is>
      </c>
      <c r="M378" s="3">
        <f>M377+J378</f>
        <v/>
      </c>
    </row>
    <row r="379">
      <c r="A379" s="5" t="inlineStr">
        <is>
          <t>2022-02-25</t>
        </is>
      </c>
      <c r="B379" s="5" t="inlineStr">
        <is>
          <t>Friday</t>
        </is>
      </c>
      <c r="C379" s="5" t="inlineStr">
        <is>
          <t>MNQH2</t>
        </is>
      </c>
      <c r="D379" s="6" t="n">
        <v>14014.75</v>
      </c>
      <c r="E379" s="6" t="n">
        <v>13871.5</v>
      </c>
      <c r="F379" s="6">
        <f>D379-E379</f>
        <v/>
      </c>
      <c r="G379" s="5" t="inlineStr">
        <is>
          <t>Short</t>
        </is>
      </c>
      <c r="H379" s="6" t="n">
        <v>13871.5</v>
      </c>
      <c r="I379" s="6" t="n">
        <v>14014.75</v>
      </c>
      <c r="J379" s="6">
        <f>IF(G379="Long",I379-H379,IF(G379="Short",H379-I379,0))</f>
        <v/>
      </c>
      <c r="K379" s="7" t="n">
        <v>100</v>
      </c>
      <c r="L379" s="5" t="inlineStr">
        <is>
          <t>Loss</t>
        </is>
      </c>
      <c r="M379" s="6">
        <f>M378+J379</f>
        <v/>
      </c>
    </row>
    <row r="380">
      <c r="A380" s="2" t="inlineStr">
        <is>
          <t>2022-02-25</t>
        </is>
      </c>
      <c r="B380" s="2" t="inlineStr">
        <is>
          <t>Friday</t>
        </is>
      </c>
      <c r="C380" s="2" t="inlineStr">
        <is>
          <t>MNQH2</t>
        </is>
      </c>
      <c r="D380" s="3" t="n">
        <v>14014.75</v>
      </c>
      <c r="E380" s="3" t="n">
        <v>13871.5</v>
      </c>
      <c r="F380" s="3">
        <f>D380-E380</f>
        <v/>
      </c>
      <c r="G380" s="2" t="inlineStr">
        <is>
          <t>Long</t>
        </is>
      </c>
      <c r="H380" s="3" t="n">
        <v>14014.75</v>
      </c>
      <c r="I380" s="3" t="n">
        <v>14158</v>
      </c>
      <c r="J380" s="3">
        <f>IF(G380="Long",I380-H380,IF(G380="Short",H380-I380,0))</f>
        <v/>
      </c>
      <c r="K380" s="4" t="n">
        <v>0</v>
      </c>
      <c r="L380" s="2" t="inlineStr">
        <is>
          <t>Win</t>
        </is>
      </c>
      <c r="M380" s="3">
        <f>M379+J380</f>
        <v/>
      </c>
    </row>
    <row r="381">
      <c r="A381" s="2" t="inlineStr">
        <is>
          <t>2022-02-28</t>
        </is>
      </c>
      <c r="B381" s="2" t="inlineStr">
        <is>
          <t>Monday</t>
        </is>
      </c>
      <c r="C381" s="2" t="inlineStr">
        <is>
          <t>MNQH2</t>
        </is>
      </c>
      <c r="D381" s="3" t="n">
        <v>14113.25</v>
      </c>
      <c r="E381" s="3" t="n">
        <v>14027</v>
      </c>
      <c r="F381" s="3">
        <f>D381-E381</f>
        <v/>
      </c>
      <c r="G381" s="2" t="inlineStr">
        <is>
          <t>Long</t>
        </is>
      </c>
      <c r="H381" s="3" t="n">
        <v>14113.25</v>
      </c>
      <c r="I381" s="3" t="n">
        <v>14199.5</v>
      </c>
      <c r="J381" s="3">
        <f>IF(G381="Long",I381-H381,IF(G381="Short",H381-I381,0))</f>
        <v/>
      </c>
      <c r="K381" s="4" t="n">
        <v>93.62</v>
      </c>
      <c r="L381" s="2" t="inlineStr">
        <is>
          <t>Win</t>
        </is>
      </c>
      <c r="M381" s="3">
        <f>M380+J381</f>
        <v/>
      </c>
    </row>
    <row r="382">
      <c r="A382" s="5" t="inlineStr">
        <is>
          <t>2022-02-28</t>
        </is>
      </c>
      <c r="B382" s="5" t="inlineStr">
        <is>
          <t>Monday</t>
        </is>
      </c>
      <c r="C382" s="5" t="inlineStr">
        <is>
          <t>MNQH2</t>
        </is>
      </c>
      <c r="D382" s="6" t="n">
        <v>14113.25</v>
      </c>
      <c r="E382" s="6" t="n">
        <v>14027</v>
      </c>
      <c r="F382" s="6">
        <f>D382-E382</f>
        <v/>
      </c>
      <c r="G382" s="5" t="inlineStr">
        <is>
          <t>Long</t>
        </is>
      </c>
      <c r="H382" s="6" t="n">
        <v>14113.25</v>
      </c>
      <c r="I382" s="6" t="n">
        <v>14027</v>
      </c>
      <c r="J382" s="6">
        <f>IF(G382="Long",I382-H382,IF(G382="Short",H382-I382,0))</f>
        <v/>
      </c>
      <c r="K382" s="7" t="n">
        <v>100</v>
      </c>
      <c r="L382" s="5" t="inlineStr">
        <is>
          <t>Loss</t>
        </is>
      </c>
      <c r="M382" s="6">
        <f>M381+J382</f>
        <v/>
      </c>
    </row>
    <row r="383">
      <c r="A383" s="2" t="inlineStr">
        <is>
          <t>2022-03-01</t>
        </is>
      </c>
      <c r="B383" s="2" t="inlineStr">
        <is>
          <t>Tuesday</t>
        </is>
      </c>
      <c r="C383" s="2" t="inlineStr">
        <is>
          <t>MNQH2</t>
        </is>
      </c>
      <c r="D383" s="3" t="n">
        <v>14253.5</v>
      </c>
      <c r="E383" s="3" t="n">
        <v>14153.5</v>
      </c>
      <c r="F383" s="3">
        <f>D383-E383</f>
        <v/>
      </c>
      <c r="G383" s="2" t="inlineStr">
        <is>
          <t>Short</t>
        </is>
      </c>
      <c r="H383" s="3" t="n">
        <v>14153.5</v>
      </c>
      <c r="I383" s="3" t="n">
        <v>14053.5</v>
      </c>
      <c r="J383" s="3">
        <f>IF(G383="Long",I383-H383,IF(G383="Short",H383-I383,0))</f>
        <v/>
      </c>
      <c r="K383" s="4" t="n">
        <v>57.5</v>
      </c>
      <c r="L383" s="2" t="inlineStr">
        <is>
          <t>Win</t>
        </is>
      </c>
      <c r="M383" s="3">
        <f>M382+J383</f>
        <v/>
      </c>
    </row>
    <row r="384">
      <c r="A384" s="5" t="inlineStr">
        <is>
          <t>2022-03-02</t>
        </is>
      </c>
      <c r="B384" s="5" t="inlineStr">
        <is>
          <t>Wednesday</t>
        </is>
      </c>
      <c r="C384" s="5" t="inlineStr">
        <is>
          <t>MNQH2</t>
        </is>
      </c>
      <c r="D384" s="6" t="n">
        <v>14111.5</v>
      </c>
      <c r="E384" s="6" t="n">
        <v>14010.75</v>
      </c>
      <c r="F384" s="6">
        <f>D384-E384</f>
        <v/>
      </c>
      <c r="G384" s="5" t="inlineStr">
        <is>
          <t>Long</t>
        </is>
      </c>
      <c r="H384" s="6" t="n">
        <v>14111.5</v>
      </c>
      <c r="I384" s="6" t="n">
        <v>14010.75</v>
      </c>
      <c r="J384" s="6">
        <f>IF(G384="Long",I384-H384,IF(G384="Short",H384-I384,0))</f>
        <v/>
      </c>
      <c r="K384" s="7" t="n">
        <v>100</v>
      </c>
      <c r="L384" s="5" t="inlineStr">
        <is>
          <t>Loss</t>
        </is>
      </c>
      <c r="M384" s="6">
        <f>M383+J384</f>
        <v/>
      </c>
    </row>
    <row r="385">
      <c r="A385" s="5" t="inlineStr">
        <is>
          <t>2022-03-02</t>
        </is>
      </c>
      <c r="B385" s="5" t="inlineStr">
        <is>
          <t>Wednesday</t>
        </is>
      </c>
      <c r="C385" s="5" t="inlineStr">
        <is>
          <t>MNQH2</t>
        </is>
      </c>
      <c r="D385" s="6" t="n">
        <v>14111.5</v>
      </c>
      <c r="E385" s="6" t="n">
        <v>14010.75</v>
      </c>
      <c r="F385" s="6">
        <f>D385-E385</f>
        <v/>
      </c>
      <c r="G385" s="5" t="inlineStr">
        <is>
          <t>Short</t>
        </is>
      </c>
      <c r="H385" s="6" t="n">
        <v>14010.75</v>
      </c>
      <c r="I385" s="6" t="n">
        <v>14111.5</v>
      </c>
      <c r="J385" s="6">
        <f>IF(G385="Long",I385-H385,IF(G385="Short",H385-I385,0))</f>
        <v/>
      </c>
      <c r="K385" s="7" t="n">
        <v>100</v>
      </c>
      <c r="L385" s="5" t="inlineStr">
        <is>
          <t>Loss</t>
        </is>
      </c>
      <c r="M385" s="6">
        <f>M384+J385</f>
        <v/>
      </c>
    </row>
    <row r="386">
      <c r="A386" s="2" t="inlineStr">
        <is>
          <t>2022-03-03</t>
        </is>
      </c>
      <c r="B386" s="2" t="inlineStr">
        <is>
          <t>Thursday</t>
        </is>
      </c>
      <c r="C386" s="2" t="inlineStr">
        <is>
          <t>MNQH2</t>
        </is>
      </c>
      <c r="D386" s="3" t="n">
        <v>14354.5</v>
      </c>
      <c r="E386" s="3" t="n">
        <v>14272</v>
      </c>
      <c r="F386" s="3">
        <f>D386-E386</f>
        <v/>
      </c>
      <c r="G386" s="2" t="inlineStr">
        <is>
          <t>Short</t>
        </is>
      </c>
      <c r="H386" s="3" t="n">
        <v>14272</v>
      </c>
      <c r="I386" s="3" t="n">
        <v>14189.5</v>
      </c>
      <c r="J386" s="3">
        <f>IF(G386="Long",I386-H386,IF(G386="Short",H386-I386,0))</f>
        <v/>
      </c>
      <c r="K386" s="4" t="n">
        <v>20.91</v>
      </c>
      <c r="L386" s="2" t="inlineStr">
        <is>
          <t>Win</t>
        </is>
      </c>
      <c r="M386" s="3">
        <f>M385+J386</f>
        <v/>
      </c>
    </row>
    <row r="387">
      <c r="A387" s="2" t="inlineStr">
        <is>
          <t>2022-03-04</t>
        </is>
      </c>
      <c r="B387" s="2" t="inlineStr">
        <is>
          <t>Friday</t>
        </is>
      </c>
      <c r="C387" s="2" t="inlineStr">
        <is>
          <t>MNQH2</t>
        </is>
      </c>
      <c r="D387" s="3" t="n">
        <v>13995.5</v>
      </c>
      <c r="E387" s="3" t="n">
        <v>13889.5</v>
      </c>
      <c r="F387" s="3">
        <f>D387-E387</f>
        <v/>
      </c>
      <c r="G387" s="2" t="inlineStr">
        <is>
          <t>Short</t>
        </is>
      </c>
      <c r="H387" s="3" t="n">
        <v>13889.5</v>
      </c>
      <c r="I387" s="3" t="n">
        <v>13783.5</v>
      </c>
      <c r="J387" s="3">
        <f>IF(G387="Long",I387-H387,IF(G387="Short",H387-I387,0))</f>
        <v/>
      </c>
      <c r="K387" s="4" t="n">
        <v>58.02</v>
      </c>
      <c r="L387" s="2" t="inlineStr">
        <is>
          <t>Win</t>
        </is>
      </c>
      <c r="M387" s="3">
        <f>M386+J387</f>
        <v/>
      </c>
    </row>
    <row r="388">
      <c r="A388" s="2" t="inlineStr">
        <is>
          <t>2022-03-04</t>
        </is>
      </c>
      <c r="B388" s="2" t="inlineStr">
        <is>
          <t>Friday</t>
        </is>
      </c>
      <c r="C388" s="2" t="inlineStr">
        <is>
          <t>MNQH2</t>
        </is>
      </c>
      <c r="D388" s="3" t="n">
        <v>13995.5</v>
      </c>
      <c r="E388" s="3" t="n">
        <v>13889.5</v>
      </c>
      <c r="F388" s="3">
        <f>D388-E388</f>
        <v/>
      </c>
      <c r="G388" s="2" t="inlineStr">
        <is>
          <t>Short</t>
        </is>
      </c>
      <c r="H388" s="3" t="n">
        <v>13889.5</v>
      </c>
      <c r="I388" s="3" t="n">
        <v>13783.5</v>
      </c>
      <c r="J388" s="3">
        <f>IF(G388="Long",I388-H388,IF(G388="Short",H388-I388,0))</f>
        <v/>
      </c>
      <c r="K388" s="4" t="n">
        <v>42.45</v>
      </c>
      <c r="L388" s="2" t="inlineStr">
        <is>
          <t>Win</t>
        </is>
      </c>
      <c r="M388" s="3">
        <f>M387+J388</f>
        <v/>
      </c>
    </row>
    <row r="389">
      <c r="A389" s="2" t="inlineStr">
        <is>
          <t>2022-03-07</t>
        </is>
      </c>
      <c r="B389" s="2" t="inlineStr">
        <is>
          <t>Monday</t>
        </is>
      </c>
      <c r="C389" s="2" t="inlineStr">
        <is>
          <t>MNQH2</t>
        </is>
      </c>
      <c r="D389" s="3" t="n">
        <v>13879.75</v>
      </c>
      <c r="E389" s="3" t="n">
        <v>13744.25</v>
      </c>
      <c r="F389" s="3">
        <f>D389-E389</f>
        <v/>
      </c>
      <c r="G389" s="2" t="inlineStr">
        <is>
          <t>Short</t>
        </is>
      </c>
      <c r="H389" s="3" t="n">
        <v>13744.25</v>
      </c>
      <c r="I389" s="3" t="n">
        <v>13608.75</v>
      </c>
      <c r="J389" s="3">
        <f>IF(G389="Long",I389-H389,IF(G389="Short",H389-I389,0))</f>
        <v/>
      </c>
      <c r="K389" s="4" t="n">
        <v>16.61</v>
      </c>
      <c r="L389" s="2" t="inlineStr">
        <is>
          <t>Win</t>
        </is>
      </c>
      <c r="M389" s="3">
        <f>M388+J389</f>
        <v/>
      </c>
    </row>
    <row r="390">
      <c r="A390" s="5" t="inlineStr">
        <is>
          <t>2022-03-08</t>
        </is>
      </c>
      <c r="B390" s="5" t="inlineStr">
        <is>
          <t>Tuesday</t>
        </is>
      </c>
      <c r="C390" s="5" t="inlineStr">
        <is>
          <t>MNQH2</t>
        </is>
      </c>
      <c r="D390" s="6" t="n">
        <v>13373.75</v>
      </c>
      <c r="E390" s="6" t="n">
        <v>13221.5</v>
      </c>
      <c r="F390" s="6">
        <f>D390-E390</f>
        <v/>
      </c>
      <c r="G390" s="5" t="inlineStr">
        <is>
          <t>Short</t>
        </is>
      </c>
      <c r="H390" s="6" t="n">
        <v>13221.5</v>
      </c>
      <c r="I390" s="6" t="n">
        <v>13373.75</v>
      </c>
      <c r="J390" s="6">
        <f>IF(G390="Long",I390-H390,IF(G390="Short",H390-I390,0))</f>
        <v/>
      </c>
      <c r="K390" s="7" t="n">
        <v>100</v>
      </c>
      <c r="L390" s="5" t="inlineStr">
        <is>
          <t>Loss</t>
        </is>
      </c>
      <c r="M390" s="6">
        <f>M389+J390</f>
        <v/>
      </c>
    </row>
    <row r="391">
      <c r="A391" s="2" t="inlineStr">
        <is>
          <t>2022-03-08</t>
        </is>
      </c>
      <c r="B391" s="2" t="inlineStr">
        <is>
          <t>Tuesday</t>
        </is>
      </c>
      <c r="C391" s="2" t="inlineStr">
        <is>
          <t>MNQH2</t>
        </is>
      </c>
      <c r="D391" s="3" t="n">
        <v>13373.75</v>
      </c>
      <c r="E391" s="3" t="n">
        <v>13221.5</v>
      </c>
      <c r="F391" s="3">
        <f>D391-E391</f>
        <v/>
      </c>
      <c r="G391" s="2" t="inlineStr">
        <is>
          <t>Long</t>
        </is>
      </c>
      <c r="H391" s="3" t="n">
        <v>13373.75</v>
      </c>
      <c r="I391" s="3" t="n">
        <v>13526</v>
      </c>
      <c r="J391" s="3">
        <f>IF(G391="Long",I391-H391,IF(G391="Short",H391-I391,0))</f>
        <v/>
      </c>
      <c r="K391" s="4" t="n">
        <v>0</v>
      </c>
      <c r="L391" s="2" t="inlineStr">
        <is>
          <t>Win</t>
        </is>
      </c>
      <c r="M391" s="3">
        <f>M390+J391</f>
        <v/>
      </c>
    </row>
    <row r="392">
      <c r="A392" s="5" t="inlineStr">
        <is>
          <t>2022-03-09</t>
        </is>
      </c>
      <c r="B392" s="5" t="inlineStr">
        <is>
          <t>Wednesday</t>
        </is>
      </c>
      <c r="C392" s="5" t="inlineStr">
        <is>
          <t>MNQH2</t>
        </is>
      </c>
      <c r="D392" s="6" t="n">
        <v>13621.25</v>
      </c>
      <c r="E392" s="6" t="n">
        <v>13524.5</v>
      </c>
      <c r="F392" s="6">
        <f>D392-E392</f>
        <v/>
      </c>
      <c r="G392" s="5" t="inlineStr">
        <is>
          <t>Short</t>
        </is>
      </c>
      <c r="H392" s="6" t="n">
        <v>13524.5</v>
      </c>
      <c r="I392" s="6" t="n">
        <v>13621.25</v>
      </c>
      <c r="J392" s="6">
        <f>IF(G392="Long",I392-H392,IF(G392="Short",H392-I392,0))</f>
        <v/>
      </c>
      <c r="K392" s="7" t="n">
        <v>100</v>
      </c>
      <c r="L392" s="5" t="inlineStr">
        <is>
          <t>Loss</t>
        </is>
      </c>
      <c r="M392" s="6">
        <f>M391+J392</f>
        <v/>
      </c>
    </row>
    <row r="393">
      <c r="A393" s="2" t="inlineStr">
        <is>
          <t>2022-03-09</t>
        </is>
      </c>
      <c r="B393" s="2" t="inlineStr">
        <is>
          <t>Wednesday</t>
        </is>
      </c>
      <c r="C393" s="2" t="inlineStr">
        <is>
          <t>MNQH2</t>
        </is>
      </c>
      <c r="D393" s="3" t="n">
        <v>13621.25</v>
      </c>
      <c r="E393" s="3" t="n">
        <v>13524.5</v>
      </c>
      <c r="F393" s="3">
        <f>D393-E393</f>
        <v/>
      </c>
      <c r="G393" s="2" t="inlineStr">
        <is>
          <t>Long</t>
        </is>
      </c>
      <c r="H393" s="3" t="n">
        <v>13621.25</v>
      </c>
      <c r="I393" s="3" t="n">
        <v>13718</v>
      </c>
      <c r="J393" s="3">
        <f>IF(G393="Long",I393-H393,IF(G393="Short",H393-I393,0))</f>
        <v/>
      </c>
      <c r="K393" s="4" t="n">
        <v>42.12</v>
      </c>
      <c r="L393" s="2" t="inlineStr">
        <is>
          <t>Win</t>
        </is>
      </c>
      <c r="M393" s="3">
        <f>M392+J393</f>
        <v/>
      </c>
    </row>
    <row r="394">
      <c r="A394" s="5" t="inlineStr">
        <is>
          <t>2022-03-10</t>
        </is>
      </c>
      <c r="B394" s="5" t="inlineStr">
        <is>
          <t>Thursday</t>
        </is>
      </c>
      <c r="C394" s="5" t="inlineStr">
        <is>
          <t>MNQH2</t>
        </is>
      </c>
      <c r="D394" s="6" t="n">
        <v>13579</v>
      </c>
      <c r="E394" s="6" t="n">
        <v>13487.25</v>
      </c>
      <c r="F394" s="6">
        <f>D394-E394</f>
        <v/>
      </c>
      <c r="G394" s="5" t="inlineStr">
        <is>
          <t>Long</t>
        </is>
      </c>
      <c r="H394" s="6" t="n">
        <v>13579</v>
      </c>
      <c r="I394" s="6" t="n">
        <v>13487.25</v>
      </c>
      <c r="J394" s="6">
        <f>IF(G394="Long",I394-H394,IF(G394="Short",H394-I394,0))</f>
        <v/>
      </c>
      <c r="K394" s="7" t="n">
        <v>100</v>
      </c>
      <c r="L394" s="5" t="inlineStr">
        <is>
          <t>Loss</t>
        </is>
      </c>
      <c r="M394" s="6">
        <f>M393+J394</f>
        <v/>
      </c>
    </row>
    <row r="395">
      <c r="A395" s="5" t="inlineStr">
        <is>
          <t>2022-03-10</t>
        </is>
      </c>
      <c r="B395" s="5" t="inlineStr">
        <is>
          <t>Thursday</t>
        </is>
      </c>
      <c r="C395" s="5" t="inlineStr">
        <is>
          <t>MNQH2</t>
        </is>
      </c>
      <c r="D395" s="6" t="n">
        <v>13579</v>
      </c>
      <c r="E395" s="6" t="n">
        <v>13487.25</v>
      </c>
      <c r="F395" s="6">
        <f>D395-E395</f>
        <v/>
      </c>
      <c r="G395" s="5" t="inlineStr">
        <is>
          <t>Short</t>
        </is>
      </c>
      <c r="H395" s="6" t="n">
        <v>13487.25</v>
      </c>
      <c r="I395" s="6" t="n">
        <v>13579</v>
      </c>
      <c r="J395" s="6">
        <f>IF(G395="Long",I395-H395,IF(G395="Short",H395-I395,0))</f>
        <v/>
      </c>
      <c r="K395" s="7" t="n">
        <v>100</v>
      </c>
      <c r="L395" s="5" t="inlineStr">
        <is>
          <t>Loss</t>
        </is>
      </c>
      <c r="M395" s="6">
        <f>M394+J395</f>
        <v/>
      </c>
    </row>
    <row r="396">
      <c r="A396" s="2" t="inlineStr">
        <is>
          <t>2022-03-11</t>
        </is>
      </c>
      <c r="B396" s="2" t="inlineStr">
        <is>
          <t>Friday</t>
        </is>
      </c>
      <c r="C396" s="2" t="inlineStr">
        <is>
          <t>MNQH2</t>
        </is>
      </c>
      <c r="D396" s="3" t="n">
        <v>13724</v>
      </c>
      <c r="E396" s="3" t="n">
        <v>13605.75</v>
      </c>
      <c r="F396" s="3">
        <f>D396-E396</f>
        <v/>
      </c>
      <c r="G396" s="2" t="inlineStr">
        <is>
          <t>Short</t>
        </is>
      </c>
      <c r="H396" s="3" t="n">
        <v>13605.75</v>
      </c>
      <c r="I396" s="3" t="n">
        <v>13487.5</v>
      </c>
      <c r="J396" s="3">
        <f>IF(G396="Long",I396-H396,IF(G396="Short",H396-I396,0))</f>
        <v/>
      </c>
      <c r="K396" s="4" t="n">
        <v>1.27</v>
      </c>
      <c r="L396" s="2" t="inlineStr">
        <is>
          <t>Win</t>
        </is>
      </c>
      <c r="M396" s="3">
        <f>M395+J396</f>
        <v/>
      </c>
    </row>
    <row r="397">
      <c r="A397" s="5" t="inlineStr">
        <is>
          <t>2022-03-14</t>
        </is>
      </c>
      <c r="B397" s="5" t="inlineStr">
        <is>
          <t>Monday</t>
        </is>
      </c>
      <c r="C397" s="5" t="inlineStr">
        <is>
          <t>MNQM2</t>
        </is>
      </c>
      <c r="D397" s="6" t="n">
        <v>13326.25</v>
      </c>
      <c r="E397" s="6" t="n">
        <v>13200.75</v>
      </c>
      <c r="F397" s="6">
        <f>D397-E397</f>
        <v/>
      </c>
      <c r="G397" s="5" t="inlineStr">
        <is>
          <t>Long</t>
        </is>
      </c>
      <c r="H397" s="6" t="n">
        <v>13326.25</v>
      </c>
      <c r="I397" s="6" t="n">
        <v>13200.75</v>
      </c>
      <c r="J397" s="6">
        <f>IF(G397="Long",I397-H397,IF(G397="Short",H397-I397,0))</f>
        <v/>
      </c>
      <c r="K397" s="7" t="n">
        <v>100</v>
      </c>
      <c r="L397" s="5" t="inlineStr">
        <is>
          <t>Loss</t>
        </is>
      </c>
      <c r="M397" s="6">
        <f>M396+J397</f>
        <v/>
      </c>
    </row>
    <row r="398">
      <c r="A398" s="2" t="inlineStr">
        <is>
          <t>2022-03-14</t>
        </is>
      </c>
      <c r="B398" s="2" t="inlineStr">
        <is>
          <t>Monday</t>
        </is>
      </c>
      <c r="C398" s="2" t="inlineStr">
        <is>
          <t>MNQM2</t>
        </is>
      </c>
      <c r="D398" s="3" t="n">
        <v>13326.25</v>
      </c>
      <c r="E398" s="3" t="n">
        <v>13200.75</v>
      </c>
      <c r="F398" s="3">
        <f>D398-E398</f>
        <v/>
      </c>
      <c r="G398" s="2" t="inlineStr">
        <is>
          <t>Short</t>
        </is>
      </c>
      <c r="H398" s="3" t="n">
        <v>13200.75</v>
      </c>
      <c r="I398" s="3" t="n">
        <v>13075.25</v>
      </c>
      <c r="J398" s="3">
        <f>IF(G398="Long",I398-H398,IF(G398="Short",H398-I398,0))</f>
        <v/>
      </c>
      <c r="K398" s="4" t="n">
        <v>0.6</v>
      </c>
      <c r="L398" s="2" t="inlineStr">
        <is>
          <t>Win</t>
        </is>
      </c>
      <c r="M398" s="3">
        <f>M397+J398</f>
        <v/>
      </c>
    </row>
    <row r="399">
      <c r="A399" s="2" t="inlineStr">
        <is>
          <t>2022-03-15</t>
        </is>
      </c>
      <c r="B399" s="2" t="inlineStr">
        <is>
          <t>Tuesday</t>
        </is>
      </c>
      <c r="C399" s="2" t="inlineStr">
        <is>
          <t>MNQM2</t>
        </is>
      </c>
      <c r="D399" s="3" t="n">
        <v>13208.25</v>
      </c>
      <c r="E399" s="3" t="n">
        <v>13091</v>
      </c>
      <c r="F399" s="3">
        <f>D399-E399</f>
        <v/>
      </c>
      <c r="G399" s="2" t="inlineStr">
        <is>
          <t>Long</t>
        </is>
      </c>
      <c r="H399" s="3" t="n">
        <v>13208.25</v>
      </c>
      <c r="I399" s="3" t="n">
        <v>13325.5</v>
      </c>
      <c r="J399" s="3">
        <f>IF(G399="Long",I399-H399,IF(G399="Short",H399-I399,0))</f>
        <v/>
      </c>
      <c r="K399" s="4" t="n">
        <v>40.51</v>
      </c>
      <c r="L399" s="2" t="inlineStr">
        <is>
          <t>Win</t>
        </is>
      </c>
      <c r="M399" s="3">
        <f>M398+J399</f>
        <v/>
      </c>
    </row>
    <row r="400">
      <c r="A400" s="2" t="inlineStr">
        <is>
          <t>2022-03-16</t>
        </is>
      </c>
      <c r="B400" s="2" t="inlineStr">
        <is>
          <t>Wednesday</t>
        </is>
      </c>
      <c r="C400" s="2" t="inlineStr">
        <is>
          <t>MNQM2</t>
        </is>
      </c>
      <c r="D400" s="3" t="n">
        <v>13718.25</v>
      </c>
      <c r="E400" s="3" t="n">
        <v>13612</v>
      </c>
      <c r="F400" s="3">
        <f>D400-E400</f>
        <v/>
      </c>
      <c r="G400" s="2" t="inlineStr">
        <is>
          <t>Long</t>
        </is>
      </c>
      <c r="H400" s="3" t="n">
        <v>13718.25</v>
      </c>
      <c r="I400" s="3" t="n">
        <v>13824.5</v>
      </c>
      <c r="J400" s="3">
        <f>IF(G400="Long",I400-H400,IF(G400="Short",H400-I400,0))</f>
        <v/>
      </c>
      <c r="K400" s="4" t="n">
        <v>26.35</v>
      </c>
      <c r="L400" s="2" t="inlineStr">
        <is>
          <t>Win</t>
        </is>
      </c>
      <c r="M400" s="3">
        <f>M399+J400</f>
        <v/>
      </c>
    </row>
    <row r="401">
      <c r="A401" s="5" t="inlineStr">
        <is>
          <t>2022-03-16</t>
        </is>
      </c>
      <c r="B401" s="5" t="inlineStr">
        <is>
          <t>Wednesday</t>
        </is>
      </c>
      <c r="C401" s="5" t="inlineStr">
        <is>
          <t>MNQM2</t>
        </is>
      </c>
      <c r="D401" s="6" t="n">
        <v>13718.25</v>
      </c>
      <c r="E401" s="6" t="n">
        <v>13612</v>
      </c>
      <c r="F401" s="6">
        <f>D401-E401</f>
        <v/>
      </c>
      <c r="G401" s="5" t="inlineStr">
        <is>
          <t>Long</t>
        </is>
      </c>
      <c r="H401" s="6" t="n">
        <v>13718.25</v>
      </c>
      <c r="I401" s="6" t="n">
        <v>13612</v>
      </c>
      <c r="J401" s="6">
        <f>IF(G401="Long",I401-H401,IF(G401="Short",H401-I401,0))</f>
        <v/>
      </c>
      <c r="K401" s="7" t="n">
        <v>100</v>
      </c>
      <c r="L401" s="5" t="inlineStr">
        <is>
          <t>Loss</t>
        </is>
      </c>
      <c r="M401" s="6">
        <f>M400+J401</f>
        <v/>
      </c>
    </row>
    <row r="402">
      <c r="A402" s="2" t="inlineStr">
        <is>
          <t>2022-03-17</t>
        </is>
      </c>
      <c r="B402" s="2" t="inlineStr">
        <is>
          <t>Thursday</t>
        </is>
      </c>
      <c r="C402" s="2" t="inlineStr">
        <is>
          <t>MNQM2</t>
        </is>
      </c>
      <c r="D402" s="3" t="n">
        <v>13900.75</v>
      </c>
      <c r="E402" s="3" t="n">
        <v>13819</v>
      </c>
      <c r="F402" s="3">
        <f>D402-E402</f>
        <v/>
      </c>
      <c r="G402" s="2" t="inlineStr">
        <is>
          <t>Long</t>
        </is>
      </c>
      <c r="H402" s="3" t="n">
        <v>13900.75</v>
      </c>
      <c r="I402" s="3" t="n">
        <v>13982.5</v>
      </c>
      <c r="J402" s="3">
        <f>IF(G402="Long",I402-H402,IF(G402="Short",H402-I402,0))</f>
        <v/>
      </c>
      <c r="K402" s="4" t="n">
        <v>0</v>
      </c>
      <c r="L402" s="2" t="inlineStr">
        <is>
          <t>Win</t>
        </is>
      </c>
      <c r="M402" s="3">
        <f>M401+J402</f>
        <v/>
      </c>
    </row>
    <row r="403">
      <c r="A403" s="2" t="inlineStr">
        <is>
          <t>2022-03-17</t>
        </is>
      </c>
      <c r="B403" s="2" t="inlineStr">
        <is>
          <t>Thursday</t>
        </is>
      </c>
      <c r="C403" s="2" t="inlineStr">
        <is>
          <t>MNQM2</t>
        </is>
      </c>
      <c r="D403" s="3" t="n">
        <v>13900.75</v>
      </c>
      <c r="E403" s="3" t="n">
        <v>13819</v>
      </c>
      <c r="F403" s="3">
        <f>D403-E403</f>
        <v/>
      </c>
      <c r="G403" s="2" t="inlineStr">
        <is>
          <t>Long</t>
        </is>
      </c>
      <c r="H403" s="3" t="n">
        <v>13900.75</v>
      </c>
      <c r="I403" s="3" t="n">
        <v>13982.5</v>
      </c>
      <c r="J403" s="3">
        <f>IF(G403="Long",I403-H403,IF(G403="Short",H403-I403,0))</f>
        <v/>
      </c>
      <c r="K403" s="4" t="n">
        <v>71.56</v>
      </c>
      <c r="L403" s="2" t="inlineStr">
        <is>
          <t>Win</t>
        </is>
      </c>
      <c r="M403" s="3">
        <f>M402+J403</f>
        <v/>
      </c>
    </row>
    <row r="404">
      <c r="A404" s="2" t="inlineStr">
        <is>
          <t>2022-03-18</t>
        </is>
      </c>
      <c r="B404" s="2" t="inlineStr">
        <is>
          <t>Friday</t>
        </is>
      </c>
      <c r="C404" s="2" t="inlineStr">
        <is>
          <t>MNQM2</t>
        </is>
      </c>
      <c r="D404" s="3" t="n">
        <v>14078.75</v>
      </c>
      <c r="E404" s="3" t="n">
        <v>13995.25</v>
      </c>
      <c r="F404" s="3">
        <f>D404-E404</f>
        <v/>
      </c>
      <c r="G404" s="2" t="inlineStr">
        <is>
          <t>Long</t>
        </is>
      </c>
      <c r="H404" s="3" t="n">
        <v>14078.75</v>
      </c>
      <c r="I404" s="3" t="n">
        <v>14162.25</v>
      </c>
      <c r="J404" s="3">
        <f>IF(G404="Long",I404-H404,IF(G404="Short",H404-I404,0))</f>
        <v/>
      </c>
      <c r="K404" s="4" t="n">
        <v>0</v>
      </c>
      <c r="L404" s="2" t="inlineStr">
        <is>
          <t>Win</t>
        </is>
      </c>
      <c r="M404" s="3">
        <f>M403+J404</f>
        <v/>
      </c>
    </row>
    <row r="405">
      <c r="A405" s="2" t="inlineStr">
        <is>
          <t>2022-03-21</t>
        </is>
      </c>
      <c r="B405" s="2" t="inlineStr">
        <is>
          <t>Monday</t>
        </is>
      </c>
      <c r="C405" s="2" t="inlineStr">
        <is>
          <t>MNQM2</t>
        </is>
      </c>
      <c r="D405" s="3" t="n">
        <v>14466.75</v>
      </c>
      <c r="E405" s="3" t="n">
        <v>14358.75</v>
      </c>
      <c r="F405" s="3">
        <f>D405-E405</f>
        <v/>
      </c>
      <c r="G405" s="2" t="inlineStr">
        <is>
          <t>Short</t>
        </is>
      </c>
      <c r="H405" s="3" t="n">
        <v>14358.75</v>
      </c>
      <c r="I405" s="3" t="n">
        <v>14250.75</v>
      </c>
      <c r="J405" s="3">
        <f>IF(G405="Long",I405-H405,IF(G405="Short",H405-I405,0))</f>
        <v/>
      </c>
      <c r="K405" s="4" t="n">
        <v>0</v>
      </c>
      <c r="L405" s="2" t="inlineStr">
        <is>
          <t>Win</t>
        </is>
      </c>
      <c r="M405" s="3">
        <f>M404+J405</f>
        <v/>
      </c>
    </row>
    <row r="406">
      <c r="A406" s="2" t="inlineStr">
        <is>
          <t>2022-03-21</t>
        </is>
      </c>
      <c r="B406" s="2" t="inlineStr">
        <is>
          <t>Monday</t>
        </is>
      </c>
      <c r="C406" s="2" t="inlineStr">
        <is>
          <t>MNQM2</t>
        </is>
      </c>
      <c r="D406" s="3" t="n">
        <v>14466.75</v>
      </c>
      <c r="E406" s="3" t="n">
        <v>14358.75</v>
      </c>
      <c r="F406" s="3">
        <f>D406-E406</f>
        <v/>
      </c>
      <c r="G406" s="2" t="inlineStr">
        <is>
          <t>Short</t>
        </is>
      </c>
      <c r="H406" s="3" t="n">
        <v>14358.75</v>
      </c>
      <c r="I406" s="3" t="n">
        <v>14250.75</v>
      </c>
      <c r="J406" s="3">
        <f>IF(G406="Long",I406-H406,IF(G406="Short",H406-I406,0))</f>
        <v/>
      </c>
      <c r="K406" s="4" t="n">
        <v>89.34999999999999</v>
      </c>
      <c r="L406" s="2" t="inlineStr">
        <is>
          <t>Win</t>
        </is>
      </c>
      <c r="M406" s="3">
        <f>M405+J406</f>
        <v/>
      </c>
    </row>
    <row r="407">
      <c r="A407" s="2" t="inlineStr">
        <is>
          <t>2022-03-22</t>
        </is>
      </c>
      <c r="B407" s="2" t="inlineStr">
        <is>
          <t>Tuesday</t>
        </is>
      </c>
      <c r="C407" s="2" t="inlineStr">
        <is>
          <t>MNQM2</t>
        </is>
      </c>
      <c r="D407" s="3" t="n">
        <v>14489</v>
      </c>
      <c r="E407" s="3" t="n">
        <v>14374.5</v>
      </c>
      <c r="F407" s="3">
        <f>D407-E407</f>
        <v/>
      </c>
      <c r="G407" s="2" t="inlineStr">
        <is>
          <t>Long</t>
        </is>
      </c>
      <c r="H407" s="3" t="n">
        <v>14489</v>
      </c>
      <c r="I407" s="3" t="n">
        <v>14603.5</v>
      </c>
      <c r="J407" s="3">
        <f>IF(G407="Long",I407-H407,IF(G407="Short",H407-I407,0))</f>
        <v/>
      </c>
      <c r="K407" s="4" t="n">
        <v>0</v>
      </c>
      <c r="L407" s="2" t="inlineStr">
        <is>
          <t>Win</t>
        </is>
      </c>
      <c r="M407" s="3">
        <f>M406+J407</f>
        <v/>
      </c>
    </row>
    <row r="408">
      <c r="A408" s="5" t="inlineStr">
        <is>
          <t>2022-03-23</t>
        </is>
      </c>
      <c r="B408" s="5" t="inlineStr">
        <is>
          <t>Wednesday</t>
        </is>
      </c>
      <c r="C408" s="5" t="inlineStr">
        <is>
          <t>MNQM2</t>
        </is>
      </c>
      <c r="D408" s="6" t="n">
        <v>14546.5</v>
      </c>
      <c r="E408" s="6" t="n">
        <v>14470.75</v>
      </c>
      <c r="F408" s="6">
        <f>D408-E408</f>
        <v/>
      </c>
      <c r="G408" s="5" t="inlineStr">
        <is>
          <t>Short</t>
        </is>
      </c>
      <c r="H408" s="6" t="n">
        <v>14470.75</v>
      </c>
      <c r="I408" s="6" t="n">
        <v>14546.5</v>
      </c>
      <c r="J408" s="6">
        <f>IF(G408="Long",I408-H408,IF(G408="Short",H408-I408,0))</f>
        <v/>
      </c>
      <c r="K408" s="7" t="n">
        <v>100</v>
      </c>
      <c r="L408" s="5" t="inlineStr">
        <is>
          <t>Loss</t>
        </is>
      </c>
      <c r="M408" s="6">
        <f>M407+J408</f>
        <v/>
      </c>
    </row>
    <row r="409">
      <c r="A409" s="2" t="inlineStr">
        <is>
          <t>2022-03-23</t>
        </is>
      </c>
      <c r="B409" s="2" t="inlineStr">
        <is>
          <t>Wednesday</t>
        </is>
      </c>
      <c r="C409" s="2" t="inlineStr">
        <is>
          <t>MNQM2</t>
        </is>
      </c>
      <c r="D409" s="3" t="n">
        <v>14546.5</v>
      </c>
      <c r="E409" s="3" t="n">
        <v>14470.75</v>
      </c>
      <c r="F409" s="3">
        <f>D409-E409</f>
        <v/>
      </c>
      <c r="G409" s="2" t="inlineStr">
        <is>
          <t>Long</t>
        </is>
      </c>
      <c r="H409" s="3" t="n">
        <v>14546.5</v>
      </c>
      <c r="I409" s="3" t="n">
        <v>14622.25</v>
      </c>
      <c r="J409" s="3">
        <f>IF(G409="Long",I409-H409,IF(G409="Short",H409-I409,0))</f>
        <v/>
      </c>
      <c r="K409" s="4" t="n">
        <v>24.75</v>
      </c>
      <c r="L409" s="2" t="inlineStr">
        <is>
          <t>Win</t>
        </is>
      </c>
      <c r="M409" s="3">
        <f>M408+J409</f>
        <v/>
      </c>
    </row>
    <row r="410">
      <c r="A410" s="5" t="inlineStr">
        <is>
          <t>2022-03-24</t>
        </is>
      </c>
      <c r="B410" s="5" t="inlineStr">
        <is>
          <t>Thursday</t>
        </is>
      </c>
      <c r="C410" s="5" t="inlineStr">
        <is>
          <t>MNQM2</t>
        </is>
      </c>
      <c r="D410" s="6" t="n">
        <v>14551.5</v>
      </c>
      <c r="E410" s="6" t="n">
        <v>14472</v>
      </c>
      <c r="F410" s="6">
        <f>D410-E410</f>
        <v/>
      </c>
      <c r="G410" s="5" t="inlineStr">
        <is>
          <t>Short</t>
        </is>
      </c>
      <c r="H410" s="6" t="n">
        <v>14472</v>
      </c>
      <c r="I410" s="6" t="n">
        <v>14551.5</v>
      </c>
      <c r="J410" s="6">
        <f>IF(G410="Long",I410-H410,IF(G410="Short",H410-I410,0))</f>
        <v/>
      </c>
      <c r="K410" s="7" t="n">
        <v>100</v>
      </c>
      <c r="L410" s="5" t="inlineStr">
        <is>
          <t>Loss</t>
        </is>
      </c>
      <c r="M410" s="6">
        <f>M409+J410</f>
        <v/>
      </c>
    </row>
    <row r="411">
      <c r="A411" s="2" t="inlineStr">
        <is>
          <t>2022-03-24</t>
        </is>
      </c>
      <c r="B411" s="2" t="inlineStr">
        <is>
          <t>Thursday</t>
        </is>
      </c>
      <c r="C411" s="2" t="inlineStr">
        <is>
          <t>MNQM2</t>
        </is>
      </c>
      <c r="D411" s="3" t="n">
        <v>14551.5</v>
      </c>
      <c r="E411" s="3" t="n">
        <v>14472</v>
      </c>
      <c r="F411" s="3">
        <f>D411-E411</f>
        <v/>
      </c>
      <c r="G411" s="2" t="inlineStr">
        <is>
          <t>Long</t>
        </is>
      </c>
      <c r="H411" s="3" t="n">
        <v>14551.5</v>
      </c>
      <c r="I411" s="3" t="n">
        <v>14631</v>
      </c>
      <c r="J411" s="3">
        <f>IF(G411="Long",I411-H411,IF(G411="Short",H411-I411,0))</f>
        <v/>
      </c>
      <c r="K411" s="4" t="n">
        <v>1.57</v>
      </c>
      <c r="L411" s="2" t="inlineStr">
        <is>
          <t>Win</t>
        </is>
      </c>
      <c r="M411" s="3">
        <f>M410+J411</f>
        <v/>
      </c>
    </row>
    <row r="412">
      <c r="A412" s="5" t="inlineStr">
        <is>
          <t>2022-03-25</t>
        </is>
      </c>
      <c r="B412" s="5" t="inlineStr">
        <is>
          <t>Friday</t>
        </is>
      </c>
      <c r="C412" s="5" t="inlineStr">
        <is>
          <t>MNQM2</t>
        </is>
      </c>
      <c r="D412" s="6" t="n">
        <v>14788.5</v>
      </c>
      <c r="E412" s="6" t="n">
        <v>14713.75</v>
      </c>
      <c r="F412" s="6">
        <f>D412-E412</f>
        <v/>
      </c>
      <c r="G412" s="5" t="inlineStr">
        <is>
          <t>Short</t>
        </is>
      </c>
      <c r="H412" s="6" t="n">
        <v>14713.75</v>
      </c>
      <c r="I412" s="6" t="n">
        <v>14788.5</v>
      </c>
      <c r="J412" s="6">
        <f>IF(G412="Long",I412-H412,IF(G412="Short",H412-I412,0))</f>
        <v/>
      </c>
      <c r="K412" s="7" t="n">
        <v>100</v>
      </c>
      <c r="L412" s="5" t="inlineStr">
        <is>
          <t>Loss</t>
        </is>
      </c>
      <c r="M412" s="6">
        <f>M411+J412</f>
        <v/>
      </c>
    </row>
    <row r="413">
      <c r="A413" s="5" t="inlineStr">
        <is>
          <t>2022-03-25</t>
        </is>
      </c>
      <c r="B413" s="5" t="inlineStr">
        <is>
          <t>Friday</t>
        </is>
      </c>
      <c r="C413" s="5" t="inlineStr">
        <is>
          <t>MNQM2</t>
        </is>
      </c>
      <c r="D413" s="6" t="n">
        <v>14788.5</v>
      </c>
      <c r="E413" s="6" t="n">
        <v>14713.75</v>
      </c>
      <c r="F413" s="6">
        <f>D413-E413</f>
        <v/>
      </c>
      <c r="G413" s="5" t="inlineStr">
        <is>
          <t>Long</t>
        </is>
      </c>
      <c r="H413" s="6" t="n">
        <v>14788.5</v>
      </c>
      <c r="I413" s="6" t="n">
        <v>14713.75</v>
      </c>
      <c r="J413" s="6">
        <f>IF(G413="Long",I413-H413,IF(G413="Short",H413-I413,0))</f>
        <v/>
      </c>
      <c r="K413" s="7" t="n">
        <v>100</v>
      </c>
      <c r="L413" s="5" t="inlineStr">
        <is>
          <t>Loss</t>
        </is>
      </c>
      <c r="M413" s="6">
        <f>M412+J413</f>
        <v/>
      </c>
    </row>
    <row r="414">
      <c r="A414" s="5" t="inlineStr">
        <is>
          <t>2022-03-28</t>
        </is>
      </c>
      <c r="B414" s="5" t="inlineStr">
        <is>
          <t>Monday</t>
        </is>
      </c>
      <c r="C414" s="5" t="inlineStr">
        <is>
          <t>MNQM2</t>
        </is>
      </c>
      <c r="D414" s="6" t="n">
        <v>14884.5</v>
      </c>
      <c r="E414" s="6" t="n">
        <v>14750</v>
      </c>
      <c r="F414" s="6">
        <f>D414-E414</f>
        <v/>
      </c>
      <c r="G414" s="5" t="inlineStr">
        <is>
          <t>Long</t>
        </is>
      </c>
      <c r="H414" s="6" t="n">
        <v>14884.5</v>
      </c>
      <c r="I414" s="6" t="n">
        <v>14750</v>
      </c>
      <c r="J414" s="6">
        <f>IF(G414="Long",I414-H414,IF(G414="Short",H414-I414,0))</f>
        <v/>
      </c>
      <c r="K414" s="7" t="n">
        <v>100</v>
      </c>
      <c r="L414" s="5" t="inlineStr">
        <is>
          <t>Loss</t>
        </is>
      </c>
      <c r="M414" s="6">
        <f>M413+J414</f>
        <v/>
      </c>
    </row>
    <row r="415">
      <c r="A415" s="5" t="inlineStr">
        <is>
          <t>2022-03-28</t>
        </is>
      </c>
      <c r="B415" s="5" t="inlineStr">
        <is>
          <t>Monday</t>
        </is>
      </c>
      <c r="C415" s="5" t="inlineStr">
        <is>
          <t>MNQM2</t>
        </is>
      </c>
      <c r="D415" s="6" t="n">
        <v>14884.5</v>
      </c>
      <c r="E415" s="6" t="n">
        <v>14750</v>
      </c>
      <c r="F415" s="6">
        <f>D415-E415</f>
        <v/>
      </c>
      <c r="G415" s="5" t="inlineStr">
        <is>
          <t>Short</t>
        </is>
      </c>
      <c r="H415" s="6" t="n">
        <v>14750</v>
      </c>
      <c r="I415" s="6" t="n">
        <v>14884.5</v>
      </c>
      <c r="J415" s="6">
        <f>IF(G415="Long",I415-H415,IF(G415="Short",H415-I415,0))</f>
        <v/>
      </c>
      <c r="K415" s="7" t="n">
        <v>100</v>
      </c>
      <c r="L415" s="5" t="inlineStr">
        <is>
          <t>Loss</t>
        </is>
      </c>
      <c r="M415" s="6">
        <f>M414+J415</f>
        <v/>
      </c>
    </row>
    <row r="416">
      <c r="A416" s="2" t="inlineStr">
        <is>
          <t>2022-03-29</t>
        </is>
      </c>
      <c r="B416" s="2" t="inlineStr">
        <is>
          <t>Tuesday</t>
        </is>
      </c>
      <c r="C416" s="2" t="inlineStr">
        <is>
          <t>MNQM2</t>
        </is>
      </c>
      <c r="D416" s="3" t="n">
        <v>15219.5</v>
      </c>
      <c r="E416" s="3" t="n">
        <v>15136.75</v>
      </c>
      <c r="F416" s="3">
        <f>D416-E416</f>
        <v/>
      </c>
      <c r="G416" s="2" t="inlineStr">
        <is>
          <t>Short</t>
        </is>
      </c>
      <c r="H416" s="3" t="n">
        <v>15136.75</v>
      </c>
      <c r="I416" s="3" t="n">
        <v>15054</v>
      </c>
      <c r="J416" s="3">
        <f>IF(G416="Long",I416-H416,IF(G416="Short",H416-I416,0))</f>
        <v/>
      </c>
      <c r="K416" s="4" t="n">
        <v>55.29</v>
      </c>
      <c r="L416" s="2" t="inlineStr">
        <is>
          <t>Win</t>
        </is>
      </c>
      <c r="M416" s="3">
        <f>M415+J416</f>
        <v/>
      </c>
    </row>
    <row r="417">
      <c r="A417" s="5" t="inlineStr">
        <is>
          <t>2022-03-29</t>
        </is>
      </c>
      <c r="B417" s="5" t="inlineStr">
        <is>
          <t>Tuesday</t>
        </is>
      </c>
      <c r="C417" s="5" t="inlineStr">
        <is>
          <t>MNQM2</t>
        </is>
      </c>
      <c r="D417" s="6" t="n">
        <v>15219.5</v>
      </c>
      <c r="E417" s="6" t="n">
        <v>15136.75</v>
      </c>
      <c r="F417" s="6">
        <f>D417-E417</f>
        <v/>
      </c>
      <c r="G417" s="5" t="inlineStr">
        <is>
          <t>Short</t>
        </is>
      </c>
      <c r="H417" s="6" t="n">
        <v>15136.75</v>
      </c>
      <c r="I417" s="6" t="n">
        <v>15219.5</v>
      </c>
      <c r="J417" s="6">
        <f>IF(G417="Long",I417-H417,IF(G417="Short",H417-I417,0))</f>
        <v/>
      </c>
      <c r="K417" s="7" t="n">
        <v>100</v>
      </c>
      <c r="L417" s="5" t="inlineStr">
        <is>
          <t>Loss</t>
        </is>
      </c>
      <c r="M417" s="6">
        <f>M416+J417</f>
        <v/>
      </c>
    </row>
    <row r="418">
      <c r="A418" s="5" t="inlineStr">
        <is>
          <t>2022-03-30</t>
        </is>
      </c>
      <c r="B418" s="5" t="inlineStr">
        <is>
          <t>Wednesday</t>
        </is>
      </c>
      <c r="C418" s="5" t="inlineStr">
        <is>
          <t>MNQM2</t>
        </is>
      </c>
      <c r="D418" s="6" t="n">
        <v>15197.75</v>
      </c>
      <c r="E418" s="6" t="n">
        <v>15141.5</v>
      </c>
      <c r="F418" s="6">
        <f>D418-E418</f>
        <v/>
      </c>
      <c r="G418" s="5" t="inlineStr">
        <is>
          <t>Long</t>
        </is>
      </c>
      <c r="H418" s="6" t="n">
        <v>15197.75</v>
      </c>
      <c r="I418" s="6" t="n">
        <v>15141.5</v>
      </c>
      <c r="J418" s="6">
        <f>IF(G418="Long",I418-H418,IF(G418="Short",H418-I418,0))</f>
        <v/>
      </c>
      <c r="K418" s="7" t="n">
        <v>100</v>
      </c>
      <c r="L418" s="5" t="inlineStr">
        <is>
          <t>Loss</t>
        </is>
      </c>
      <c r="M418" s="6">
        <f>M417+J418</f>
        <v/>
      </c>
    </row>
    <row r="419">
      <c r="A419" s="2" t="inlineStr">
        <is>
          <t>2022-03-30</t>
        </is>
      </c>
      <c r="B419" s="2" t="inlineStr">
        <is>
          <t>Wednesday</t>
        </is>
      </c>
      <c r="C419" s="2" t="inlineStr">
        <is>
          <t>MNQM2</t>
        </is>
      </c>
      <c r="D419" s="3" t="n">
        <v>15197.75</v>
      </c>
      <c r="E419" s="3" t="n">
        <v>15141.5</v>
      </c>
      <c r="F419" s="3">
        <f>D419-E419</f>
        <v/>
      </c>
      <c r="G419" s="2" t="inlineStr">
        <is>
          <t>Short</t>
        </is>
      </c>
      <c r="H419" s="3" t="n">
        <v>15141.5</v>
      </c>
      <c r="I419" s="3" t="n">
        <v>15085.25</v>
      </c>
      <c r="J419" s="3">
        <f>IF(G419="Long",I419-H419,IF(G419="Short",H419-I419,0))</f>
        <v/>
      </c>
      <c r="K419" s="4" t="n">
        <v>98.22</v>
      </c>
      <c r="L419" s="2" t="inlineStr">
        <is>
          <t>Win</t>
        </is>
      </c>
      <c r="M419" s="3">
        <f>M418+J419</f>
        <v/>
      </c>
    </row>
    <row r="420">
      <c r="A420" s="5" t="inlineStr">
        <is>
          <t>2022-03-31</t>
        </is>
      </c>
      <c r="B420" s="5" t="inlineStr">
        <is>
          <t>Thursday</t>
        </is>
      </c>
      <c r="C420" s="5" t="inlineStr">
        <is>
          <t>MNQM2</t>
        </is>
      </c>
      <c r="D420" s="6" t="n">
        <v>15090</v>
      </c>
      <c r="E420" s="6" t="n">
        <v>14987.25</v>
      </c>
      <c r="F420" s="6">
        <f>D420-E420</f>
        <v/>
      </c>
      <c r="G420" s="5" t="inlineStr">
        <is>
          <t>Short</t>
        </is>
      </c>
      <c r="H420" s="6" t="n">
        <v>14987.25</v>
      </c>
      <c r="I420" s="6" t="n">
        <v>15090</v>
      </c>
      <c r="J420" s="6">
        <f>IF(G420="Long",I420-H420,IF(G420="Short",H420-I420,0))</f>
        <v/>
      </c>
      <c r="K420" s="7" t="n">
        <v>100</v>
      </c>
      <c r="L420" s="5" t="inlineStr">
        <is>
          <t>Loss</t>
        </is>
      </c>
      <c r="M420" s="6">
        <f>M419+J420</f>
        <v/>
      </c>
    </row>
    <row r="421">
      <c r="A421" s="2" t="inlineStr">
        <is>
          <t>2022-03-31</t>
        </is>
      </c>
      <c r="B421" s="2" t="inlineStr">
        <is>
          <t>Thursday</t>
        </is>
      </c>
      <c r="C421" s="2" t="inlineStr">
        <is>
          <t>MNQM2</t>
        </is>
      </c>
      <c r="D421" s="3" t="n">
        <v>15090</v>
      </c>
      <c r="E421" s="3" t="n">
        <v>14987.25</v>
      </c>
      <c r="F421" s="3">
        <f>D421-E421</f>
        <v/>
      </c>
      <c r="G421" s="2" t="inlineStr">
        <is>
          <t>Short</t>
        </is>
      </c>
      <c r="H421" s="3" t="n">
        <v>14987.25</v>
      </c>
      <c r="I421" s="3" t="n">
        <v>14884.5</v>
      </c>
      <c r="J421" s="3">
        <f>IF(G421="Long",I421-H421,IF(G421="Short",H421-I421,0))</f>
        <v/>
      </c>
      <c r="K421" s="4" t="n">
        <v>75.67</v>
      </c>
      <c r="L421" s="2" t="inlineStr">
        <is>
          <t>Win</t>
        </is>
      </c>
      <c r="M421" s="3">
        <f>M420+J421</f>
        <v/>
      </c>
    </row>
    <row r="422">
      <c r="A422" s="2" t="inlineStr">
        <is>
          <t>2022-04-01</t>
        </is>
      </c>
      <c r="B422" s="2" t="inlineStr">
        <is>
          <t>Friday</t>
        </is>
      </c>
      <c r="C422" s="2" t="inlineStr">
        <is>
          <t>MNQM2</t>
        </is>
      </c>
      <c r="D422" s="3" t="n">
        <v>14932</v>
      </c>
      <c r="E422" s="3" t="n">
        <v>14856.5</v>
      </c>
      <c r="F422" s="3">
        <f>D422-E422</f>
        <v/>
      </c>
      <c r="G422" s="2" t="inlineStr">
        <is>
          <t>Short</t>
        </is>
      </c>
      <c r="H422" s="3" t="n">
        <v>14856.5</v>
      </c>
      <c r="I422" s="3" t="n">
        <v>14781</v>
      </c>
      <c r="J422" s="3">
        <f>IF(G422="Long",I422-H422,IF(G422="Short",H422-I422,0))</f>
        <v/>
      </c>
      <c r="K422" s="4" t="n">
        <v>55.96</v>
      </c>
      <c r="L422" s="2" t="inlineStr">
        <is>
          <t>Win</t>
        </is>
      </c>
      <c r="M422" s="3">
        <f>M421+J422</f>
        <v/>
      </c>
    </row>
    <row r="423">
      <c r="A423" s="2" t="inlineStr">
        <is>
          <t>2022-04-01</t>
        </is>
      </c>
      <c r="B423" s="2" t="inlineStr">
        <is>
          <t>Friday</t>
        </is>
      </c>
      <c r="C423" s="2" t="inlineStr">
        <is>
          <t>MNQM2</t>
        </is>
      </c>
      <c r="D423" s="3" t="n">
        <v>14932</v>
      </c>
      <c r="E423" s="3" t="n">
        <v>14856.5</v>
      </c>
      <c r="F423" s="3">
        <f>D423-E423</f>
        <v/>
      </c>
      <c r="G423" s="2" t="inlineStr">
        <is>
          <t>Short</t>
        </is>
      </c>
      <c r="H423" s="3" t="n">
        <v>14856.5</v>
      </c>
      <c r="I423" s="3" t="n">
        <v>14781</v>
      </c>
      <c r="J423" s="3">
        <f>IF(G423="Long",I423-H423,IF(G423="Short",H423-I423,0))</f>
        <v/>
      </c>
      <c r="K423" s="4" t="n">
        <v>0</v>
      </c>
      <c r="L423" s="2" t="inlineStr">
        <is>
          <t>Win</t>
        </is>
      </c>
      <c r="M423" s="3">
        <f>M422+J423</f>
        <v/>
      </c>
    </row>
    <row r="424">
      <c r="A424" s="2" t="inlineStr">
        <is>
          <t>2022-04-04</t>
        </is>
      </c>
      <c r="B424" s="2" t="inlineStr">
        <is>
          <t>Monday</t>
        </is>
      </c>
      <c r="C424" s="2" t="inlineStr">
        <is>
          <t>MNQM2</t>
        </is>
      </c>
      <c r="D424" s="3" t="n">
        <v>14995.25</v>
      </c>
      <c r="E424" s="3" t="n">
        <v>14884</v>
      </c>
      <c r="F424" s="3">
        <f>D424-E424</f>
        <v/>
      </c>
      <c r="G424" s="2" t="inlineStr">
        <is>
          <t>Long</t>
        </is>
      </c>
      <c r="H424" s="3" t="n">
        <v>14995.25</v>
      </c>
      <c r="I424" s="3" t="n">
        <v>15106.5</v>
      </c>
      <c r="J424" s="3">
        <f>IF(G424="Long",I424-H424,IF(G424="Short",H424-I424,0))</f>
        <v/>
      </c>
      <c r="K424" s="4" t="n">
        <v>0</v>
      </c>
      <c r="L424" s="2" t="inlineStr">
        <is>
          <t>Win</t>
        </is>
      </c>
      <c r="M424" s="3">
        <f>M423+J424</f>
        <v/>
      </c>
    </row>
    <row r="425">
      <c r="A425" s="2" t="inlineStr">
        <is>
          <t>2022-04-05</t>
        </is>
      </c>
      <c r="B425" s="2" t="inlineStr">
        <is>
          <t>Tuesday</t>
        </is>
      </c>
      <c r="C425" s="2" t="inlineStr">
        <is>
          <t>MNQM2</t>
        </is>
      </c>
      <c r="D425" s="3" t="n">
        <v>15135.5</v>
      </c>
      <c r="E425" s="3" t="n">
        <v>15079.5</v>
      </c>
      <c r="F425" s="3">
        <f>D425-E425</f>
        <v/>
      </c>
      <c r="G425" s="2" t="inlineStr">
        <is>
          <t>Short</t>
        </is>
      </c>
      <c r="H425" s="3" t="n">
        <v>15079.5</v>
      </c>
      <c r="I425" s="3" t="n">
        <v>15023.5</v>
      </c>
      <c r="J425" s="3">
        <f>IF(G425="Long",I425-H425,IF(G425="Short",H425-I425,0))</f>
        <v/>
      </c>
      <c r="K425" s="4" t="n">
        <v>37.95</v>
      </c>
      <c r="L425" s="2" t="inlineStr">
        <is>
          <t>Win</t>
        </is>
      </c>
      <c r="M425" s="3">
        <f>M424+J425</f>
        <v/>
      </c>
    </row>
    <row r="426">
      <c r="A426" s="2" t="inlineStr">
        <is>
          <t>2022-04-06</t>
        </is>
      </c>
      <c r="B426" s="2" t="inlineStr">
        <is>
          <t>Wednesday</t>
        </is>
      </c>
      <c r="C426" s="2" t="inlineStr">
        <is>
          <t>MNQM2</t>
        </is>
      </c>
      <c r="D426" s="3" t="n">
        <v>14643.5</v>
      </c>
      <c r="E426" s="3" t="n">
        <v>14534</v>
      </c>
      <c r="F426" s="3">
        <f>D426-E426</f>
        <v/>
      </c>
      <c r="G426" s="2" t="inlineStr">
        <is>
          <t>Short</t>
        </is>
      </c>
      <c r="H426" s="3" t="n">
        <v>14534</v>
      </c>
      <c r="I426" s="3" t="n">
        <v>14424.5</v>
      </c>
      <c r="J426" s="3">
        <f>IF(G426="Long",I426-H426,IF(G426="Short",H426-I426,0))</f>
        <v/>
      </c>
      <c r="K426" s="4" t="n">
        <v>0</v>
      </c>
      <c r="L426" s="2" t="inlineStr">
        <is>
          <t>Win</t>
        </is>
      </c>
      <c r="M426" s="3">
        <f>M425+J426</f>
        <v/>
      </c>
    </row>
    <row r="427">
      <c r="A427" s="2" t="inlineStr">
        <is>
          <t>2022-04-06</t>
        </is>
      </c>
      <c r="B427" s="2" t="inlineStr">
        <is>
          <t>Wednesday</t>
        </is>
      </c>
      <c r="C427" s="2" t="inlineStr">
        <is>
          <t>MNQM2</t>
        </is>
      </c>
      <c r="D427" s="3" t="n">
        <v>14643.5</v>
      </c>
      <c r="E427" s="3" t="n">
        <v>14534</v>
      </c>
      <c r="F427" s="3">
        <f>D427-E427</f>
        <v/>
      </c>
      <c r="G427" s="2" t="inlineStr">
        <is>
          <t>Short</t>
        </is>
      </c>
      <c r="H427" s="3" t="n">
        <v>14534</v>
      </c>
      <c r="I427" s="3" t="n">
        <v>14424.5</v>
      </c>
      <c r="J427" s="3">
        <f>IF(G427="Long",I427-H427,IF(G427="Short",H427-I427,0))</f>
        <v/>
      </c>
      <c r="K427" s="4" t="n">
        <v>91.55</v>
      </c>
      <c r="L427" s="2" t="inlineStr">
        <is>
          <t>Win</t>
        </is>
      </c>
      <c r="M427" s="3">
        <f>M426+J427</f>
        <v/>
      </c>
    </row>
    <row r="428">
      <c r="A428" s="2" t="inlineStr">
        <is>
          <t>2022-04-07</t>
        </is>
      </c>
      <c r="B428" s="2" t="inlineStr">
        <is>
          <t>Thursday</t>
        </is>
      </c>
      <c r="C428" s="2" t="inlineStr">
        <is>
          <t>MNQM2</t>
        </is>
      </c>
      <c r="D428" s="3" t="n">
        <v>14577.75</v>
      </c>
      <c r="E428" s="3" t="n">
        <v>14459.5</v>
      </c>
      <c r="F428" s="3">
        <f>D428-E428</f>
        <v/>
      </c>
      <c r="G428" s="2" t="inlineStr">
        <is>
          <t>Short</t>
        </is>
      </c>
      <c r="H428" s="3" t="n">
        <v>14459.5</v>
      </c>
      <c r="I428" s="3" t="n">
        <v>14341.25</v>
      </c>
      <c r="J428" s="3">
        <f>IF(G428="Long",I428-H428,IF(G428="Short",H428-I428,0))</f>
        <v/>
      </c>
      <c r="K428" s="4" t="n">
        <v>41.65</v>
      </c>
      <c r="L428" s="2" t="inlineStr">
        <is>
          <t>Win</t>
        </is>
      </c>
      <c r="M428" s="3">
        <f>M427+J428</f>
        <v/>
      </c>
    </row>
    <row r="429">
      <c r="A429" s="5" t="inlineStr">
        <is>
          <t>2022-04-07</t>
        </is>
      </c>
      <c r="B429" s="5" t="inlineStr">
        <is>
          <t>Thursday</t>
        </is>
      </c>
      <c r="C429" s="5" t="inlineStr">
        <is>
          <t>MNQM2</t>
        </is>
      </c>
      <c r="D429" s="6" t="n">
        <v>14577.75</v>
      </c>
      <c r="E429" s="6" t="n">
        <v>14459.5</v>
      </c>
      <c r="F429" s="6">
        <f>D429-E429</f>
        <v/>
      </c>
      <c r="G429" s="5" t="inlineStr">
        <is>
          <t>Short</t>
        </is>
      </c>
      <c r="H429" s="6" t="n">
        <v>14459.5</v>
      </c>
      <c r="I429" s="6" t="n">
        <v>14577.75</v>
      </c>
      <c r="J429" s="6">
        <f>IF(G429="Long",I429-H429,IF(G429="Short",H429-I429,0))</f>
        <v/>
      </c>
      <c r="K429" s="7" t="n">
        <v>100</v>
      </c>
      <c r="L429" s="5" t="inlineStr">
        <is>
          <t>Loss</t>
        </is>
      </c>
      <c r="M429" s="6">
        <f>M428+J429</f>
        <v/>
      </c>
    </row>
    <row r="430">
      <c r="A430" s="5" t="inlineStr">
        <is>
          <t>2022-04-08</t>
        </is>
      </c>
      <c r="B430" s="5" t="inlineStr">
        <is>
          <t>Friday</t>
        </is>
      </c>
      <c r="C430" s="5" t="inlineStr">
        <is>
          <t>MNQM2</t>
        </is>
      </c>
      <c r="D430" s="6" t="n">
        <v>14476.75</v>
      </c>
      <c r="E430" s="6" t="n">
        <v>14363.75</v>
      </c>
      <c r="F430" s="6">
        <f>D430-E430</f>
        <v/>
      </c>
      <c r="G430" s="5" t="inlineStr">
        <is>
          <t>Short</t>
        </is>
      </c>
      <c r="H430" s="6" t="n">
        <v>14363.75</v>
      </c>
      <c r="I430" s="6" t="n">
        <v>14476.75</v>
      </c>
      <c r="J430" s="6">
        <f>IF(G430="Long",I430-H430,IF(G430="Short",H430-I430,0))</f>
        <v/>
      </c>
      <c r="K430" s="7" t="n">
        <v>100</v>
      </c>
      <c r="L430" s="5" t="inlineStr">
        <is>
          <t>Loss</t>
        </is>
      </c>
      <c r="M430" s="6">
        <f>M429+J430</f>
        <v/>
      </c>
    </row>
    <row r="431">
      <c r="A431" s="5" t="inlineStr">
        <is>
          <t>2022-04-08</t>
        </is>
      </c>
      <c r="B431" s="5" t="inlineStr">
        <is>
          <t>Friday</t>
        </is>
      </c>
      <c r="C431" s="5" t="inlineStr">
        <is>
          <t>MNQM2</t>
        </is>
      </c>
      <c r="D431" s="6" t="n">
        <v>14476.75</v>
      </c>
      <c r="E431" s="6" t="n">
        <v>14363.75</v>
      </c>
      <c r="F431" s="6">
        <f>D431-E431</f>
        <v/>
      </c>
      <c r="G431" s="5" t="inlineStr">
        <is>
          <t>Long</t>
        </is>
      </c>
      <c r="H431" s="6" t="n">
        <v>14476.75</v>
      </c>
      <c r="I431" s="6" t="n">
        <v>14363.75</v>
      </c>
      <c r="J431" s="6">
        <f>IF(G431="Long",I431-H431,IF(G431="Short",H431-I431,0))</f>
        <v/>
      </c>
      <c r="K431" s="7" t="n">
        <v>100</v>
      </c>
      <c r="L431" s="5" t="inlineStr">
        <is>
          <t>Loss</t>
        </is>
      </c>
      <c r="M431" s="6">
        <f>M430+J431</f>
        <v/>
      </c>
    </row>
    <row r="432">
      <c r="A432" s="2" t="inlineStr">
        <is>
          <t>2022-04-11</t>
        </is>
      </c>
      <c r="B432" s="2" t="inlineStr">
        <is>
          <t>Monday</t>
        </is>
      </c>
      <c r="C432" s="2" t="inlineStr">
        <is>
          <t>MNQM2</t>
        </is>
      </c>
      <c r="D432" s="3" t="n">
        <v>14178</v>
      </c>
      <c r="E432" s="3" t="n">
        <v>14099.5</v>
      </c>
      <c r="F432" s="3">
        <f>D432-E432</f>
        <v/>
      </c>
      <c r="G432" s="2" t="inlineStr">
        <is>
          <t>Short</t>
        </is>
      </c>
      <c r="H432" s="3" t="n">
        <v>14099.5</v>
      </c>
      <c r="I432" s="3" t="n">
        <v>14021</v>
      </c>
      <c r="J432" s="3">
        <f>IF(G432="Long",I432-H432,IF(G432="Short",H432-I432,0))</f>
        <v/>
      </c>
      <c r="K432" s="4" t="n">
        <v>40.76</v>
      </c>
      <c r="L432" s="2" t="inlineStr">
        <is>
          <t>Win</t>
        </is>
      </c>
      <c r="M432" s="3">
        <f>M431+J432</f>
        <v/>
      </c>
    </row>
    <row r="433">
      <c r="A433" s="5" t="inlineStr">
        <is>
          <t>2022-04-12</t>
        </is>
      </c>
      <c r="B433" s="5" t="inlineStr">
        <is>
          <t>Tuesday</t>
        </is>
      </c>
      <c r="C433" s="5" t="inlineStr">
        <is>
          <t>MNQM2</t>
        </is>
      </c>
      <c r="D433" s="6" t="n">
        <v>14202.25</v>
      </c>
      <c r="E433" s="6" t="n">
        <v>14113</v>
      </c>
      <c r="F433" s="6">
        <f>D433-E433</f>
        <v/>
      </c>
      <c r="G433" s="5" t="inlineStr">
        <is>
          <t>Long</t>
        </is>
      </c>
      <c r="H433" s="6" t="n">
        <v>14202.25</v>
      </c>
      <c r="I433" s="6" t="n">
        <v>14113</v>
      </c>
      <c r="J433" s="6">
        <f>IF(G433="Long",I433-H433,IF(G433="Short",H433-I433,0))</f>
        <v/>
      </c>
      <c r="K433" s="7" t="n">
        <v>100</v>
      </c>
      <c r="L433" s="5" t="inlineStr">
        <is>
          <t>Loss</t>
        </is>
      </c>
      <c r="M433" s="6">
        <f>M432+J433</f>
        <v/>
      </c>
    </row>
    <row r="434">
      <c r="A434" s="2" t="inlineStr">
        <is>
          <t>2022-04-12</t>
        </is>
      </c>
      <c r="B434" s="2" t="inlineStr">
        <is>
          <t>Tuesday</t>
        </is>
      </c>
      <c r="C434" s="2" t="inlineStr">
        <is>
          <t>MNQM2</t>
        </is>
      </c>
      <c r="D434" s="3" t="n">
        <v>14202.25</v>
      </c>
      <c r="E434" s="3" t="n">
        <v>14113</v>
      </c>
      <c r="F434" s="3">
        <f>D434-E434</f>
        <v/>
      </c>
      <c r="G434" s="2" t="inlineStr">
        <is>
          <t>Short</t>
        </is>
      </c>
      <c r="H434" s="3" t="n">
        <v>14113</v>
      </c>
      <c r="I434" s="3" t="n">
        <v>14023.75</v>
      </c>
      <c r="J434" s="3">
        <f>IF(G434="Long",I434-H434,IF(G434="Short",H434-I434,0))</f>
        <v/>
      </c>
      <c r="K434" s="4" t="n">
        <v>99.72</v>
      </c>
      <c r="L434" s="2" t="inlineStr">
        <is>
          <t>Win</t>
        </is>
      </c>
      <c r="M434" s="3">
        <f>M433+J434</f>
        <v/>
      </c>
    </row>
    <row r="435">
      <c r="A435" s="2" t="inlineStr">
        <is>
          <t>2022-04-13</t>
        </is>
      </c>
      <c r="B435" s="2" t="inlineStr">
        <is>
          <t>Wednesday</t>
        </is>
      </c>
      <c r="C435" s="2" t="inlineStr">
        <is>
          <t>MNQM2</t>
        </is>
      </c>
      <c r="D435" s="3" t="n">
        <v>14029.75</v>
      </c>
      <c r="E435" s="3" t="n">
        <v>13921.5</v>
      </c>
      <c r="F435" s="3">
        <f>D435-E435</f>
        <v/>
      </c>
      <c r="G435" s="2" t="inlineStr">
        <is>
          <t>Long</t>
        </is>
      </c>
      <c r="H435" s="3" t="n">
        <v>14029.75</v>
      </c>
      <c r="I435" s="3" t="n">
        <v>14138</v>
      </c>
      <c r="J435" s="3">
        <f>IF(G435="Long",I435-H435,IF(G435="Short",H435-I435,0))</f>
        <v/>
      </c>
      <c r="K435" s="4" t="n">
        <v>33.49</v>
      </c>
      <c r="L435" s="2" t="inlineStr">
        <is>
          <t>Win</t>
        </is>
      </c>
      <c r="M435" s="3">
        <f>M434+J435</f>
        <v/>
      </c>
    </row>
    <row r="436">
      <c r="A436" s="2" t="inlineStr">
        <is>
          <t>2022-04-14</t>
        </is>
      </c>
      <c r="B436" s="2" t="inlineStr">
        <is>
          <t>Thursday</t>
        </is>
      </c>
      <c r="C436" s="2" t="inlineStr">
        <is>
          <t>MNQM2</t>
        </is>
      </c>
      <c r="D436" s="3" t="n">
        <v>14246.75</v>
      </c>
      <c r="E436" s="3" t="n">
        <v>14133.75</v>
      </c>
      <c r="F436" s="3">
        <f>D436-E436</f>
        <v/>
      </c>
      <c r="G436" s="2" t="inlineStr">
        <is>
          <t>Short</t>
        </is>
      </c>
      <c r="H436" s="3" t="n">
        <v>14133.75</v>
      </c>
      <c r="I436" s="3" t="n">
        <v>14020.75</v>
      </c>
      <c r="J436" s="3">
        <f>IF(G436="Long",I436-H436,IF(G436="Short",H436-I436,0))</f>
        <v/>
      </c>
      <c r="K436" s="4" t="n">
        <v>6.42</v>
      </c>
      <c r="L436" s="2" t="inlineStr">
        <is>
          <t>Win</t>
        </is>
      </c>
      <c r="M436" s="3">
        <f>M435+J436</f>
        <v/>
      </c>
    </row>
    <row r="437">
      <c r="A437" s="5" t="inlineStr">
        <is>
          <t>2022-04-18</t>
        </is>
      </c>
      <c r="B437" s="5" t="inlineStr">
        <is>
          <t>Monday</t>
        </is>
      </c>
      <c r="C437" s="5" t="inlineStr">
        <is>
          <t>MNQM2</t>
        </is>
      </c>
      <c r="D437" s="6" t="n">
        <v>13932.75</v>
      </c>
      <c r="E437" s="6" t="n">
        <v>13849</v>
      </c>
      <c r="F437" s="6">
        <f>D437-E437</f>
        <v/>
      </c>
      <c r="G437" s="5" t="inlineStr">
        <is>
          <t>Short</t>
        </is>
      </c>
      <c r="H437" s="6" t="n">
        <v>13849</v>
      </c>
      <c r="I437" s="6" t="n">
        <v>13932.75</v>
      </c>
      <c r="J437" s="6">
        <f>IF(G437="Long",I437-H437,IF(G437="Short",H437-I437,0))</f>
        <v/>
      </c>
      <c r="K437" s="7" t="n">
        <v>100</v>
      </c>
      <c r="L437" s="5" t="inlineStr">
        <is>
          <t>Loss</t>
        </is>
      </c>
      <c r="M437" s="6">
        <f>M436+J437</f>
        <v/>
      </c>
    </row>
    <row r="438">
      <c r="A438" s="5" t="inlineStr">
        <is>
          <t>2022-04-18</t>
        </is>
      </c>
      <c r="B438" s="5" t="inlineStr">
        <is>
          <t>Monday</t>
        </is>
      </c>
      <c r="C438" s="5" t="inlineStr">
        <is>
          <t>MNQM2</t>
        </is>
      </c>
      <c r="D438" s="6" t="n">
        <v>13932.75</v>
      </c>
      <c r="E438" s="6" t="n">
        <v>13849</v>
      </c>
      <c r="F438" s="6">
        <f>D438-E438</f>
        <v/>
      </c>
      <c r="G438" s="5" t="inlineStr">
        <is>
          <t>Long</t>
        </is>
      </c>
      <c r="H438" s="6" t="n">
        <v>13932.75</v>
      </c>
      <c r="I438" s="6" t="n">
        <v>13849</v>
      </c>
      <c r="J438" s="6">
        <f>IF(G438="Long",I438-H438,IF(G438="Short",H438-I438,0))</f>
        <v/>
      </c>
      <c r="K438" s="7" t="n">
        <v>100</v>
      </c>
      <c r="L438" s="5" t="inlineStr">
        <is>
          <t>Loss</t>
        </is>
      </c>
      <c r="M438" s="6">
        <f>M437+J438</f>
        <v/>
      </c>
    </row>
    <row r="439">
      <c r="A439" s="2" t="inlineStr">
        <is>
          <t>2022-04-19</t>
        </is>
      </c>
      <c r="B439" s="2" t="inlineStr">
        <is>
          <t>Tuesday</t>
        </is>
      </c>
      <c r="C439" s="2" t="inlineStr">
        <is>
          <t>MNQM2</t>
        </is>
      </c>
      <c r="D439" s="3" t="n">
        <v>13928.5</v>
      </c>
      <c r="E439" s="3" t="n">
        <v>13833.75</v>
      </c>
      <c r="F439" s="3">
        <f>D439-E439</f>
        <v/>
      </c>
      <c r="G439" s="2" t="inlineStr">
        <is>
          <t>Long</t>
        </is>
      </c>
      <c r="H439" s="3" t="n">
        <v>13928.5</v>
      </c>
      <c r="I439" s="3" t="n">
        <v>14023.25</v>
      </c>
      <c r="J439" s="3">
        <f>IF(G439="Long",I439-H439,IF(G439="Short",H439-I439,0))</f>
        <v/>
      </c>
      <c r="K439" s="4" t="n">
        <v>19.26</v>
      </c>
      <c r="L439" s="2" t="inlineStr">
        <is>
          <t>Win</t>
        </is>
      </c>
      <c r="M439" s="3">
        <f>M438+J439</f>
        <v/>
      </c>
    </row>
    <row r="440">
      <c r="A440" s="2" t="inlineStr">
        <is>
          <t>2022-04-20</t>
        </is>
      </c>
      <c r="B440" s="2" t="inlineStr">
        <is>
          <t>Wednesday</t>
        </is>
      </c>
      <c r="C440" s="2" t="inlineStr">
        <is>
          <t>MNQM2</t>
        </is>
      </c>
      <c r="D440" s="3" t="n">
        <v>14269.75</v>
      </c>
      <c r="E440" s="3" t="n">
        <v>14123.75</v>
      </c>
      <c r="F440" s="3">
        <f>D440-E440</f>
        <v/>
      </c>
      <c r="G440" s="2" t="inlineStr">
        <is>
          <t>Short</t>
        </is>
      </c>
      <c r="H440" s="3" t="n">
        <v>14123.75</v>
      </c>
      <c r="I440" s="3" t="n">
        <v>13977.75</v>
      </c>
      <c r="J440" s="3">
        <f>IF(G440="Long",I440-H440,IF(G440="Short",H440-I440,0))</f>
        <v/>
      </c>
      <c r="K440" s="4" t="n">
        <v>17.12</v>
      </c>
      <c r="L440" s="2" t="inlineStr">
        <is>
          <t>Win</t>
        </is>
      </c>
      <c r="M440" s="3">
        <f>M439+J440</f>
        <v/>
      </c>
    </row>
    <row r="441">
      <c r="A441" s="2" t="inlineStr">
        <is>
          <t>2022-04-21</t>
        </is>
      </c>
      <c r="B441" s="2" t="inlineStr">
        <is>
          <t>Thursday</t>
        </is>
      </c>
      <c r="C441" s="2" t="inlineStr">
        <is>
          <t>MNQM2</t>
        </is>
      </c>
      <c r="D441" s="3" t="n">
        <v>14283</v>
      </c>
      <c r="E441" s="3" t="n">
        <v>14163.5</v>
      </c>
      <c r="F441" s="3">
        <f>D441-E441</f>
        <v/>
      </c>
      <c r="G441" s="2" t="inlineStr">
        <is>
          <t>Short</t>
        </is>
      </c>
      <c r="H441" s="3" t="n">
        <v>14163.5</v>
      </c>
      <c r="I441" s="3" t="n">
        <v>14044</v>
      </c>
      <c r="J441" s="3">
        <f>IF(G441="Long",I441-H441,IF(G441="Short",H441-I441,0))</f>
        <v/>
      </c>
      <c r="K441" s="4" t="n">
        <v>24.27</v>
      </c>
      <c r="L441" s="2" t="inlineStr">
        <is>
          <t>Win</t>
        </is>
      </c>
      <c r="M441" s="3">
        <f>M440+J441</f>
        <v/>
      </c>
    </row>
    <row r="442">
      <c r="A442" s="2" t="inlineStr">
        <is>
          <t>2022-04-22</t>
        </is>
      </c>
      <c r="B442" s="2" t="inlineStr">
        <is>
          <t>Friday</t>
        </is>
      </c>
      <c r="C442" s="2" t="inlineStr">
        <is>
          <t>MNQM2</t>
        </is>
      </c>
      <c r="D442" s="3" t="n">
        <v>13777.5</v>
      </c>
      <c r="E442" s="3" t="n">
        <v>13615.5</v>
      </c>
      <c r="F442" s="3">
        <f>D442-E442</f>
        <v/>
      </c>
      <c r="G442" s="2" t="inlineStr">
        <is>
          <t>Short</t>
        </is>
      </c>
      <c r="H442" s="3" t="n">
        <v>13615.5</v>
      </c>
      <c r="I442" s="3" t="n">
        <v>13453.5</v>
      </c>
      <c r="J442" s="3">
        <f>IF(G442="Long",I442-H442,IF(G442="Short",H442-I442,0))</f>
        <v/>
      </c>
      <c r="K442" s="4" t="n">
        <v>35.19</v>
      </c>
      <c r="L442" s="2" t="inlineStr">
        <is>
          <t>Win</t>
        </is>
      </c>
      <c r="M442" s="3">
        <f>M441+J442</f>
        <v/>
      </c>
    </row>
    <row r="443">
      <c r="A443" s="5" t="inlineStr">
        <is>
          <t>2022-04-25</t>
        </is>
      </c>
      <c r="B443" s="5" t="inlineStr">
        <is>
          <t>Monday</t>
        </is>
      </c>
      <c r="C443" s="5" t="inlineStr">
        <is>
          <t>MNQM2</t>
        </is>
      </c>
      <c r="D443" s="6" t="n">
        <v>13366</v>
      </c>
      <c r="E443" s="6" t="n">
        <v>13261.75</v>
      </c>
      <c r="F443" s="6">
        <f>D443-E443</f>
        <v/>
      </c>
      <c r="G443" s="5" t="inlineStr">
        <is>
          <t>Short</t>
        </is>
      </c>
      <c r="H443" s="6" t="n">
        <v>13261.75</v>
      </c>
      <c r="I443" s="6" t="n">
        <v>13366</v>
      </c>
      <c r="J443" s="6">
        <f>IF(G443="Long",I443-H443,IF(G443="Short",H443-I443,0))</f>
        <v/>
      </c>
      <c r="K443" s="7" t="n">
        <v>100</v>
      </c>
      <c r="L443" s="5" t="inlineStr">
        <is>
          <t>Loss</t>
        </is>
      </c>
      <c r="M443" s="6">
        <f>M442+J443</f>
        <v/>
      </c>
    </row>
    <row r="444">
      <c r="A444" s="5" t="inlineStr">
        <is>
          <t>2022-04-25</t>
        </is>
      </c>
      <c r="B444" s="5" t="inlineStr">
        <is>
          <t>Monday</t>
        </is>
      </c>
      <c r="C444" s="5" t="inlineStr">
        <is>
          <t>MNQM2</t>
        </is>
      </c>
      <c r="D444" s="6" t="n">
        <v>13366</v>
      </c>
      <c r="E444" s="6" t="n">
        <v>13261.75</v>
      </c>
      <c r="F444" s="6">
        <f>D444-E444</f>
        <v/>
      </c>
      <c r="G444" s="5" t="inlineStr">
        <is>
          <t>Long</t>
        </is>
      </c>
      <c r="H444" s="6" t="n">
        <v>13366</v>
      </c>
      <c r="I444" s="6" t="n">
        <v>13261.75</v>
      </c>
      <c r="J444" s="6">
        <f>IF(G444="Long",I444-H444,IF(G444="Short",H444-I444,0))</f>
        <v/>
      </c>
      <c r="K444" s="7" t="n">
        <v>100</v>
      </c>
      <c r="L444" s="5" t="inlineStr">
        <is>
          <t>Loss</t>
        </is>
      </c>
      <c r="M444" s="6">
        <f>M443+J444</f>
        <v/>
      </c>
    </row>
    <row r="445">
      <c r="A445" s="2" t="inlineStr">
        <is>
          <t>2022-04-26</t>
        </is>
      </c>
      <c r="B445" s="2" t="inlineStr">
        <is>
          <t>Tuesday</t>
        </is>
      </c>
      <c r="C445" s="2" t="inlineStr">
        <is>
          <t>MNQM2</t>
        </is>
      </c>
      <c r="D445" s="3" t="n">
        <v>13450.75</v>
      </c>
      <c r="E445" s="3" t="n">
        <v>13317.75</v>
      </c>
      <c r="F445" s="3">
        <f>D445-E445</f>
        <v/>
      </c>
      <c r="G445" s="2" t="inlineStr">
        <is>
          <t>Short</t>
        </is>
      </c>
      <c r="H445" s="3" t="n">
        <v>13317.75</v>
      </c>
      <c r="I445" s="3" t="n">
        <v>13184.75</v>
      </c>
      <c r="J445" s="3">
        <f>IF(G445="Long",I445-H445,IF(G445="Short",H445-I445,0))</f>
        <v/>
      </c>
      <c r="K445" s="4" t="n">
        <v>3.95</v>
      </c>
      <c r="L445" s="2" t="inlineStr">
        <is>
          <t>Win</t>
        </is>
      </c>
      <c r="M445" s="3">
        <f>M444+J445</f>
        <v/>
      </c>
    </row>
    <row r="446">
      <c r="A446" s="5" t="inlineStr">
        <is>
          <t>2022-04-27</t>
        </is>
      </c>
      <c r="B446" s="5" t="inlineStr">
        <is>
          <t>Wednesday</t>
        </is>
      </c>
      <c r="C446" s="5" t="inlineStr">
        <is>
          <t>MNQM2</t>
        </is>
      </c>
      <c r="D446" s="6" t="n">
        <v>13204.5</v>
      </c>
      <c r="E446" s="6" t="n">
        <v>13009.25</v>
      </c>
      <c r="F446" s="6">
        <f>D446-E446</f>
        <v/>
      </c>
      <c r="G446" s="5" t="inlineStr">
        <is>
          <t>Long</t>
        </is>
      </c>
      <c r="H446" s="6" t="n">
        <v>13204.5</v>
      </c>
      <c r="I446" s="6" t="n">
        <v>13009.25</v>
      </c>
      <c r="J446" s="6">
        <f>IF(G446="Long",I446-H446,IF(G446="Short",H446-I446,0))</f>
        <v/>
      </c>
      <c r="K446" s="7" t="n">
        <v>100</v>
      </c>
      <c r="L446" s="5" t="inlineStr">
        <is>
          <t>Loss</t>
        </is>
      </c>
      <c r="M446" s="6">
        <f>M445+J446</f>
        <v/>
      </c>
    </row>
    <row r="447">
      <c r="A447" s="5" t="inlineStr">
        <is>
          <t>2022-04-27</t>
        </is>
      </c>
      <c r="B447" s="5" t="inlineStr">
        <is>
          <t>Wednesday</t>
        </is>
      </c>
      <c r="C447" s="5" t="inlineStr">
        <is>
          <t>MNQM2</t>
        </is>
      </c>
      <c r="D447" s="6" t="n">
        <v>13204.5</v>
      </c>
      <c r="E447" s="6" t="n">
        <v>13009.25</v>
      </c>
      <c r="F447" s="6">
        <f>D447-E447</f>
        <v/>
      </c>
      <c r="G447" s="5" t="inlineStr">
        <is>
          <t>Short</t>
        </is>
      </c>
      <c r="H447" s="6" t="n">
        <v>13009.25</v>
      </c>
      <c r="I447" s="6" t="n">
        <v>13204.5</v>
      </c>
      <c r="J447" s="6">
        <f>IF(G447="Long",I447-H447,IF(G447="Short",H447-I447,0))</f>
        <v/>
      </c>
      <c r="K447" s="7" t="n">
        <v>100</v>
      </c>
      <c r="L447" s="5" t="inlineStr">
        <is>
          <t>Loss</t>
        </is>
      </c>
      <c r="M447" s="6">
        <f>M446+J447</f>
        <v/>
      </c>
    </row>
    <row r="448">
      <c r="A448" s="5" t="inlineStr">
        <is>
          <t>2022-04-28</t>
        </is>
      </c>
      <c r="B448" s="5" t="inlineStr">
        <is>
          <t>Thursday</t>
        </is>
      </c>
      <c r="C448" s="5" t="inlineStr">
        <is>
          <t>MNQM2</t>
        </is>
      </c>
      <c r="D448" s="6" t="n">
        <v>13280.5</v>
      </c>
      <c r="E448" s="6" t="n">
        <v>13116.75</v>
      </c>
      <c r="F448" s="6">
        <f>D448-E448</f>
        <v/>
      </c>
      <c r="G448" s="5" t="inlineStr">
        <is>
          <t>Short</t>
        </is>
      </c>
      <c r="H448" s="6" t="n">
        <v>13116.75</v>
      </c>
      <c r="I448" s="6" t="n">
        <v>13280.5</v>
      </c>
      <c r="J448" s="6">
        <f>IF(G448="Long",I448-H448,IF(G448="Short",H448-I448,0))</f>
        <v/>
      </c>
      <c r="K448" s="7" t="n">
        <v>100</v>
      </c>
      <c r="L448" s="5" t="inlineStr">
        <is>
          <t>Loss</t>
        </is>
      </c>
      <c r="M448" s="6">
        <f>M447+J448</f>
        <v/>
      </c>
    </row>
    <row r="449">
      <c r="A449" s="2" t="inlineStr">
        <is>
          <t>2022-04-28</t>
        </is>
      </c>
      <c r="B449" s="2" t="inlineStr">
        <is>
          <t>Thursday</t>
        </is>
      </c>
      <c r="C449" s="2" t="inlineStr">
        <is>
          <t>MNQM2</t>
        </is>
      </c>
      <c r="D449" s="3" t="n">
        <v>13280.5</v>
      </c>
      <c r="E449" s="3" t="n">
        <v>13116.75</v>
      </c>
      <c r="F449" s="3">
        <f>D449-E449</f>
        <v/>
      </c>
      <c r="G449" s="2" t="inlineStr">
        <is>
          <t>Long</t>
        </is>
      </c>
      <c r="H449" s="3" t="n">
        <v>13280.5</v>
      </c>
      <c r="I449" s="3" t="n">
        <v>13444.25</v>
      </c>
      <c r="J449" s="3">
        <f>IF(G449="Long",I449-H449,IF(G449="Short",H449-I449,0))</f>
        <v/>
      </c>
      <c r="K449" s="4" t="n">
        <v>0</v>
      </c>
      <c r="L449" s="2" t="inlineStr">
        <is>
          <t>Win</t>
        </is>
      </c>
      <c r="M449" s="3">
        <f>M448+J449</f>
        <v/>
      </c>
    </row>
    <row r="450">
      <c r="A450" s="5" t="inlineStr">
        <is>
          <t>2022-04-29</t>
        </is>
      </c>
      <c r="B450" s="5" t="inlineStr">
        <is>
          <t>Friday</t>
        </is>
      </c>
      <c r="C450" s="5" t="inlineStr">
        <is>
          <t>MNQM2</t>
        </is>
      </c>
      <c r="D450" s="6" t="n">
        <v>13374.25</v>
      </c>
      <c r="E450" s="6" t="n">
        <v>13226</v>
      </c>
      <c r="F450" s="6">
        <f>D450-E450</f>
        <v/>
      </c>
      <c r="G450" s="5" t="inlineStr">
        <is>
          <t>Long</t>
        </is>
      </c>
      <c r="H450" s="6" t="n">
        <v>13374.25</v>
      </c>
      <c r="I450" s="6" t="n">
        <v>13226</v>
      </c>
      <c r="J450" s="6">
        <f>IF(G450="Long",I450-H450,IF(G450="Short",H450-I450,0))</f>
        <v/>
      </c>
      <c r="K450" s="7" t="n">
        <v>100</v>
      </c>
      <c r="L450" s="5" t="inlineStr">
        <is>
          <t>Loss</t>
        </is>
      </c>
      <c r="M450" s="6">
        <f>M449+J450</f>
        <v/>
      </c>
    </row>
    <row r="451">
      <c r="A451" s="2" t="inlineStr">
        <is>
          <t>2022-04-29</t>
        </is>
      </c>
      <c r="B451" s="2" t="inlineStr">
        <is>
          <t>Friday</t>
        </is>
      </c>
      <c r="C451" s="2" t="inlineStr">
        <is>
          <t>MNQM2</t>
        </is>
      </c>
      <c r="D451" s="3" t="n">
        <v>13374.25</v>
      </c>
      <c r="E451" s="3" t="n">
        <v>13226</v>
      </c>
      <c r="F451" s="3">
        <f>D451-E451</f>
        <v/>
      </c>
      <c r="G451" s="2" t="inlineStr">
        <is>
          <t>Short</t>
        </is>
      </c>
      <c r="H451" s="3" t="n">
        <v>13226</v>
      </c>
      <c r="I451" s="3" t="n">
        <v>13077.75</v>
      </c>
      <c r="J451" s="3">
        <f>IF(G451="Long",I451-H451,IF(G451="Short",H451-I451,0))</f>
        <v/>
      </c>
      <c r="K451" s="4" t="n">
        <v>21.08</v>
      </c>
      <c r="L451" s="2" t="inlineStr">
        <is>
          <t>Win</t>
        </is>
      </c>
      <c r="M451" s="3">
        <f>M450+J451</f>
        <v/>
      </c>
    </row>
    <row r="452">
      <c r="A452" s="5" t="inlineStr">
        <is>
          <t>2022-05-02</t>
        </is>
      </c>
      <c r="B452" s="5" t="inlineStr">
        <is>
          <t>Monday</t>
        </is>
      </c>
      <c r="C452" s="5" t="inlineStr">
        <is>
          <t>MNQM2</t>
        </is>
      </c>
      <c r="D452" s="6" t="n">
        <v>12936</v>
      </c>
      <c r="E452" s="6" t="n">
        <v>12742.5</v>
      </c>
      <c r="F452" s="6">
        <f>D452-E452</f>
        <v/>
      </c>
      <c r="G452" s="5" t="inlineStr">
        <is>
          <t>Long</t>
        </is>
      </c>
      <c r="H452" s="6" t="n">
        <v>12936</v>
      </c>
      <c r="I452" s="6" t="n">
        <v>12742.5</v>
      </c>
      <c r="J452" s="6">
        <f>IF(G452="Long",I452-H452,IF(G452="Short",H452-I452,0))</f>
        <v/>
      </c>
      <c r="K452" s="7" t="n">
        <v>100</v>
      </c>
      <c r="L452" s="5" t="inlineStr">
        <is>
          <t>Loss</t>
        </is>
      </c>
      <c r="M452" s="6">
        <f>M451+J452</f>
        <v/>
      </c>
    </row>
    <row r="453">
      <c r="A453" s="5" t="inlineStr">
        <is>
          <t>2022-05-02</t>
        </is>
      </c>
      <c r="B453" s="5" t="inlineStr">
        <is>
          <t>Monday</t>
        </is>
      </c>
      <c r="C453" s="5" t="inlineStr">
        <is>
          <t>MNQM2</t>
        </is>
      </c>
      <c r="D453" s="6" t="n">
        <v>12936</v>
      </c>
      <c r="E453" s="6" t="n">
        <v>12742.5</v>
      </c>
      <c r="F453" s="6">
        <f>D453-E453</f>
        <v/>
      </c>
      <c r="G453" s="5" t="inlineStr">
        <is>
          <t>Short</t>
        </is>
      </c>
      <c r="H453" s="6" t="n">
        <v>12742.5</v>
      </c>
      <c r="I453" s="6" t="n">
        <v>12936</v>
      </c>
      <c r="J453" s="6">
        <f>IF(G453="Long",I453-H453,IF(G453="Short",H453-I453,0))</f>
        <v/>
      </c>
      <c r="K453" s="7" t="n">
        <v>100</v>
      </c>
      <c r="L453" s="5" t="inlineStr">
        <is>
          <t>Loss</t>
        </is>
      </c>
      <c r="M453" s="6">
        <f>M452+J453</f>
        <v/>
      </c>
    </row>
    <row r="454">
      <c r="A454" s="5" t="inlineStr">
        <is>
          <t>2022-05-03</t>
        </is>
      </c>
      <c r="B454" s="5" t="inlineStr">
        <is>
          <t>Tuesday</t>
        </is>
      </c>
      <c r="C454" s="5" t="inlineStr">
        <is>
          <t>MNQM2</t>
        </is>
      </c>
      <c r="D454" s="6" t="n">
        <v>13080.5</v>
      </c>
      <c r="E454" s="6" t="n">
        <v>12989.5</v>
      </c>
      <c r="F454" s="6">
        <f>D454-E454</f>
        <v/>
      </c>
      <c r="G454" s="5" t="inlineStr">
        <is>
          <t>Long</t>
        </is>
      </c>
      <c r="H454" s="6" t="n">
        <v>13080.5</v>
      </c>
      <c r="I454" s="6" t="n">
        <v>12989.5</v>
      </c>
      <c r="J454" s="6">
        <f>IF(G454="Long",I454-H454,IF(G454="Short",H454-I454,0))</f>
        <v/>
      </c>
      <c r="K454" s="7" t="n">
        <v>100</v>
      </c>
      <c r="L454" s="5" t="inlineStr">
        <is>
          <t>Loss</t>
        </is>
      </c>
      <c r="M454" s="6">
        <f>M453+J454</f>
        <v/>
      </c>
    </row>
    <row r="455">
      <c r="A455" s="2" t="inlineStr">
        <is>
          <t>2022-05-03</t>
        </is>
      </c>
      <c r="B455" s="2" t="inlineStr">
        <is>
          <t>Tuesday</t>
        </is>
      </c>
      <c r="C455" s="2" t="inlineStr">
        <is>
          <t>MNQM2</t>
        </is>
      </c>
      <c r="D455" s="3" t="n">
        <v>13080.5</v>
      </c>
      <c r="E455" s="3" t="n">
        <v>12989.5</v>
      </c>
      <c r="F455" s="3">
        <f>D455-E455</f>
        <v/>
      </c>
      <c r="G455" s="2" t="inlineStr">
        <is>
          <t>Long</t>
        </is>
      </c>
      <c r="H455" s="3" t="n">
        <v>13080.5</v>
      </c>
      <c r="I455" s="3" t="n">
        <v>13171.5</v>
      </c>
      <c r="J455" s="3">
        <f>IF(G455="Long",I455-H455,IF(G455="Short",H455-I455,0))</f>
        <v/>
      </c>
      <c r="K455" s="4" t="n">
        <v>59.89</v>
      </c>
      <c r="L455" s="2" t="inlineStr">
        <is>
          <t>Win</t>
        </is>
      </c>
      <c r="M455" s="3">
        <f>M454+J455</f>
        <v/>
      </c>
    </row>
    <row r="456">
      <c r="A456" s="2" t="inlineStr">
        <is>
          <t>2022-05-04</t>
        </is>
      </c>
      <c r="B456" s="2" t="inlineStr">
        <is>
          <t>Wednesday</t>
        </is>
      </c>
      <c r="C456" s="2" t="inlineStr">
        <is>
          <t>MNQM2</t>
        </is>
      </c>
      <c r="D456" s="3" t="n">
        <v>13114.25</v>
      </c>
      <c r="E456" s="3" t="n">
        <v>13057.5</v>
      </c>
      <c r="F456" s="3">
        <f>D456-E456</f>
        <v/>
      </c>
      <c r="G456" s="2" t="inlineStr">
        <is>
          <t>Short</t>
        </is>
      </c>
      <c r="H456" s="3" t="n">
        <v>13057.5</v>
      </c>
      <c r="I456" s="3" t="n">
        <v>13000.75</v>
      </c>
      <c r="J456" s="3">
        <f>IF(G456="Long",I456-H456,IF(G456="Short",H456-I456,0))</f>
        <v/>
      </c>
      <c r="K456" s="4" t="n">
        <v>0</v>
      </c>
      <c r="L456" s="2" t="inlineStr">
        <is>
          <t>Win</t>
        </is>
      </c>
      <c r="M456" s="3">
        <f>M455+J456</f>
        <v/>
      </c>
    </row>
    <row r="457">
      <c r="A457" s="5" t="inlineStr">
        <is>
          <t>2022-05-04</t>
        </is>
      </c>
      <c r="B457" s="5" t="inlineStr">
        <is>
          <t>Wednesday</t>
        </is>
      </c>
      <c r="C457" s="5" t="inlineStr">
        <is>
          <t>MNQM2</t>
        </is>
      </c>
      <c r="D457" s="6" t="n">
        <v>13114.25</v>
      </c>
      <c r="E457" s="6" t="n">
        <v>13057.5</v>
      </c>
      <c r="F457" s="6">
        <f>D457-E457</f>
        <v/>
      </c>
      <c r="G457" s="5" t="inlineStr">
        <is>
          <t>Short</t>
        </is>
      </c>
      <c r="H457" s="6" t="n">
        <v>13057.5</v>
      </c>
      <c r="I457" s="6" t="n">
        <v>13114.25</v>
      </c>
      <c r="J457" s="6">
        <f>IF(G457="Long",I457-H457,IF(G457="Short",H457-I457,0))</f>
        <v/>
      </c>
      <c r="K457" s="7" t="n">
        <v>100</v>
      </c>
      <c r="L457" s="5" t="inlineStr">
        <is>
          <t>Loss</t>
        </is>
      </c>
      <c r="M457" s="6">
        <f>M456+J457</f>
        <v/>
      </c>
    </row>
    <row r="458">
      <c r="A458" s="2" t="inlineStr">
        <is>
          <t>2022-05-05</t>
        </is>
      </c>
      <c r="B458" s="2" t="inlineStr">
        <is>
          <t>Thursday</t>
        </is>
      </c>
      <c r="C458" s="2" t="inlineStr">
        <is>
          <t>MNQM2</t>
        </is>
      </c>
      <c r="D458" s="3" t="n">
        <v>13346.5</v>
      </c>
      <c r="E458" s="3" t="n">
        <v>13247.25</v>
      </c>
      <c r="F458" s="3">
        <f>D458-E458</f>
        <v/>
      </c>
      <c r="G458" s="2" t="inlineStr">
        <is>
          <t>Short</t>
        </is>
      </c>
      <c r="H458" s="3" t="n">
        <v>13247.25</v>
      </c>
      <c r="I458" s="3" t="n">
        <v>13148</v>
      </c>
      <c r="J458" s="3">
        <f>IF(G458="Long",I458-H458,IF(G458="Short",H458-I458,0))</f>
        <v/>
      </c>
      <c r="K458" s="4" t="n">
        <v>0</v>
      </c>
      <c r="L458" s="2" t="inlineStr">
        <is>
          <t>Win</t>
        </is>
      </c>
      <c r="M458" s="3">
        <f>M457+J458</f>
        <v/>
      </c>
    </row>
    <row r="459">
      <c r="A459" s="5" t="inlineStr">
        <is>
          <t>2022-05-06</t>
        </is>
      </c>
      <c r="B459" s="5" t="inlineStr">
        <is>
          <t>Friday</t>
        </is>
      </c>
      <c r="C459" s="5" t="inlineStr">
        <is>
          <t>MNQM2</t>
        </is>
      </c>
      <c r="D459" s="6" t="n">
        <v>12792.5</v>
      </c>
      <c r="E459" s="6" t="n">
        <v>12582.75</v>
      </c>
      <c r="F459" s="6">
        <f>D459-E459</f>
        <v/>
      </c>
      <c r="G459" s="5" t="inlineStr">
        <is>
          <t>Short</t>
        </is>
      </c>
      <c r="H459" s="6" t="n">
        <v>12582.75</v>
      </c>
      <c r="I459" s="6" t="n">
        <v>12792.5</v>
      </c>
      <c r="J459" s="6">
        <f>IF(G459="Long",I459-H459,IF(G459="Short",H459-I459,0))</f>
        <v/>
      </c>
      <c r="K459" s="7" t="n">
        <v>100</v>
      </c>
      <c r="L459" s="5" t="inlineStr">
        <is>
          <t>Loss</t>
        </is>
      </c>
      <c r="M459" s="6">
        <f>M458+J459</f>
        <v/>
      </c>
    </row>
    <row r="460">
      <c r="A460" s="5" t="inlineStr">
        <is>
          <t>2022-05-06</t>
        </is>
      </c>
      <c r="B460" s="5" t="inlineStr">
        <is>
          <t>Friday</t>
        </is>
      </c>
      <c r="C460" s="5" t="inlineStr">
        <is>
          <t>MNQM2</t>
        </is>
      </c>
      <c r="D460" s="6" t="n">
        <v>12792.5</v>
      </c>
      <c r="E460" s="6" t="n">
        <v>12582.75</v>
      </c>
      <c r="F460" s="6">
        <f>D460-E460</f>
        <v/>
      </c>
      <c r="G460" s="5" t="inlineStr">
        <is>
          <t>Long</t>
        </is>
      </c>
      <c r="H460" s="6" t="n">
        <v>12792.5</v>
      </c>
      <c r="I460" s="6" t="n">
        <v>12582.75</v>
      </c>
      <c r="J460" s="6">
        <f>IF(G460="Long",I460-H460,IF(G460="Short",H460-I460,0))</f>
        <v/>
      </c>
      <c r="K460" s="7" t="n">
        <v>100</v>
      </c>
      <c r="L460" s="5" t="inlineStr">
        <is>
          <t>Loss</t>
        </is>
      </c>
      <c r="M460" s="6">
        <f>M459+J460</f>
        <v/>
      </c>
    </row>
    <row r="461">
      <c r="A461" s="2" t="inlineStr">
        <is>
          <t>2022-05-09</t>
        </is>
      </c>
      <c r="B461" s="2" t="inlineStr">
        <is>
          <t>Monday</t>
        </is>
      </c>
      <c r="C461" s="2" t="inlineStr">
        <is>
          <t>MNQM2</t>
        </is>
      </c>
      <c r="D461" s="3" t="n">
        <v>12555.5</v>
      </c>
      <c r="E461" s="3" t="n">
        <v>12419.25</v>
      </c>
      <c r="F461" s="3">
        <f>D461-E461</f>
        <v/>
      </c>
      <c r="G461" s="2" t="inlineStr">
        <is>
          <t>Short</t>
        </is>
      </c>
      <c r="H461" s="3" t="n">
        <v>12419.25</v>
      </c>
      <c r="I461" s="3" t="n">
        <v>12283</v>
      </c>
      <c r="J461" s="3">
        <f>IF(G461="Long",I461-H461,IF(G461="Short",H461-I461,0))</f>
        <v/>
      </c>
      <c r="K461" s="4" t="n">
        <v>19.08</v>
      </c>
      <c r="L461" s="2" t="inlineStr">
        <is>
          <t>Win</t>
        </is>
      </c>
      <c r="M461" s="3">
        <f>M460+J461</f>
        <v/>
      </c>
    </row>
    <row r="462">
      <c r="A462" s="2" t="inlineStr">
        <is>
          <t>2022-05-10</t>
        </is>
      </c>
      <c r="B462" s="2" t="inlineStr">
        <is>
          <t>Tuesday</t>
        </is>
      </c>
      <c r="C462" s="2" t="inlineStr">
        <is>
          <t>MNQM2</t>
        </is>
      </c>
      <c r="D462" s="3" t="n">
        <v>12547.25</v>
      </c>
      <c r="E462" s="3" t="n">
        <v>12394</v>
      </c>
      <c r="F462" s="3">
        <f>D462-E462</f>
        <v/>
      </c>
      <c r="G462" s="2" t="inlineStr">
        <is>
          <t>Short</t>
        </is>
      </c>
      <c r="H462" s="3" t="n">
        <v>12394</v>
      </c>
      <c r="I462" s="3" t="n">
        <v>12240.75</v>
      </c>
      <c r="J462" s="3">
        <f>IF(G462="Long",I462-H462,IF(G462="Short",H462-I462,0))</f>
        <v/>
      </c>
      <c r="K462" s="4" t="n">
        <v>93.15000000000001</v>
      </c>
      <c r="L462" s="2" t="inlineStr">
        <is>
          <t>Win</t>
        </is>
      </c>
      <c r="M462" s="3">
        <f>M461+J462</f>
        <v/>
      </c>
    </row>
    <row r="463">
      <c r="A463" s="8" t="inlineStr">
        <is>
          <t>2022-05-10</t>
        </is>
      </c>
      <c r="B463" s="8" t="inlineStr">
        <is>
          <t>Tuesday</t>
        </is>
      </c>
      <c r="C463" s="8" t="inlineStr">
        <is>
          <t>MNQM2</t>
        </is>
      </c>
      <c r="D463" s="9" t="n">
        <v>12547.25</v>
      </c>
      <c r="E463" s="9" t="n">
        <v>12394</v>
      </c>
      <c r="F463" s="9">
        <f>D463-E463</f>
        <v/>
      </c>
      <c r="G463" s="8" t="inlineStr">
        <is>
          <t>Short</t>
        </is>
      </c>
      <c r="H463" s="9" t="n">
        <v>12394</v>
      </c>
      <c r="I463" s="9" t="n">
        <v>12343</v>
      </c>
      <c r="J463" s="9">
        <f>IF(G463="Long",I463-H463,IF(G463="Short",H463-I463,0))</f>
        <v/>
      </c>
      <c r="K463" s="10" t="n">
        <v>81.73</v>
      </c>
      <c r="L463" s="8" t="inlineStr">
        <is>
          <t>EOD-Close</t>
        </is>
      </c>
      <c r="M463" s="9">
        <f>M462+J463</f>
        <v/>
      </c>
    </row>
    <row r="464">
      <c r="A464" s="5" t="inlineStr">
        <is>
          <t>2022-05-11</t>
        </is>
      </c>
      <c r="B464" s="5" t="inlineStr">
        <is>
          <t>Wednesday</t>
        </is>
      </c>
      <c r="C464" s="5" t="inlineStr">
        <is>
          <t>MNQM2</t>
        </is>
      </c>
      <c r="D464" s="6" t="n">
        <v>12345.75</v>
      </c>
      <c r="E464" s="6" t="n">
        <v>12146.25</v>
      </c>
      <c r="F464" s="6">
        <f>D464-E464</f>
        <v/>
      </c>
      <c r="G464" s="5" t="inlineStr">
        <is>
          <t>Long</t>
        </is>
      </c>
      <c r="H464" s="6" t="n">
        <v>12345.75</v>
      </c>
      <c r="I464" s="6" t="n">
        <v>12146.25</v>
      </c>
      <c r="J464" s="6">
        <f>IF(G464="Long",I464-H464,IF(G464="Short",H464-I464,0))</f>
        <v/>
      </c>
      <c r="K464" s="7" t="n">
        <v>100</v>
      </c>
      <c r="L464" s="5" t="inlineStr">
        <is>
          <t>Loss</t>
        </is>
      </c>
      <c r="M464" s="6">
        <f>M463+J464</f>
        <v/>
      </c>
    </row>
    <row r="465">
      <c r="A465" s="2" t="inlineStr">
        <is>
          <t>2022-05-11</t>
        </is>
      </c>
      <c r="B465" s="2" t="inlineStr">
        <is>
          <t>Wednesday</t>
        </is>
      </c>
      <c r="C465" s="2" t="inlineStr">
        <is>
          <t>MNQM2</t>
        </is>
      </c>
      <c r="D465" s="3" t="n">
        <v>12345.75</v>
      </c>
      <c r="E465" s="3" t="n">
        <v>12146.25</v>
      </c>
      <c r="F465" s="3">
        <f>D465-E465</f>
        <v/>
      </c>
      <c r="G465" s="2" t="inlineStr">
        <is>
          <t>Short</t>
        </is>
      </c>
      <c r="H465" s="3" t="n">
        <v>12146.25</v>
      </c>
      <c r="I465" s="3" t="n">
        <v>11946.75</v>
      </c>
      <c r="J465" s="3">
        <f>IF(G465="Long",I465-H465,IF(G465="Short",H465-I465,0))</f>
        <v/>
      </c>
      <c r="K465" s="4" t="n">
        <v>10.53</v>
      </c>
      <c r="L465" s="2" t="inlineStr">
        <is>
          <t>Win</t>
        </is>
      </c>
      <c r="M465" s="3">
        <f>M464+J465</f>
        <v/>
      </c>
    </row>
    <row r="466">
      <c r="A466" s="2" t="inlineStr">
        <is>
          <t>2022-05-12</t>
        </is>
      </c>
      <c r="B466" s="2" t="inlineStr">
        <is>
          <t>Thursday</t>
        </is>
      </c>
      <c r="C466" s="2" t="inlineStr">
        <is>
          <t>MNQM2</t>
        </is>
      </c>
      <c r="D466" s="3" t="n">
        <v>11874.75</v>
      </c>
      <c r="E466" s="3" t="n">
        <v>11692.75</v>
      </c>
      <c r="F466" s="3">
        <f>D466-E466</f>
        <v/>
      </c>
      <c r="G466" s="2" t="inlineStr">
        <is>
          <t>Long</t>
        </is>
      </c>
      <c r="H466" s="3" t="n">
        <v>11874.75</v>
      </c>
      <c r="I466" s="3" t="n">
        <v>12056.75</v>
      </c>
      <c r="J466" s="3">
        <f>IF(G466="Long",I466-H466,IF(G466="Short",H466-I466,0))</f>
        <v/>
      </c>
      <c r="K466" s="4" t="n">
        <v>0</v>
      </c>
      <c r="L466" s="2" t="inlineStr">
        <is>
          <t>Win</t>
        </is>
      </c>
      <c r="M466" s="3">
        <f>M465+J466</f>
        <v/>
      </c>
    </row>
    <row r="467">
      <c r="A467" s="5" t="inlineStr">
        <is>
          <t>2022-05-12</t>
        </is>
      </c>
      <c r="B467" s="5" t="inlineStr">
        <is>
          <t>Thursday</t>
        </is>
      </c>
      <c r="C467" s="5" t="inlineStr">
        <is>
          <t>MNQM2</t>
        </is>
      </c>
      <c r="D467" s="6" t="n">
        <v>11874.75</v>
      </c>
      <c r="E467" s="6" t="n">
        <v>11692.75</v>
      </c>
      <c r="F467" s="6">
        <f>D467-E467</f>
        <v/>
      </c>
      <c r="G467" s="5" t="inlineStr">
        <is>
          <t>Long</t>
        </is>
      </c>
      <c r="H467" s="6" t="n">
        <v>11874.75</v>
      </c>
      <c r="I467" s="6" t="n">
        <v>11692.75</v>
      </c>
      <c r="J467" s="6">
        <f>IF(G467="Long",I467-H467,IF(G467="Short",H467-I467,0))</f>
        <v/>
      </c>
      <c r="K467" s="7" t="n">
        <v>100</v>
      </c>
      <c r="L467" s="5" t="inlineStr">
        <is>
          <t>Loss</t>
        </is>
      </c>
      <c r="M467" s="6">
        <f>M466+J467</f>
        <v/>
      </c>
    </row>
    <row r="468">
      <c r="A468" s="2" t="inlineStr">
        <is>
          <t>2022-05-13</t>
        </is>
      </c>
      <c r="B468" s="2" t="inlineStr">
        <is>
          <t>Friday</t>
        </is>
      </c>
      <c r="C468" s="2" t="inlineStr">
        <is>
          <t>MNQM2</t>
        </is>
      </c>
      <c r="D468" s="3" t="n">
        <v>12197.75</v>
      </c>
      <c r="E468" s="3" t="n">
        <v>12064.75</v>
      </c>
      <c r="F468" s="3">
        <f>D468-E468</f>
        <v/>
      </c>
      <c r="G468" s="2" t="inlineStr">
        <is>
          <t>Long</t>
        </is>
      </c>
      <c r="H468" s="3" t="n">
        <v>12197.75</v>
      </c>
      <c r="I468" s="3" t="n">
        <v>12330.75</v>
      </c>
      <c r="J468" s="3">
        <f>IF(G468="Long",I468-H468,IF(G468="Short",H468-I468,0))</f>
        <v/>
      </c>
      <c r="K468" s="4" t="n">
        <v>0</v>
      </c>
      <c r="L468" s="2" t="inlineStr">
        <is>
          <t>Win</t>
        </is>
      </c>
      <c r="M468" s="3">
        <f>M467+J468</f>
        <v/>
      </c>
    </row>
    <row r="469">
      <c r="A469" s="5" t="inlineStr">
        <is>
          <t>2022-05-16</t>
        </is>
      </c>
      <c r="B469" s="5" t="inlineStr">
        <is>
          <t>Monday</t>
        </is>
      </c>
      <c r="C469" s="5" t="inlineStr">
        <is>
          <t>MNQM2</t>
        </is>
      </c>
      <c r="D469" s="6" t="n">
        <v>12358.5</v>
      </c>
      <c r="E469" s="6" t="n">
        <v>12237</v>
      </c>
      <c r="F469" s="6">
        <f>D469-E469</f>
        <v/>
      </c>
      <c r="G469" s="5" t="inlineStr">
        <is>
          <t>Short</t>
        </is>
      </c>
      <c r="H469" s="6" t="n">
        <v>12237</v>
      </c>
      <c r="I469" s="6" t="n">
        <v>12358.5</v>
      </c>
      <c r="J469" s="6">
        <f>IF(G469="Long",I469-H469,IF(G469="Short",H469-I469,0))</f>
        <v/>
      </c>
      <c r="K469" s="7" t="n">
        <v>100</v>
      </c>
      <c r="L469" s="5" t="inlineStr">
        <is>
          <t>Loss</t>
        </is>
      </c>
      <c r="M469" s="6">
        <f>M468+J469</f>
        <v/>
      </c>
    </row>
    <row r="470">
      <c r="A470" s="5" t="inlineStr">
        <is>
          <t>2022-05-16</t>
        </is>
      </c>
      <c r="B470" s="5" t="inlineStr">
        <is>
          <t>Monday</t>
        </is>
      </c>
      <c r="C470" s="5" t="inlineStr">
        <is>
          <t>MNQM2</t>
        </is>
      </c>
      <c r="D470" s="6" t="n">
        <v>12358.5</v>
      </c>
      <c r="E470" s="6" t="n">
        <v>12237</v>
      </c>
      <c r="F470" s="6">
        <f>D470-E470</f>
        <v/>
      </c>
      <c r="G470" s="5" t="inlineStr">
        <is>
          <t>Long</t>
        </is>
      </c>
      <c r="H470" s="6" t="n">
        <v>12358.5</v>
      </c>
      <c r="I470" s="6" t="n">
        <v>12237</v>
      </c>
      <c r="J470" s="6">
        <f>IF(G470="Long",I470-H470,IF(G470="Short",H470-I470,0))</f>
        <v/>
      </c>
      <c r="K470" s="7" t="n">
        <v>100</v>
      </c>
      <c r="L470" s="5" t="inlineStr">
        <is>
          <t>Loss</t>
        </is>
      </c>
      <c r="M470" s="6">
        <f>M469+J470</f>
        <v/>
      </c>
    </row>
    <row r="471">
      <c r="A471" s="2" t="inlineStr">
        <is>
          <t>2022-05-17</t>
        </is>
      </c>
      <c r="B471" s="2" t="inlineStr">
        <is>
          <t>Tuesday</t>
        </is>
      </c>
      <c r="C471" s="2" t="inlineStr">
        <is>
          <t>MNQM2</t>
        </is>
      </c>
      <c r="D471" s="3" t="n">
        <v>12535.25</v>
      </c>
      <c r="E471" s="3" t="n">
        <v>12457</v>
      </c>
      <c r="F471" s="3">
        <f>D471-E471</f>
        <v/>
      </c>
      <c r="G471" s="2" t="inlineStr">
        <is>
          <t>Short</t>
        </is>
      </c>
      <c r="H471" s="3" t="n">
        <v>12457</v>
      </c>
      <c r="I471" s="3" t="n">
        <v>12378.75</v>
      </c>
      <c r="J471" s="3">
        <f>IF(G471="Long",I471-H471,IF(G471="Short",H471-I471,0))</f>
        <v/>
      </c>
      <c r="K471" s="4" t="n">
        <v>47.92</v>
      </c>
      <c r="L471" s="2" t="inlineStr">
        <is>
          <t>Win</t>
        </is>
      </c>
      <c r="M471" s="3">
        <f>M470+J471</f>
        <v/>
      </c>
    </row>
    <row r="472">
      <c r="A472" s="5" t="inlineStr">
        <is>
          <t>2022-05-17</t>
        </is>
      </c>
      <c r="B472" s="5" t="inlineStr">
        <is>
          <t>Tuesday</t>
        </is>
      </c>
      <c r="C472" s="5" t="inlineStr">
        <is>
          <t>MNQM2</t>
        </is>
      </c>
      <c r="D472" s="6" t="n">
        <v>12535.25</v>
      </c>
      <c r="E472" s="6" t="n">
        <v>12457</v>
      </c>
      <c r="F472" s="6">
        <f>D472-E472</f>
        <v/>
      </c>
      <c r="G472" s="5" t="inlineStr">
        <is>
          <t>Short</t>
        </is>
      </c>
      <c r="H472" s="6" t="n">
        <v>12457</v>
      </c>
      <c r="I472" s="6" t="n">
        <v>12535.25</v>
      </c>
      <c r="J472" s="6">
        <f>IF(G472="Long",I472-H472,IF(G472="Short",H472-I472,0))</f>
        <v/>
      </c>
      <c r="K472" s="7" t="n">
        <v>100</v>
      </c>
      <c r="L472" s="5" t="inlineStr">
        <is>
          <t>Loss</t>
        </is>
      </c>
      <c r="M472" s="6">
        <f>M471+J472</f>
        <v/>
      </c>
    </row>
    <row r="473">
      <c r="A473" s="2" t="inlineStr">
        <is>
          <t>2022-05-18</t>
        </is>
      </c>
      <c r="B473" s="2" t="inlineStr">
        <is>
          <t>Wednesday</t>
        </is>
      </c>
      <c r="C473" s="2" t="inlineStr">
        <is>
          <t>MNQM2</t>
        </is>
      </c>
      <c r="D473" s="3" t="n">
        <v>12399.75</v>
      </c>
      <c r="E473" s="3" t="n">
        <v>12308</v>
      </c>
      <c r="F473" s="3">
        <f>D473-E473</f>
        <v/>
      </c>
      <c r="G473" s="2" t="inlineStr">
        <is>
          <t>Short</t>
        </is>
      </c>
      <c r="H473" s="3" t="n">
        <v>12308</v>
      </c>
      <c r="I473" s="3" t="n">
        <v>12216.25</v>
      </c>
      <c r="J473" s="3">
        <f>IF(G473="Long",I473-H473,IF(G473="Short",H473-I473,0))</f>
        <v/>
      </c>
      <c r="K473" s="4" t="n">
        <v>57.22</v>
      </c>
      <c r="L473" s="2" t="inlineStr">
        <is>
          <t>Win</t>
        </is>
      </c>
      <c r="M473" s="3">
        <f>M472+J473</f>
        <v/>
      </c>
    </row>
    <row r="474">
      <c r="A474" s="5" t="inlineStr">
        <is>
          <t>2022-05-19</t>
        </is>
      </c>
      <c r="B474" s="5" t="inlineStr">
        <is>
          <t>Thursday</t>
        </is>
      </c>
      <c r="C474" s="5" t="inlineStr">
        <is>
          <t>MNQM2</t>
        </is>
      </c>
      <c r="D474" s="6" t="n">
        <v>11978.75</v>
      </c>
      <c r="E474" s="6" t="n">
        <v>11864.5</v>
      </c>
      <c r="F474" s="6">
        <f>D474-E474</f>
        <v/>
      </c>
      <c r="G474" s="5" t="inlineStr">
        <is>
          <t>Short</t>
        </is>
      </c>
      <c r="H474" s="6" t="n">
        <v>11864.5</v>
      </c>
      <c r="I474" s="6" t="n">
        <v>11978.75</v>
      </c>
      <c r="J474" s="6">
        <f>IF(G474="Long",I474-H474,IF(G474="Short",H474-I474,0))</f>
        <v/>
      </c>
      <c r="K474" s="7" t="n">
        <v>100</v>
      </c>
      <c r="L474" s="5" t="inlineStr">
        <is>
          <t>Loss</t>
        </is>
      </c>
      <c r="M474" s="6">
        <f>M473+J474</f>
        <v/>
      </c>
    </row>
    <row r="475">
      <c r="A475" s="5" t="inlineStr">
        <is>
          <t>2022-05-19</t>
        </is>
      </c>
      <c r="B475" s="5" t="inlineStr">
        <is>
          <t>Thursday</t>
        </is>
      </c>
      <c r="C475" s="5" t="inlineStr">
        <is>
          <t>MNQM2</t>
        </is>
      </c>
      <c r="D475" s="6" t="n">
        <v>11978.75</v>
      </c>
      <c r="E475" s="6" t="n">
        <v>11864.5</v>
      </c>
      <c r="F475" s="6">
        <f>D475-E475</f>
        <v/>
      </c>
      <c r="G475" s="5" t="inlineStr">
        <is>
          <t>Long</t>
        </is>
      </c>
      <c r="H475" s="6" t="n">
        <v>11978.75</v>
      </c>
      <c r="I475" s="6" t="n">
        <v>11864.5</v>
      </c>
      <c r="J475" s="6">
        <f>IF(G475="Long",I475-H475,IF(G475="Short",H475-I475,0))</f>
        <v/>
      </c>
      <c r="K475" s="7" t="n">
        <v>100</v>
      </c>
      <c r="L475" s="5" t="inlineStr">
        <is>
          <t>Loss</t>
        </is>
      </c>
      <c r="M475" s="6">
        <f>M474+J475</f>
        <v/>
      </c>
    </row>
    <row r="476">
      <c r="A476" s="2" t="inlineStr">
        <is>
          <t>2022-05-20</t>
        </is>
      </c>
      <c r="B476" s="2" t="inlineStr">
        <is>
          <t>Friday</t>
        </is>
      </c>
      <c r="C476" s="2" t="inlineStr">
        <is>
          <t>MNQM2</t>
        </is>
      </c>
      <c r="D476" s="3" t="n">
        <v>12053.25</v>
      </c>
      <c r="E476" s="3" t="n">
        <v>11945.5</v>
      </c>
      <c r="F476" s="3">
        <f>D476-E476</f>
        <v/>
      </c>
      <c r="G476" s="2" t="inlineStr">
        <is>
          <t>Short</t>
        </is>
      </c>
      <c r="H476" s="3" t="n">
        <v>11945.5</v>
      </c>
      <c r="I476" s="3" t="n">
        <v>11837.75</v>
      </c>
      <c r="J476" s="3">
        <f>IF(G476="Long",I476-H476,IF(G476="Short",H476-I476,0))</f>
        <v/>
      </c>
      <c r="K476" s="4" t="n">
        <v>7.42</v>
      </c>
      <c r="L476" s="2" t="inlineStr">
        <is>
          <t>Win</t>
        </is>
      </c>
      <c r="M476" s="3">
        <f>M475+J476</f>
        <v/>
      </c>
    </row>
    <row r="477">
      <c r="A477" s="5" t="inlineStr">
        <is>
          <t>2022-05-23</t>
        </is>
      </c>
      <c r="B477" s="5" t="inlineStr">
        <is>
          <t>Monday</t>
        </is>
      </c>
      <c r="C477" s="5" t="inlineStr">
        <is>
          <t>MNQM2</t>
        </is>
      </c>
      <c r="D477" s="6" t="n">
        <v>11929.25</v>
      </c>
      <c r="E477" s="6" t="n">
        <v>11818.25</v>
      </c>
      <c r="F477" s="6">
        <f>D477-E477</f>
        <v/>
      </c>
      <c r="G477" s="5" t="inlineStr">
        <is>
          <t>Long</t>
        </is>
      </c>
      <c r="H477" s="6" t="n">
        <v>11929.25</v>
      </c>
      <c r="I477" s="6" t="n">
        <v>11818.25</v>
      </c>
      <c r="J477" s="6">
        <f>IF(G477="Long",I477-H477,IF(G477="Short",H477-I477,0))</f>
        <v/>
      </c>
      <c r="K477" s="7" t="n">
        <v>100</v>
      </c>
      <c r="L477" s="5" t="inlineStr">
        <is>
          <t>Loss</t>
        </is>
      </c>
      <c r="M477" s="6">
        <f>M476+J477</f>
        <v/>
      </c>
    </row>
    <row r="478">
      <c r="A478" s="5" t="inlineStr">
        <is>
          <t>2022-05-23</t>
        </is>
      </c>
      <c r="B478" s="5" t="inlineStr">
        <is>
          <t>Monday</t>
        </is>
      </c>
      <c r="C478" s="5" t="inlineStr">
        <is>
          <t>MNQM2</t>
        </is>
      </c>
      <c r="D478" s="6" t="n">
        <v>11929.25</v>
      </c>
      <c r="E478" s="6" t="n">
        <v>11818.25</v>
      </c>
      <c r="F478" s="6">
        <f>D478-E478</f>
        <v/>
      </c>
      <c r="G478" s="5" t="inlineStr">
        <is>
          <t>Short</t>
        </is>
      </c>
      <c r="H478" s="6" t="n">
        <v>11818.25</v>
      </c>
      <c r="I478" s="6" t="n">
        <v>11929.25</v>
      </c>
      <c r="J478" s="6">
        <f>IF(G478="Long",I478-H478,IF(G478="Short",H478-I478,0))</f>
        <v/>
      </c>
      <c r="K478" s="7" t="n">
        <v>100</v>
      </c>
      <c r="L478" s="5" t="inlineStr">
        <is>
          <t>Loss</t>
        </is>
      </c>
      <c r="M478" s="6">
        <f>M477+J478</f>
        <v/>
      </c>
    </row>
    <row r="479">
      <c r="A479" s="2" t="inlineStr">
        <is>
          <t>2022-05-24</t>
        </is>
      </c>
      <c r="B479" s="2" t="inlineStr">
        <is>
          <t>Tuesday</t>
        </is>
      </c>
      <c r="C479" s="2" t="inlineStr">
        <is>
          <t>MNQM2</t>
        </is>
      </c>
      <c r="D479" s="3" t="n">
        <v>11847.75</v>
      </c>
      <c r="E479" s="3" t="n">
        <v>11742.25</v>
      </c>
      <c r="F479" s="3">
        <f>D479-E479</f>
        <v/>
      </c>
      <c r="G479" s="2" t="inlineStr">
        <is>
          <t>Short</t>
        </is>
      </c>
      <c r="H479" s="3" t="n">
        <v>11742.25</v>
      </c>
      <c r="I479" s="3" t="n">
        <v>11636.75</v>
      </c>
      <c r="J479" s="3">
        <f>IF(G479="Long",I479-H479,IF(G479="Short",H479-I479,0))</f>
        <v/>
      </c>
      <c r="K479" s="4" t="n">
        <v>11.61</v>
      </c>
      <c r="L479" s="2" t="inlineStr">
        <is>
          <t>Win</t>
        </is>
      </c>
      <c r="M479" s="3">
        <f>M478+J479</f>
        <v/>
      </c>
    </row>
    <row r="480">
      <c r="A480" s="8" t="inlineStr">
        <is>
          <t>2022-05-24</t>
        </is>
      </c>
      <c r="B480" s="8" t="inlineStr">
        <is>
          <t>Tuesday</t>
        </is>
      </c>
      <c r="C480" s="8" t="inlineStr">
        <is>
          <t>MNQM2</t>
        </is>
      </c>
      <c r="D480" s="9" t="n">
        <v>11847.75</v>
      </c>
      <c r="E480" s="9" t="n">
        <v>11742.25</v>
      </c>
      <c r="F480" s="9">
        <f>D480-E480</f>
        <v/>
      </c>
      <c r="G480" s="8" t="inlineStr">
        <is>
          <t>Short</t>
        </is>
      </c>
      <c r="H480" s="9" t="n">
        <v>11742.25</v>
      </c>
      <c r="I480" s="9" t="n">
        <v>11782</v>
      </c>
      <c r="J480" s="9">
        <f>IF(G480="Long",I480-H480,IF(G480="Short",H480-I480,0))</f>
        <v/>
      </c>
      <c r="K480" s="10" t="n">
        <v>84.83</v>
      </c>
      <c r="L480" s="8" t="inlineStr">
        <is>
          <t>EOD-Close</t>
        </is>
      </c>
      <c r="M480" s="9">
        <f>M479+J480</f>
        <v/>
      </c>
    </row>
    <row r="481">
      <c r="A481" s="2" t="inlineStr">
        <is>
          <t>2022-05-25</t>
        </is>
      </c>
      <c r="B481" s="2" t="inlineStr">
        <is>
          <t>Wednesday</t>
        </is>
      </c>
      <c r="C481" s="2" t="inlineStr">
        <is>
          <t>MNQM2</t>
        </is>
      </c>
      <c r="D481" s="3" t="n">
        <v>11844.75</v>
      </c>
      <c r="E481" s="3" t="n">
        <v>11708</v>
      </c>
      <c r="F481" s="3">
        <f>D481-E481</f>
        <v/>
      </c>
      <c r="G481" s="2" t="inlineStr">
        <is>
          <t>Long</t>
        </is>
      </c>
      <c r="H481" s="3" t="n">
        <v>11844.75</v>
      </c>
      <c r="I481" s="3" t="n">
        <v>11981.5</v>
      </c>
      <c r="J481" s="3">
        <f>IF(G481="Long",I481-H481,IF(G481="Short",H481-I481,0))</f>
        <v/>
      </c>
      <c r="K481" s="4" t="n">
        <v>53.93</v>
      </c>
      <c r="L481" s="2" t="inlineStr">
        <is>
          <t>Win</t>
        </is>
      </c>
      <c r="M481" s="3">
        <f>M480+J481</f>
        <v/>
      </c>
    </row>
    <row r="482">
      <c r="A482" s="2" t="inlineStr">
        <is>
          <t>2022-05-26</t>
        </is>
      </c>
      <c r="B482" s="2" t="inlineStr">
        <is>
          <t>Thursday</t>
        </is>
      </c>
      <c r="C482" s="2" t="inlineStr">
        <is>
          <t>MNQM2</t>
        </is>
      </c>
      <c r="D482" s="3" t="n">
        <v>12059.25</v>
      </c>
      <c r="E482" s="3" t="n">
        <v>11899</v>
      </c>
      <c r="F482" s="3">
        <f>D482-E482</f>
        <v/>
      </c>
      <c r="G482" s="2" t="inlineStr">
        <is>
          <t>Long</t>
        </is>
      </c>
      <c r="H482" s="3" t="n">
        <v>12059.25</v>
      </c>
      <c r="I482" s="3" t="n">
        <v>12219.5</v>
      </c>
      <c r="J482" s="3">
        <f>IF(G482="Long",I482-H482,IF(G482="Short",H482-I482,0))</f>
        <v/>
      </c>
      <c r="K482" s="4" t="n">
        <v>0</v>
      </c>
      <c r="L482" s="2" t="inlineStr">
        <is>
          <t>Win</t>
        </is>
      </c>
      <c r="M482" s="3">
        <f>M481+J482</f>
        <v/>
      </c>
    </row>
    <row r="483">
      <c r="A483" s="2" t="inlineStr">
        <is>
          <t>2022-05-27</t>
        </is>
      </c>
      <c r="B483" s="2" t="inlineStr">
        <is>
          <t>Friday</t>
        </is>
      </c>
      <c r="C483" s="2" t="inlineStr">
        <is>
          <t>MNQM2</t>
        </is>
      </c>
      <c r="D483" s="3" t="n">
        <v>12514</v>
      </c>
      <c r="E483" s="3" t="n">
        <v>12401.75</v>
      </c>
      <c r="F483" s="3">
        <f>D483-E483</f>
        <v/>
      </c>
      <c r="G483" s="2" t="inlineStr">
        <is>
          <t>Long</t>
        </is>
      </c>
      <c r="H483" s="3" t="n">
        <v>12514</v>
      </c>
      <c r="I483" s="3" t="n">
        <v>12626.25</v>
      </c>
      <c r="J483" s="3">
        <f>IF(G483="Long",I483-H483,IF(G483="Short",H483-I483,0))</f>
        <v/>
      </c>
      <c r="K483" s="4" t="n">
        <v>9.800000000000001</v>
      </c>
      <c r="L483" s="2" t="inlineStr">
        <is>
          <t>Win</t>
        </is>
      </c>
      <c r="M483" s="3">
        <f>M482+J483</f>
        <v/>
      </c>
    </row>
    <row r="484">
      <c r="A484" s="2" t="inlineStr">
        <is>
          <t>2022-05-30</t>
        </is>
      </c>
      <c r="B484" s="2" t="inlineStr">
        <is>
          <t>Monday</t>
        </is>
      </c>
      <c r="C484" s="2" t="inlineStr">
        <is>
          <t>MNQM2</t>
        </is>
      </c>
      <c r="D484" s="3" t="n">
        <v>12774.75</v>
      </c>
      <c r="E484" s="3" t="n">
        <v>12746</v>
      </c>
      <c r="F484" s="3">
        <f>D484-E484</f>
        <v/>
      </c>
      <c r="G484" s="2" t="inlineStr">
        <is>
          <t>Long</t>
        </is>
      </c>
      <c r="H484" s="3" t="n">
        <v>12774.75</v>
      </c>
      <c r="I484" s="3" t="n">
        <v>12803.5</v>
      </c>
      <c r="J484" s="3">
        <f>IF(G484="Long",I484-H484,IF(G484="Short",H484-I484,0))</f>
        <v/>
      </c>
      <c r="K484" s="4" t="n">
        <v>14.78</v>
      </c>
      <c r="L484" s="2" t="inlineStr">
        <is>
          <t>Win</t>
        </is>
      </c>
      <c r="M484" s="3">
        <f>M483+J484</f>
        <v/>
      </c>
    </row>
    <row r="485">
      <c r="A485" s="5" t="inlineStr">
        <is>
          <t>2022-05-31</t>
        </is>
      </c>
      <c r="B485" s="5" t="inlineStr">
        <is>
          <t>Tuesday</t>
        </is>
      </c>
      <c r="C485" s="5" t="inlineStr">
        <is>
          <t>MNQM2</t>
        </is>
      </c>
      <c r="D485" s="6" t="n">
        <v>12688.75</v>
      </c>
      <c r="E485" s="6" t="n">
        <v>12520.25</v>
      </c>
      <c r="F485" s="6">
        <f>D485-E485</f>
        <v/>
      </c>
      <c r="G485" s="5" t="inlineStr">
        <is>
          <t>Short</t>
        </is>
      </c>
      <c r="H485" s="6" t="n">
        <v>12520.25</v>
      </c>
      <c r="I485" s="6" t="n">
        <v>12688.75</v>
      </c>
      <c r="J485" s="6">
        <f>IF(G485="Long",I485-H485,IF(G485="Short",H485-I485,0))</f>
        <v/>
      </c>
      <c r="K485" s="7" t="n">
        <v>100</v>
      </c>
      <c r="L485" s="5" t="inlineStr">
        <is>
          <t>Loss</t>
        </is>
      </c>
      <c r="M485" s="6">
        <f>M484+J485</f>
        <v/>
      </c>
    </row>
    <row r="486">
      <c r="A486" s="8" t="inlineStr">
        <is>
          <t>2022-05-31</t>
        </is>
      </c>
      <c r="B486" s="8" t="inlineStr">
        <is>
          <t>Tuesday</t>
        </is>
      </c>
      <c r="C486" s="8" t="inlineStr">
        <is>
          <t>MNQM2</t>
        </is>
      </c>
      <c r="D486" s="9" t="n">
        <v>12688.75</v>
      </c>
      <c r="E486" s="9" t="n">
        <v>12520.25</v>
      </c>
      <c r="F486" s="9">
        <f>D486-E486</f>
        <v/>
      </c>
      <c r="G486" s="8" t="inlineStr">
        <is>
          <t>Long</t>
        </is>
      </c>
      <c r="H486" s="9" t="n">
        <v>12688.75</v>
      </c>
      <c r="I486" s="9" t="n">
        <v>12645.25</v>
      </c>
      <c r="J486" s="9">
        <f>IF(G486="Long",I486-H486,IF(G486="Short",H486-I486,0))</f>
        <v/>
      </c>
      <c r="K486" s="10" t="n">
        <v>51.63</v>
      </c>
      <c r="L486" s="8" t="inlineStr">
        <is>
          <t>EOD-Close</t>
        </is>
      </c>
      <c r="M486" s="9">
        <f>M485+J486</f>
        <v/>
      </c>
    </row>
    <row r="487">
      <c r="A487" s="5" t="inlineStr">
        <is>
          <t>2022-06-01</t>
        </is>
      </c>
      <c r="B487" s="5" t="inlineStr">
        <is>
          <t>Wednesday</t>
        </is>
      </c>
      <c r="C487" s="5" t="inlineStr">
        <is>
          <t>MNQM2</t>
        </is>
      </c>
      <c r="D487" s="6" t="n">
        <v>12814.25</v>
      </c>
      <c r="E487" s="6" t="n">
        <v>12731</v>
      </c>
      <c r="F487" s="6">
        <f>D487-E487</f>
        <v/>
      </c>
      <c r="G487" s="5" t="inlineStr">
        <is>
          <t>Long</t>
        </is>
      </c>
      <c r="H487" s="6" t="n">
        <v>12814.25</v>
      </c>
      <c r="I487" s="6" t="n">
        <v>12731</v>
      </c>
      <c r="J487" s="6">
        <f>IF(G487="Long",I487-H487,IF(G487="Short",H487-I487,0))</f>
        <v/>
      </c>
      <c r="K487" s="7" t="n">
        <v>100</v>
      </c>
      <c r="L487" s="5" t="inlineStr">
        <is>
          <t>Loss</t>
        </is>
      </c>
      <c r="M487" s="6">
        <f>M486+J487</f>
        <v/>
      </c>
    </row>
    <row r="488">
      <c r="A488" s="2" t="inlineStr">
        <is>
          <t>2022-06-01</t>
        </is>
      </c>
      <c r="B488" s="2" t="inlineStr">
        <is>
          <t>Wednesday</t>
        </is>
      </c>
      <c r="C488" s="2" t="inlineStr">
        <is>
          <t>MNQM2</t>
        </is>
      </c>
      <c r="D488" s="3" t="n">
        <v>12814.25</v>
      </c>
      <c r="E488" s="3" t="n">
        <v>12731</v>
      </c>
      <c r="F488" s="3">
        <f>D488-E488</f>
        <v/>
      </c>
      <c r="G488" s="2" t="inlineStr">
        <is>
          <t>Short</t>
        </is>
      </c>
      <c r="H488" s="3" t="n">
        <v>12731</v>
      </c>
      <c r="I488" s="3" t="n">
        <v>12647.75</v>
      </c>
      <c r="J488" s="3">
        <f>IF(G488="Long",I488-H488,IF(G488="Short",H488-I488,0))</f>
        <v/>
      </c>
      <c r="K488" s="4" t="n">
        <v>0</v>
      </c>
      <c r="L488" s="2" t="inlineStr">
        <is>
          <t>Win</t>
        </is>
      </c>
      <c r="M488" s="3">
        <f>M487+J488</f>
        <v/>
      </c>
    </row>
    <row r="489">
      <c r="A489" s="2" t="inlineStr">
        <is>
          <t>2022-06-02</t>
        </is>
      </c>
      <c r="B489" s="2" t="inlineStr">
        <is>
          <t>Thursday</t>
        </is>
      </c>
      <c r="C489" s="2" t="inlineStr">
        <is>
          <t>MNQM2</t>
        </is>
      </c>
      <c r="D489" s="3" t="n">
        <v>12547.75</v>
      </c>
      <c r="E489" s="3" t="n">
        <v>12442.25</v>
      </c>
      <c r="F489" s="3">
        <f>D489-E489</f>
        <v/>
      </c>
      <c r="G489" s="2" t="inlineStr">
        <is>
          <t>Long</t>
        </is>
      </c>
      <c r="H489" s="3" t="n">
        <v>12547.75</v>
      </c>
      <c r="I489" s="3" t="n">
        <v>12653.25</v>
      </c>
      <c r="J489" s="3">
        <f>IF(G489="Long",I489-H489,IF(G489="Short",H489-I489,0))</f>
        <v/>
      </c>
      <c r="K489" s="4" t="n">
        <v>56.16</v>
      </c>
      <c r="L489" s="2" t="inlineStr">
        <is>
          <t>Win</t>
        </is>
      </c>
      <c r="M489" s="3">
        <f>M488+J489</f>
        <v/>
      </c>
    </row>
    <row r="490">
      <c r="A490" s="2" t="inlineStr">
        <is>
          <t>2022-06-03</t>
        </is>
      </c>
      <c r="B490" s="2" t="inlineStr">
        <is>
          <t>Friday</t>
        </is>
      </c>
      <c r="C490" s="2" t="inlineStr">
        <is>
          <t>MNQM2</t>
        </is>
      </c>
      <c r="D490" s="3" t="n">
        <v>12716.75</v>
      </c>
      <c r="E490" s="3" t="n">
        <v>12619.5</v>
      </c>
      <c r="F490" s="3">
        <f>D490-E490</f>
        <v/>
      </c>
      <c r="G490" s="2" t="inlineStr">
        <is>
          <t>Short</t>
        </is>
      </c>
      <c r="H490" s="3" t="n">
        <v>12619.5</v>
      </c>
      <c r="I490" s="3" t="n">
        <v>12522.25</v>
      </c>
      <c r="J490" s="3">
        <f>IF(G490="Long",I490-H490,IF(G490="Short",H490-I490,0))</f>
        <v/>
      </c>
      <c r="K490" s="4" t="n">
        <v>0</v>
      </c>
      <c r="L490" s="2" t="inlineStr">
        <is>
          <t>Win</t>
        </is>
      </c>
      <c r="M490" s="3">
        <f>M489+J490</f>
        <v/>
      </c>
    </row>
    <row r="491">
      <c r="A491" s="2" t="inlineStr">
        <is>
          <t>2022-06-03</t>
        </is>
      </c>
      <c r="B491" s="2" t="inlineStr">
        <is>
          <t>Friday</t>
        </is>
      </c>
      <c r="C491" s="2" t="inlineStr">
        <is>
          <t>MNQM2</t>
        </is>
      </c>
      <c r="D491" s="3" t="n">
        <v>12716.75</v>
      </c>
      <c r="E491" s="3" t="n">
        <v>12619.5</v>
      </c>
      <c r="F491" s="3">
        <f>D491-E491</f>
        <v/>
      </c>
      <c r="G491" s="2" t="inlineStr">
        <is>
          <t>Short</t>
        </is>
      </c>
      <c r="H491" s="3" t="n">
        <v>12619.5</v>
      </c>
      <c r="I491" s="3" t="n">
        <v>12522.25</v>
      </c>
      <c r="J491" s="3">
        <f>IF(G491="Long",I491-H491,IF(G491="Short",H491-I491,0))</f>
        <v/>
      </c>
      <c r="K491" s="4" t="n">
        <v>28.02</v>
      </c>
      <c r="L491" s="2" t="inlineStr">
        <is>
          <t>Win</t>
        </is>
      </c>
      <c r="M491" s="3">
        <f>M490+J491</f>
        <v/>
      </c>
    </row>
    <row r="492">
      <c r="A492" s="5" t="inlineStr">
        <is>
          <t>2022-06-06</t>
        </is>
      </c>
      <c r="B492" s="5" t="inlineStr">
        <is>
          <t>Monday</t>
        </is>
      </c>
      <c r="C492" s="5" t="inlineStr">
        <is>
          <t>MNQM2</t>
        </is>
      </c>
      <c r="D492" s="6" t="n">
        <v>12785.25</v>
      </c>
      <c r="E492" s="6" t="n">
        <v>12692.5</v>
      </c>
      <c r="F492" s="6">
        <f>D492-E492</f>
        <v/>
      </c>
      <c r="G492" s="5" t="inlineStr">
        <is>
          <t>Long</t>
        </is>
      </c>
      <c r="H492" s="6" t="n">
        <v>12785.25</v>
      </c>
      <c r="I492" s="6" t="n">
        <v>12692.5</v>
      </c>
      <c r="J492" s="6">
        <f>IF(G492="Long",I492-H492,IF(G492="Short",H492-I492,0))</f>
        <v/>
      </c>
      <c r="K492" s="7" t="n">
        <v>100</v>
      </c>
      <c r="L492" s="5" t="inlineStr">
        <is>
          <t>Loss</t>
        </is>
      </c>
      <c r="M492" s="6">
        <f>M491+J492</f>
        <v/>
      </c>
    </row>
    <row r="493">
      <c r="A493" s="2" t="inlineStr">
        <is>
          <t>2022-06-06</t>
        </is>
      </c>
      <c r="B493" s="2" t="inlineStr">
        <is>
          <t>Monday</t>
        </is>
      </c>
      <c r="C493" s="2" t="inlineStr">
        <is>
          <t>MNQM2</t>
        </is>
      </c>
      <c r="D493" s="3" t="n">
        <v>12785.25</v>
      </c>
      <c r="E493" s="3" t="n">
        <v>12692.5</v>
      </c>
      <c r="F493" s="3">
        <f>D493-E493</f>
        <v/>
      </c>
      <c r="G493" s="2" t="inlineStr">
        <is>
          <t>Short</t>
        </is>
      </c>
      <c r="H493" s="3" t="n">
        <v>12692.5</v>
      </c>
      <c r="I493" s="3" t="n">
        <v>12599.75</v>
      </c>
      <c r="J493" s="3">
        <f>IF(G493="Long",I493-H493,IF(G493="Short",H493-I493,0))</f>
        <v/>
      </c>
      <c r="K493" s="4" t="n">
        <v>0</v>
      </c>
      <c r="L493" s="2" t="inlineStr">
        <is>
          <t>Win</t>
        </is>
      </c>
      <c r="M493" s="3">
        <f>M492+J493</f>
        <v/>
      </c>
    </row>
    <row r="494">
      <c r="A494" s="2" t="inlineStr">
        <is>
          <t>2022-06-07</t>
        </is>
      </c>
      <c r="B494" s="2" t="inlineStr">
        <is>
          <t>Tuesday</t>
        </is>
      </c>
      <c r="C494" s="2" t="inlineStr">
        <is>
          <t>MNQM2</t>
        </is>
      </c>
      <c r="D494" s="3" t="n">
        <v>12526.5</v>
      </c>
      <c r="E494" s="3" t="n">
        <v>12412</v>
      </c>
      <c r="F494" s="3">
        <f>D494-E494</f>
        <v/>
      </c>
      <c r="G494" s="2" t="inlineStr">
        <is>
          <t>Long</t>
        </is>
      </c>
      <c r="H494" s="3" t="n">
        <v>12526.5</v>
      </c>
      <c r="I494" s="3" t="n">
        <v>12641</v>
      </c>
      <c r="J494" s="3">
        <f>IF(G494="Long",I494-H494,IF(G494="Short",H494-I494,0))</f>
        <v/>
      </c>
      <c r="K494" s="4" t="n">
        <v>30.57</v>
      </c>
      <c r="L494" s="2" t="inlineStr">
        <is>
          <t>Win</t>
        </is>
      </c>
      <c r="M494" s="3">
        <f>M493+J494</f>
        <v/>
      </c>
    </row>
    <row r="495">
      <c r="A495" s="5" t="inlineStr">
        <is>
          <t>2022-06-08</t>
        </is>
      </c>
      <c r="B495" s="5" t="inlineStr">
        <is>
          <t>Wednesday</t>
        </is>
      </c>
      <c r="C495" s="5" t="inlineStr">
        <is>
          <t>MNQM2</t>
        </is>
      </c>
      <c r="D495" s="6" t="n">
        <v>12723.25</v>
      </c>
      <c r="E495" s="6" t="n">
        <v>12627.5</v>
      </c>
      <c r="F495" s="6">
        <f>D495-E495</f>
        <v/>
      </c>
      <c r="G495" s="5" t="inlineStr">
        <is>
          <t>Long</t>
        </is>
      </c>
      <c r="H495" s="6" t="n">
        <v>12723.25</v>
      </c>
      <c r="I495" s="6" t="n">
        <v>12627.5</v>
      </c>
      <c r="J495" s="6">
        <f>IF(G495="Long",I495-H495,IF(G495="Short",H495-I495,0))</f>
        <v/>
      </c>
      <c r="K495" s="7" t="n">
        <v>100</v>
      </c>
      <c r="L495" s="5" t="inlineStr">
        <is>
          <t>Loss</t>
        </is>
      </c>
      <c r="M495" s="6">
        <f>M494+J495</f>
        <v/>
      </c>
    </row>
    <row r="496">
      <c r="A496" s="8" t="inlineStr">
        <is>
          <t>2022-06-08</t>
        </is>
      </c>
      <c r="B496" s="8" t="inlineStr">
        <is>
          <t>Wednesday</t>
        </is>
      </c>
      <c r="C496" s="8" t="inlineStr">
        <is>
          <t>MNQM2</t>
        </is>
      </c>
      <c r="D496" s="9" t="n">
        <v>12723.25</v>
      </c>
      <c r="E496" s="9" t="n">
        <v>12627.5</v>
      </c>
      <c r="F496" s="9">
        <f>D496-E496</f>
        <v/>
      </c>
      <c r="G496" s="8" t="inlineStr">
        <is>
          <t>Short</t>
        </is>
      </c>
      <c r="H496" s="9" t="n">
        <v>12627.5</v>
      </c>
      <c r="I496" s="9" t="n">
        <v>12619</v>
      </c>
      <c r="J496" s="9">
        <f>IF(G496="Long",I496-H496,IF(G496="Short",H496-I496,0))</f>
        <v/>
      </c>
      <c r="K496" s="10" t="n">
        <v>32.11</v>
      </c>
      <c r="L496" s="8" t="inlineStr">
        <is>
          <t>EOD-Close</t>
        </is>
      </c>
      <c r="M496" s="9">
        <f>M495+J496</f>
        <v/>
      </c>
    </row>
    <row r="497">
      <c r="A497" s="5" t="inlineStr">
        <is>
          <t>2022-06-09</t>
        </is>
      </c>
      <c r="B497" s="5" t="inlineStr">
        <is>
          <t>Thursday</t>
        </is>
      </c>
      <c r="C497" s="5" t="inlineStr">
        <is>
          <t>MNQM2</t>
        </is>
      </c>
      <c r="D497" s="6" t="n">
        <v>12598.5</v>
      </c>
      <c r="E497" s="6" t="n">
        <v>12506.25</v>
      </c>
      <c r="F497" s="6">
        <f>D497-E497</f>
        <v/>
      </c>
      <c r="G497" s="5" t="inlineStr">
        <is>
          <t>Long</t>
        </is>
      </c>
      <c r="H497" s="6" t="n">
        <v>12598.5</v>
      </c>
      <c r="I497" s="6" t="n">
        <v>12506.25</v>
      </c>
      <c r="J497" s="6">
        <f>IF(G497="Long",I497-H497,IF(G497="Short",H497-I497,0))</f>
        <v/>
      </c>
      <c r="K497" s="7" t="n">
        <v>100</v>
      </c>
      <c r="L497" s="5" t="inlineStr">
        <is>
          <t>Loss</t>
        </is>
      </c>
      <c r="M497" s="6">
        <f>M496+J497</f>
        <v/>
      </c>
    </row>
    <row r="498">
      <c r="A498" s="2" t="inlineStr">
        <is>
          <t>2022-06-09</t>
        </is>
      </c>
      <c r="B498" s="2" t="inlineStr">
        <is>
          <t>Thursday</t>
        </is>
      </c>
      <c r="C498" s="2" t="inlineStr">
        <is>
          <t>MNQM2</t>
        </is>
      </c>
      <c r="D498" s="3" t="n">
        <v>12598.5</v>
      </c>
      <c r="E498" s="3" t="n">
        <v>12506.25</v>
      </c>
      <c r="F498" s="3">
        <f>D498-E498</f>
        <v/>
      </c>
      <c r="G498" s="2" t="inlineStr">
        <is>
          <t>Short</t>
        </is>
      </c>
      <c r="H498" s="3" t="n">
        <v>12506.25</v>
      </c>
      <c r="I498" s="3" t="n">
        <v>12414</v>
      </c>
      <c r="J498" s="3">
        <f>IF(G498="Long",I498-H498,IF(G498="Short",H498-I498,0))</f>
        <v/>
      </c>
      <c r="K498" s="4" t="n">
        <v>8.130000000000001</v>
      </c>
      <c r="L498" s="2" t="inlineStr">
        <is>
          <t>Win</t>
        </is>
      </c>
      <c r="M498" s="3">
        <f>M497+J498</f>
        <v/>
      </c>
    </row>
    <row r="499">
      <c r="A499" s="2" t="inlineStr">
        <is>
          <t>2022-06-10</t>
        </is>
      </c>
      <c r="B499" s="2" t="inlineStr">
        <is>
          <t>Friday</t>
        </is>
      </c>
      <c r="C499" s="2" t="inlineStr">
        <is>
          <t>MNQM2</t>
        </is>
      </c>
      <c r="D499" s="3" t="n">
        <v>12090</v>
      </c>
      <c r="E499" s="3" t="n">
        <v>11971.25</v>
      </c>
      <c r="F499" s="3">
        <f>D499-E499</f>
        <v/>
      </c>
      <c r="G499" s="2" t="inlineStr">
        <is>
          <t>Short</t>
        </is>
      </c>
      <c r="H499" s="3" t="n">
        <v>11971.25</v>
      </c>
      <c r="I499" s="3" t="n">
        <v>11852.5</v>
      </c>
      <c r="J499" s="3">
        <f>IF(G499="Long",I499-H499,IF(G499="Short",H499-I499,0))</f>
        <v/>
      </c>
      <c r="K499" s="4" t="n">
        <v>6.32</v>
      </c>
      <c r="L499" s="2" t="inlineStr">
        <is>
          <t>Win</t>
        </is>
      </c>
      <c r="M499" s="3">
        <f>M498+J499</f>
        <v/>
      </c>
    </row>
    <row r="500">
      <c r="A500" s="2" t="inlineStr">
        <is>
          <t>2022-06-10</t>
        </is>
      </c>
      <c r="B500" s="2" t="inlineStr">
        <is>
          <t>Friday</t>
        </is>
      </c>
      <c r="C500" s="2" t="inlineStr">
        <is>
          <t>MNQM2</t>
        </is>
      </c>
      <c r="D500" s="3" t="n">
        <v>12090</v>
      </c>
      <c r="E500" s="3" t="n">
        <v>11971.25</v>
      </c>
      <c r="F500" s="3">
        <f>D500-E500</f>
        <v/>
      </c>
      <c r="G500" s="2" t="inlineStr">
        <is>
          <t>Short</t>
        </is>
      </c>
      <c r="H500" s="3" t="n">
        <v>11971.25</v>
      </c>
      <c r="I500" s="3" t="n">
        <v>11852.5</v>
      </c>
      <c r="J500" s="3">
        <f>IF(G500="Long",I500-H500,IF(G500="Short",H500-I500,0))</f>
        <v/>
      </c>
      <c r="K500" s="4" t="n">
        <v>2.32</v>
      </c>
      <c r="L500" s="2" t="inlineStr">
        <is>
          <t>Win</t>
        </is>
      </c>
      <c r="M500" s="3">
        <f>M499+J500</f>
        <v/>
      </c>
    </row>
    <row r="501">
      <c r="A501" s="2" t="inlineStr">
        <is>
          <t>2022-06-13</t>
        </is>
      </c>
      <c r="B501" s="2" t="inlineStr">
        <is>
          <t>Monday</t>
        </is>
      </c>
      <c r="C501" s="2" t="inlineStr">
        <is>
          <t>MNQU2</t>
        </is>
      </c>
      <c r="D501" s="3" t="n">
        <v>11604</v>
      </c>
      <c r="E501" s="3" t="n">
        <v>11491.25</v>
      </c>
      <c r="F501" s="3">
        <f>D501-E501</f>
        <v/>
      </c>
      <c r="G501" s="2" t="inlineStr">
        <is>
          <t>Short</t>
        </is>
      </c>
      <c r="H501" s="3" t="n">
        <v>11491.25</v>
      </c>
      <c r="I501" s="3" t="n">
        <v>11378.5</v>
      </c>
      <c r="J501" s="3">
        <f>IF(G501="Long",I501-H501,IF(G501="Short",H501-I501,0))</f>
        <v/>
      </c>
      <c r="K501" s="4" t="n">
        <v>0</v>
      </c>
      <c r="L501" s="2" t="inlineStr">
        <is>
          <t>Win</t>
        </is>
      </c>
      <c r="M501" s="3">
        <f>M500+J501</f>
        <v/>
      </c>
    </row>
    <row r="502">
      <c r="A502" s="2" t="inlineStr">
        <is>
          <t>2022-06-13</t>
        </is>
      </c>
      <c r="B502" s="2" t="inlineStr">
        <is>
          <t>Monday</t>
        </is>
      </c>
      <c r="C502" s="2" t="inlineStr">
        <is>
          <t>MNQU2</t>
        </is>
      </c>
      <c r="D502" s="3" t="n">
        <v>11604</v>
      </c>
      <c r="E502" s="3" t="n">
        <v>11491.25</v>
      </c>
      <c r="F502" s="3">
        <f>D502-E502</f>
        <v/>
      </c>
      <c r="G502" s="2" t="inlineStr">
        <is>
          <t>Short</t>
        </is>
      </c>
      <c r="H502" s="3" t="n">
        <v>11491.25</v>
      </c>
      <c r="I502" s="3" t="n">
        <v>11378.5</v>
      </c>
      <c r="J502" s="3">
        <f>IF(G502="Long",I502-H502,IF(G502="Short",H502-I502,0))</f>
        <v/>
      </c>
      <c r="K502" s="4" t="n">
        <v>59.65</v>
      </c>
      <c r="L502" s="2" t="inlineStr">
        <is>
          <t>Win</t>
        </is>
      </c>
      <c r="M502" s="3">
        <f>M501+J502</f>
        <v/>
      </c>
    </row>
    <row r="503">
      <c r="A503" s="5" t="inlineStr">
        <is>
          <t>2022-06-14</t>
        </is>
      </c>
      <c r="B503" s="5" t="inlineStr">
        <is>
          <t>Tuesday</t>
        </is>
      </c>
      <c r="C503" s="5" t="inlineStr">
        <is>
          <t>MNQU2</t>
        </is>
      </c>
      <c r="D503" s="6" t="n">
        <v>11442.5</v>
      </c>
      <c r="E503" s="6" t="n">
        <v>11295.25</v>
      </c>
      <c r="F503" s="6">
        <f>D503-E503</f>
        <v/>
      </c>
      <c r="G503" s="5" t="inlineStr">
        <is>
          <t>Short</t>
        </is>
      </c>
      <c r="H503" s="6" t="n">
        <v>11295.25</v>
      </c>
      <c r="I503" s="6" t="n">
        <v>11442.5</v>
      </c>
      <c r="J503" s="6">
        <f>IF(G503="Long",I503-H503,IF(G503="Short",H503-I503,0))</f>
        <v/>
      </c>
      <c r="K503" s="7" t="n">
        <v>100</v>
      </c>
      <c r="L503" s="5" t="inlineStr">
        <is>
          <t>Loss</t>
        </is>
      </c>
      <c r="M503" s="6">
        <f>M502+J503</f>
        <v/>
      </c>
    </row>
    <row r="504">
      <c r="A504" s="8" t="inlineStr">
        <is>
          <t>2022-06-14</t>
        </is>
      </c>
      <c r="B504" s="8" t="inlineStr">
        <is>
          <t>Tuesday</t>
        </is>
      </c>
      <c r="C504" s="8" t="inlineStr">
        <is>
          <t>MNQU2</t>
        </is>
      </c>
      <c r="D504" s="9" t="n">
        <v>11442.5</v>
      </c>
      <c r="E504" s="9" t="n">
        <v>11295.25</v>
      </c>
      <c r="F504" s="9">
        <f>D504-E504</f>
        <v/>
      </c>
      <c r="G504" s="8" t="inlineStr">
        <is>
          <t>Short</t>
        </is>
      </c>
      <c r="H504" s="9" t="n">
        <v>11295.25</v>
      </c>
      <c r="I504" s="9" t="n">
        <v>11350.75</v>
      </c>
      <c r="J504" s="9">
        <f>IF(G504="Long",I504-H504,IF(G504="Short",H504-I504,0))</f>
        <v/>
      </c>
      <c r="K504" s="10" t="n">
        <v>69.09999999999999</v>
      </c>
      <c r="L504" s="8" t="inlineStr">
        <is>
          <t>EOD-Close</t>
        </is>
      </c>
      <c r="M504" s="9">
        <f>M503+J504</f>
        <v/>
      </c>
    </row>
    <row r="505">
      <c r="A505" s="5" t="inlineStr">
        <is>
          <t>2022-06-15</t>
        </is>
      </c>
      <c r="B505" s="5" t="inlineStr">
        <is>
          <t>Wednesday</t>
        </is>
      </c>
      <c r="C505" s="5" t="inlineStr">
        <is>
          <t>MNQU2</t>
        </is>
      </c>
      <c r="D505" s="6" t="n">
        <v>11546.75</v>
      </c>
      <c r="E505" s="6" t="n">
        <v>11459.5</v>
      </c>
      <c r="F505" s="6">
        <f>D505-E505</f>
        <v/>
      </c>
      <c r="G505" s="5" t="inlineStr">
        <is>
          <t>Long</t>
        </is>
      </c>
      <c r="H505" s="6" t="n">
        <v>11546.75</v>
      </c>
      <c r="I505" s="6" t="n">
        <v>11459.5</v>
      </c>
      <c r="J505" s="6">
        <f>IF(G505="Long",I505-H505,IF(G505="Short",H505-I505,0))</f>
        <v/>
      </c>
      <c r="K505" s="7" t="n">
        <v>100</v>
      </c>
      <c r="L505" s="5" t="inlineStr">
        <is>
          <t>Loss</t>
        </is>
      </c>
      <c r="M505" s="6">
        <f>M504+J505</f>
        <v/>
      </c>
    </row>
    <row r="506">
      <c r="A506" s="5" t="inlineStr">
        <is>
          <t>2022-06-15</t>
        </is>
      </c>
      <c r="B506" s="5" t="inlineStr">
        <is>
          <t>Wednesday</t>
        </is>
      </c>
      <c r="C506" s="5" t="inlineStr">
        <is>
          <t>MNQU2</t>
        </is>
      </c>
      <c r="D506" s="6" t="n">
        <v>11546.75</v>
      </c>
      <c r="E506" s="6" t="n">
        <v>11459.5</v>
      </c>
      <c r="F506" s="6">
        <f>D506-E506</f>
        <v/>
      </c>
      <c r="G506" s="5" t="inlineStr">
        <is>
          <t>Short</t>
        </is>
      </c>
      <c r="H506" s="6" t="n">
        <v>11459.5</v>
      </c>
      <c r="I506" s="6" t="n">
        <v>11546.75</v>
      </c>
      <c r="J506" s="6">
        <f>IF(G506="Long",I506-H506,IF(G506="Short",H506-I506,0))</f>
        <v/>
      </c>
      <c r="K506" s="7" t="n">
        <v>100</v>
      </c>
      <c r="L506" s="5" t="inlineStr">
        <is>
          <t>Loss</t>
        </is>
      </c>
      <c r="M506" s="6">
        <f>M505+J506</f>
        <v/>
      </c>
    </row>
    <row r="507">
      <c r="A507" s="2" t="inlineStr">
        <is>
          <t>2022-06-16</t>
        </is>
      </c>
      <c r="B507" s="2" t="inlineStr">
        <is>
          <t>Thursday</t>
        </is>
      </c>
      <c r="C507" s="2" t="inlineStr">
        <is>
          <t>MNQU2</t>
        </is>
      </c>
      <c r="D507" s="3" t="n">
        <v>11350</v>
      </c>
      <c r="E507" s="3" t="n">
        <v>11261.5</v>
      </c>
      <c r="F507" s="3">
        <f>D507-E507</f>
        <v/>
      </c>
      <c r="G507" s="2" t="inlineStr">
        <is>
          <t>Short</t>
        </is>
      </c>
      <c r="H507" s="3" t="n">
        <v>11261.5</v>
      </c>
      <c r="I507" s="3" t="n">
        <v>11173</v>
      </c>
      <c r="J507" s="3">
        <f>IF(G507="Long",I507-H507,IF(G507="Short",H507-I507,0))</f>
        <v/>
      </c>
      <c r="K507" s="4" t="n">
        <v>0</v>
      </c>
      <c r="L507" s="2" t="inlineStr">
        <is>
          <t>Win</t>
        </is>
      </c>
      <c r="M507" s="3">
        <f>M506+J507</f>
        <v/>
      </c>
    </row>
    <row r="508">
      <c r="A508" s="5" t="inlineStr">
        <is>
          <t>2022-06-17</t>
        </is>
      </c>
      <c r="B508" s="5" t="inlineStr">
        <is>
          <t>Friday</t>
        </is>
      </c>
      <c r="C508" s="5" t="inlineStr">
        <is>
          <t>MNQU2</t>
        </is>
      </c>
      <c r="D508" s="6" t="n">
        <v>11326</v>
      </c>
      <c r="E508" s="6" t="n">
        <v>11184.75</v>
      </c>
      <c r="F508" s="6">
        <f>D508-E508</f>
        <v/>
      </c>
      <c r="G508" s="5" t="inlineStr">
        <is>
          <t>Long</t>
        </is>
      </c>
      <c r="H508" s="6" t="n">
        <v>11326</v>
      </c>
      <c r="I508" s="6" t="n">
        <v>11184.75</v>
      </c>
      <c r="J508" s="6">
        <f>IF(G508="Long",I508-H508,IF(G508="Short",H508-I508,0))</f>
        <v/>
      </c>
      <c r="K508" s="7" t="n">
        <v>100</v>
      </c>
      <c r="L508" s="5" t="inlineStr">
        <is>
          <t>Loss</t>
        </is>
      </c>
      <c r="M508" s="6">
        <f>M507+J508</f>
        <v/>
      </c>
    </row>
    <row r="509">
      <c r="A509" s="5" t="inlineStr">
        <is>
          <t>2022-06-17</t>
        </is>
      </c>
      <c r="B509" s="5" t="inlineStr">
        <is>
          <t>Friday</t>
        </is>
      </c>
      <c r="C509" s="5" t="inlineStr">
        <is>
          <t>MNQU2</t>
        </is>
      </c>
      <c r="D509" s="6" t="n">
        <v>11326</v>
      </c>
      <c r="E509" s="6" t="n">
        <v>11184.75</v>
      </c>
      <c r="F509" s="6">
        <f>D509-E509</f>
        <v/>
      </c>
      <c r="G509" s="5" t="inlineStr">
        <is>
          <t>Short</t>
        </is>
      </c>
      <c r="H509" s="6" t="n">
        <v>11184.75</v>
      </c>
      <c r="I509" s="6" t="n">
        <v>11326</v>
      </c>
      <c r="J509" s="6">
        <f>IF(G509="Long",I509-H509,IF(G509="Short",H509-I509,0))</f>
        <v/>
      </c>
      <c r="K509" s="7" t="n">
        <v>100</v>
      </c>
      <c r="L509" s="5" t="inlineStr">
        <is>
          <t>Loss</t>
        </is>
      </c>
      <c r="M509" s="6">
        <f>M508+J509</f>
        <v/>
      </c>
    </row>
    <row r="510">
      <c r="A510" s="5" t="inlineStr">
        <is>
          <t>2022-06-20</t>
        </is>
      </c>
      <c r="B510" s="5" t="inlineStr">
        <is>
          <t>Monday</t>
        </is>
      </c>
      <c r="C510" s="5" t="inlineStr">
        <is>
          <t>MNQU2</t>
        </is>
      </c>
      <c r="D510" s="6" t="n">
        <v>11376</v>
      </c>
      <c r="E510" s="6" t="n">
        <v>11339.75</v>
      </c>
      <c r="F510" s="6">
        <f>D510-E510</f>
        <v/>
      </c>
      <c r="G510" s="5" t="inlineStr">
        <is>
          <t>Short</t>
        </is>
      </c>
      <c r="H510" s="6" t="n">
        <v>11339.75</v>
      </c>
      <c r="I510" s="6" t="n">
        <v>11376</v>
      </c>
      <c r="J510" s="6">
        <f>IF(G510="Long",I510-H510,IF(G510="Short",H510-I510,0))</f>
        <v/>
      </c>
      <c r="K510" s="7" t="n">
        <v>100</v>
      </c>
      <c r="L510" s="5" t="inlineStr">
        <is>
          <t>Loss</t>
        </is>
      </c>
      <c r="M510" s="6">
        <f>M509+J510</f>
        <v/>
      </c>
    </row>
    <row r="511">
      <c r="A511" s="2" t="inlineStr">
        <is>
          <t>2022-06-20</t>
        </is>
      </c>
      <c r="B511" s="2" t="inlineStr">
        <is>
          <t>Monday</t>
        </is>
      </c>
      <c r="C511" s="2" t="inlineStr">
        <is>
          <t>MNQU2</t>
        </is>
      </c>
      <c r="D511" s="3" t="n">
        <v>11376</v>
      </c>
      <c r="E511" s="3" t="n">
        <v>11339.75</v>
      </c>
      <c r="F511" s="3">
        <f>D511-E511</f>
        <v/>
      </c>
      <c r="G511" s="2" t="inlineStr">
        <is>
          <t>Long</t>
        </is>
      </c>
      <c r="H511" s="3" t="n">
        <v>11376</v>
      </c>
      <c r="I511" s="3" t="n">
        <v>11412.25</v>
      </c>
      <c r="J511" s="3">
        <f>IF(G511="Long",I511-H511,IF(G511="Short",H511-I511,0))</f>
        <v/>
      </c>
      <c r="K511" s="4" t="n">
        <v>20</v>
      </c>
      <c r="L511" s="2" t="inlineStr">
        <is>
          <t>Win</t>
        </is>
      </c>
      <c r="M511" s="3">
        <f>M510+J511</f>
        <v/>
      </c>
    </row>
    <row r="512">
      <c r="A512" s="8" t="inlineStr">
        <is>
          <t>2022-06-21</t>
        </is>
      </c>
      <c r="B512" s="8" t="inlineStr">
        <is>
          <t>Tuesday</t>
        </is>
      </c>
      <c r="C512" s="8" t="inlineStr">
        <is>
          <t>MNQU2</t>
        </is>
      </c>
      <c r="D512" s="9" t="n">
        <v>11602.5</v>
      </c>
      <c r="E512" s="9" t="n">
        <v>11475.75</v>
      </c>
      <c r="F512" s="9">
        <f>D512-E512</f>
        <v/>
      </c>
      <c r="G512" s="8" t="inlineStr">
        <is>
          <t>Long</t>
        </is>
      </c>
      <c r="H512" s="9" t="n">
        <v>11602.5</v>
      </c>
      <c r="I512" s="9" t="n">
        <v>11579.25</v>
      </c>
      <c r="J512" s="9">
        <f>IF(G512="Long",I512-H512,IF(G512="Short",H512-I512,0))</f>
        <v/>
      </c>
      <c r="K512" s="10" t="n">
        <v>32.15</v>
      </c>
      <c r="L512" s="8" t="inlineStr">
        <is>
          <t>EOD-Close</t>
        </is>
      </c>
      <c r="M512" s="9">
        <f>M511+J512</f>
        <v/>
      </c>
    </row>
    <row r="513">
      <c r="A513" s="2" t="inlineStr">
        <is>
          <t>2022-06-22</t>
        </is>
      </c>
      <c r="B513" s="2" t="inlineStr">
        <is>
          <t>Wednesday</t>
        </is>
      </c>
      <c r="C513" s="2" t="inlineStr">
        <is>
          <t>MNQU2</t>
        </is>
      </c>
      <c r="D513" s="3" t="n">
        <v>11527</v>
      </c>
      <c r="E513" s="3" t="n">
        <v>11446.5</v>
      </c>
      <c r="F513" s="3">
        <f>D513-E513</f>
        <v/>
      </c>
      <c r="G513" s="2" t="inlineStr">
        <is>
          <t>Long</t>
        </is>
      </c>
      <c r="H513" s="3" t="n">
        <v>11527</v>
      </c>
      <c r="I513" s="3" t="n">
        <v>11607.5</v>
      </c>
      <c r="J513" s="3">
        <f>IF(G513="Long",I513-H513,IF(G513="Short",H513-I513,0))</f>
        <v/>
      </c>
      <c r="K513" s="4" t="n">
        <v>27.33</v>
      </c>
      <c r="L513" s="2" t="inlineStr">
        <is>
          <t>Win</t>
        </is>
      </c>
      <c r="M513" s="3">
        <f>M512+J513</f>
        <v/>
      </c>
    </row>
    <row r="514">
      <c r="A514" s="5" t="inlineStr">
        <is>
          <t>2022-06-23</t>
        </is>
      </c>
      <c r="B514" s="5" t="inlineStr">
        <is>
          <t>Thursday</t>
        </is>
      </c>
      <c r="C514" s="5" t="inlineStr">
        <is>
          <t>MNQU2</t>
        </is>
      </c>
      <c r="D514" s="6" t="n">
        <v>11683.75</v>
      </c>
      <c r="E514" s="6" t="n">
        <v>11560.75</v>
      </c>
      <c r="F514" s="6">
        <f>D514-E514</f>
        <v/>
      </c>
      <c r="G514" s="5" t="inlineStr">
        <is>
          <t>Short</t>
        </is>
      </c>
      <c r="H514" s="6" t="n">
        <v>11560.75</v>
      </c>
      <c r="I514" s="6" t="n">
        <v>11683.75</v>
      </c>
      <c r="J514" s="6">
        <f>IF(G514="Long",I514-H514,IF(G514="Short",H514-I514,0))</f>
        <v/>
      </c>
      <c r="K514" s="7" t="n">
        <v>100</v>
      </c>
      <c r="L514" s="5" t="inlineStr">
        <is>
          <t>Loss</t>
        </is>
      </c>
      <c r="M514" s="6">
        <f>M513+J514</f>
        <v/>
      </c>
    </row>
    <row r="515">
      <c r="A515" s="5" t="inlineStr">
        <is>
          <t>2022-06-23</t>
        </is>
      </c>
      <c r="B515" s="5" t="inlineStr">
        <is>
          <t>Thursday</t>
        </is>
      </c>
      <c r="C515" s="5" t="inlineStr">
        <is>
          <t>MNQU2</t>
        </is>
      </c>
      <c r="D515" s="6" t="n">
        <v>11683.75</v>
      </c>
      <c r="E515" s="6" t="n">
        <v>11560.75</v>
      </c>
      <c r="F515" s="6">
        <f>D515-E515</f>
        <v/>
      </c>
      <c r="G515" s="5" t="inlineStr">
        <is>
          <t>Long</t>
        </is>
      </c>
      <c r="H515" s="6" t="n">
        <v>11683.75</v>
      </c>
      <c r="I515" s="6" t="n">
        <v>11560.75</v>
      </c>
      <c r="J515" s="6">
        <f>IF(G515="Long",I515-H515,IF(G515="Short",H515-I515,0))</f>
        <v/>
      </c>
      <c r="K515" s="7" t="n">
        <v>100</v>
      </c>
      <c r="L515" s="5" t="inlineStr">
        <is>
          <t>Loss</t>
        </is>
      </c>
      <c r="M515" s="6">
        <f>M514+J515</f>
        <v/>
      </c>
    </row>
    <row r="516">
      <c r="A516" s="2" t="inlineStr">
        <is>
          <t>2022-06-24</t>
        </is>
      </c>
      <c r="B516" s="2" t="inlineStr">
        <is>
          <t>Friday</t>
        </is>
      </c>
      <c r="C516" s="2" t="inlineStr">
        <is>
          <t>MNQU2</t>
        </is>
      </c>
      <c r="D516" s="3" t="n">
        <v>11959.5</v>
      </c>
      <c r="E516" s="3" t="n">
        <v>11838.5</v>
      </c>
      <c r="F516" s="3">
        <f>D516-E516</f>
        <v/>
      </c>
      <c r="G516" s="2" t="inlineStr">
        <is>
          <t>Long</t>
        </is>
      </c>
      <c r="H516" s="3" t="n">
        <v>11959.5</v>
      </c>
      <c r="I516" s="3" t="n">
        <v>12080.5</v>
      </c>
      <c r="J516" s="3">
        <f>IF(G516="Long",I516-H516,IF(G516="Short",H516-I516,0))</f>
        <v/>
      </c>
      <c r="K516" s="4" t="n">
        <v>14.05</v>
      </c>
      <c r="L516" s="2" t="inlineStr">
        <is>
          <t>Win</t>
        </is>
      </c>
      <c r="M516" s="3">
        <f>M515+J516</f>
        <v/>
      </c>
    </row>
    <row r="517">
      <c r="A517" s="8" t="inlineStr">
        <is>
          <t>2022-06-27</t>
        </is>
      </c>
      <c r="B517" s="8" t="inlineStr">
        <is>
          <t>Monday</t>
        </is>
      </c>
      <c r="C517" s="8" t="inlineStr">
        <is>
          <t>MNQU2</t>
        </is>
      </c>
      <c r="D517" s="9" t="n">
        <v>12213.5</v>
      </c>
      <c r="E517" s="9" t="n">
        <v>12047.75</v>
      </c>
      <c r="F517" s="9">
        <f>D517-E517</f>
        <v/>
      </c>
      <c r="G517" s="8" t="inlineStr">
        <is>
          <t>Short</t>
        </is>
      </c>
      <c r="H517" s="9" t="n">
        <v>12047.75</v>
      </c>
      <c r="I517" s="9" t="n">
        <v>12045</v>
      </c>
      <c r="J517" s="9">
        <f>IF(G517="Long",I517-H517,IF(G517="Short",H517-I517,0))</f>
        <v/>
      </c>
      <c r="K517" s="10" t="n">
        <v>62.75</v>
      </c>
      <c r="L517" s="8" t="inlineStr">
        <is>
          <t>EOD-Close</t>
        </is>
      </c>
      <c r="M517" s="9">
        <f>M516+J517</f>
        <v/>
      </c>
    </row>
    <row r="518">
      <c r="A518" s="2" t="inlineStr">
        <is>
          <t>2022-06-28</t>
        </is>
      </c>
      <c r="B518" s="2" t="inlineStr">
        <is>
          <t>Tuesday</t>
        </is>
      </c>
      <c r="C518" s="2" t="inlineStr">
        <is>
          <t>MNQU2</t>
        </is>
      </c>
      <c r="D518" s="3" t="n">
        <v>12174.25</v>
      </c>
      <c r="E518" s="3" t="n">
        <v>12047.25</v>
      </c>
      <c r="F518" s="3">
        <f>D518-E518</f>
        <v/>
      </c>
      <c r="G518" s="2" t="inlineStr">
        <is>
          <t>Short</t>
        </is>
      </c>
      <c r="H518" s="3" t="n">
        <v>12047.25</v>
      </c>
      <c r="I518" s="3" t="n">
        <v>11920.25</v>
      </c>
      <c r="J518" s="3">
        <f>IF(G518="Long",I518-H518,IF(G518="Short",H518-I518,0))</f>
        <v/>
      </c>
      <c r="K518" s="4" t="n">
        <v>10.04</v>
      </c>
      <c r="L518" s="2" t="inlineStr">
        <is>
          <t>Win</t>
        </is>
      </c>
      <c r="M518" s="3">
        <f>M517+J518</f>
        <v/>
      </c>
    </row>
    <row r="519">
      <c r="A519" s="8" t="inlineStr">
        <is>
          <t>2022-06-29</t>
        </is>
      </c>
      <c r="B519" s="8" t="inlineStr">
        <is>
          <t>Wednesday</t>
        </is>
      </c>
      <c r="C519" s="8" t="inlineStr">
        <is>
          <t>MNQU2</t>
        </is>
      </c>
      <c r="D519" s="9" t="n">
        <v>11690.5</v>
      </c>
      <c r="E519" s="9" t="n">
        <v>11573.5</v>
      </c>
      <c r="F519" s="9">
        <f>D519-E519</f>
        <v/>
      </c>
      <c r="G519" s="8" t="inlineStr">
        <is>
          <t>Long</t>
        </is>
      </c>
      <c r="H519" s="9" t="n">
        <v>11690.5</v>
      </c>
      <c r="I519" s="9" t="n">
        <v>11689.25</v>
      </c>
      <c r="J519" s="9">
        <f>IF(G519="Long",I519-H519,IF(G519="Short",H519-I519,0))</f>
        <v/>
      </c>
      <c r="K519" s="10" t="n">
        <v>73.93000000000001</v>
      </c>
      <c r="L519" s="8" t="inlineStr">
        <is>
          <t>EOD-Close</t>
        </is>
      </c>
      <c r="M519" s="9">
        <f>M518+J519</f>
        <v/>
      </c>
    </row>
    <row r="520">
      <c r="A520" s="5" t="inlineStr">
        <is>
          <t>2022-06-30</t>
        </is>
      </c>
      <c r="B520" s="5" t="inlineStr">
        <is>
          <t>Thursday</t>
        </is>
      </c>
      <c r="C520" s="5" t="inlineStr">
        <is>
          <t>MNQU2</t>
        </is>
      </c>
      <c r="D520" s="6" t="n">
        <v>11588</v>
      </c>
      <c r="E520" s="6" t="n">
        <v>11435.25</v>
      </c>
      <c r="F520" s="6">
        <f>D520-E520</f>
        <v/>
      </c>
      <c r="G520" s="5" t="inlineStr">
        <is>
          <t>Short</t>
        </is>
      </c>
      <c r="H520" s="6" t="n">
        <v>11435.25</v>
      </c>
      <c r="I520" s="6" t="n">
        <v>11588</v>
      </c>
      <c r="J520" s="6">
        <f>IF(G520="Long",I520-H520,IF(G520="Short",H520-I520,0))</f>
        <v/>
      </c>
      <c r="K520" s="7" t="n">
        <v>100</v>
      </c>
      <c r="L520" s="5" t="inlineStr">
        <is>
          <t>Loss</t>
        </is>
      </c>
      <c r="M520" s="6">
        <f>M519+J520</f>
        <v/>
      </c>
    </row>
    <row r="521">
      <c r="A521" s="8" t="inlineStr">
        <is>
          <t>2022-06-30</t>
        </is>
      </c>
      <c r="B521" s="8" t="inlineStr">
        <is>
          <t>Thursday</t>
        </is>
      </c>
      <c r="C521" s="8" t="inlineStr">
        <is>
          <t>MNQU2</t>
        </is>
      </c>
      <c r="D521" s="9" t="n">
        <v>11588</v>
      </c>
      <c r="E521" s="9" t="n">
        <v>11435.25</v>
      </c>
      <c r="F521" s="9">
        <f>D521-E521</f>
        <v/>
      </c>
      <c r="G521" s="8" t="inlineStr">
        <is>
          <t>Long</t>
        </is>
      </c>
      <c r="H521" s="9" t="n">
        <v>11588</v>
      </c>
      <c r="I521" s="9" t="n">
        <v>11538.75</v>
      </c>
      <c r="J521" s="9">
        <f>IF(G521="Long",I521-H521,IF(G521="Short",H521-I521,0))</f>
        <v/>
      </c>
      <c r="K521" s="10" t="n">
        <v>77.25</v>
      </c>
      <c r="L521" s="8" t="inlineStr">
        <is>
          <t>EOD-Close</t>
        </is>
      </c>
      <c r="M521" s="9">
        <f>M520+J521</f>
        <v/>
      </c>
    </row>
    <row r="522">
      <c r="A522" s="5" t="inlineStr">
        <is>
          <t>2022-07-01</t>
        </is>
      </c>
      <c r="B522" s="5" t="inlineStr">
        <is>
          <t>Friday</t>
        </is>
      </c>
      <c r="C522" s="5" t="inlineStr">
        <is>
          <t>MNQU2</t>
        </is>
      </c>
      <c r="D522" s="6" t="n">
        <v>11535.5</v>
      </c>
      <c r="E522" s="6" t="n">
        <v>11417.25</v>
      </c>
      <c r="F522" s="6">
        <f>D522-E522</f>
        <v/>
      </c>
      <c r="G522" s="5" t="inlineStr">
        <is>
          <t>Long</t>
        </is>
      </c>
      <c r="H522" s="6" t="n">
        <v>11535.5</v>
      </c>
      <c r="I522" s="6" t="n">
        <v>11417.25</v>
      </c>
      <c r="J522" s="6">
        <f>IF(G522="Long",I522-H522,IF(G522="Short",H522-I522,0))</f>
        <v/>
      </c>
      <c r="K522" s="7" t="n">
        <v>100</v>
      </c>
      <c r="L522" s="5" t="inlineStr">
        <is>
          <t>Loss</t>
        </is>
      </c>
      <c r="M522" s="6">
        <f>M521+J522</f>
        <v/>
      </c>
    </row>
    <row r="523">
      <c r="A523" s="5" t="inlineStr">
        <is>
          <t>2022-07-01</t>
        </is>
      </c>
      <c r="B523" s="5" t="inlineStr">
        <is>
          <t>Friday</t>
        </is>
      </c>
      <c r="C523" s="5" t="inlineStr">
        <is>
          <t>MNQU2</t>
        </is>
      </c>
      <c r="D523" s="6" t="n">
        <v>11535.5</v>
      </c>
      <c r="E523" s="6" t="n">
        <v>11417.25</v>
      </c>
      <c r="F523" s="6">
        <f>D523-E523</f>
        <v/>
      </c>
      <c r="G523" s="5" t="inlineStr">
        <is>
          <t>Short</t>
        </is>
      </c>
      <c r="H523" s="6" t="n">
        <v>11417.25</v>
      </c>
      <c r="I523" s="6" t="n">
        <v>11535.5</v>
      </c>
      <c r="J523" s="6">
        <f>IF(G523="Long",I523-H523,IF(G523="Short",H523-I523,0))</f>
        <v/>
      </c>
      <c r="K523" s="7" t="n">
        <v>100</v>
      </c>
      <c r="L523" s="5" t="inlineStr">
        <is>
          <t>Loss</t>
        </is>
      </c>
      <c r="M523" s="6">
        <f>M522+J523</f>
        <v/>
      </c>
    </row>
    <row r="524">
      <c r="A524" s="5" t="inlineStr">
        <is>
          <t>2022-07-04</t>
        </is>
      </c>
      <c r="B524" s="5" t="inlineStr">
        <is>
          <t>Monday</t>
        </is>
      </c>
      <c r="C524" s="5" t="inlineStr">
        <is>
          <t>MNQU2</t>
        </is>
      </c>
      <c r="D524" s="6" t="n">
        <v>11571</v>
      </c>
      <c r="E524" s="6" t="n">
        <v>11544.25</v>
      </c>
      <c r="F524" s="6">
        <f>D524-E524</f>
        <v/>
      </c>
      <c r="G524" s="5" t="inlineStr">
        <is>
          <t>Short</t>
        </is>
      </c>
      <c r="H524" s="6" t="n">
        <v>11544.25</v>
      </c>
      <c r="I524" s="6" t="n">
        <v>11571</v>
      </c>
      <c r="J524" s="6">
        <f>IF(G524="Long",I524-H524,IF(G524="Short",H524-I524,0))</f>
        <v/>
      </c>
      <c r="K524" s="7" t="n">
        <v>100</v>
      </c>
      <c r="L524" s="5" t="inlineStr">
        <is>
          <t>Loss</t>
        </is>
      </c>
      <c r="M524" s="6">
        <f>M523+J524</f>
        <v/>
      </c>
    </row>
    <row r="525">
      <c r="A525" s="2" t="inlineStr">
        <is>
          <t>2022-07-05</t>
        </is>
      </c>
      <c r="B525" s="2" t="inlineStr">
        <is>
          <t>Tuesday</t>
        </is>
      </c>
      <c r="C525" s="2" t="inlineStr">
        <is>
          <t>MNQU2</t>
        </is>
      </c>
      <c r="D525" s="3" t="n">
        <v>11466</v>
      </c>
      <c r="E525" s="3" t="n">
        <v>11388.75</v>
      </c>
      <c r="F525" s="3">
        <f>D525-E525</f>
        <v/>
      </c>
      <c r="G525" s="2" t="inlineStr">
        <is>
          <t>Long</t>
        </is>
      </c>
      <c r="H525" s="3" t="n">
        <v>11466</v>
      </c>
      <c r="I525" s="3" t="n">
        <v>11543.25</v>
      </c>
      <c r="J525" s="3">
        <f>IF(G525="Long",I525-H525,IF(G525="Short",H525-I525,0))</f>
        <v/>
      </c>
      <c r="K525" s="4" t="n">
        <v>3.24</v>
      </c>
      <c r="L525" s="2" t="inlineStr">
        <is>
          <t>Win</t>
        </is>
      </c>
      <c r="M525" s="3">
        <f>M524+J525</f>
        <v/>
      </c>
    </row>
    <row r="526">
      <c r="A526" s="8" t="inlineStr">
        <is>
          <t>2022-07-06</t>
        </is>
      </c>
      <c r="B526" s="8" t="inlineStr">
        <is>
          <t>Wednesday</t>
        </is>
      </c>
      <c r="C526" s="8" t="inlineStr">
        <is>
          <t>MNQU2</t>
        </is>
      </c>
      <c r="D526" s="9" t="n">
        <v>11883.75</v>
      </c>
      <c r="E526" s="9" t="n">
        <v>11766.5</v>
      </c>
      <c r="F526" s="9">
        <f>D526-E526</f>
        <v/>
      </c>
      <c r="G526" s="8" t="inlineStr">
        <is>
          <t>Long</t>
        </is>
      </c>
      <c r="H526" s="9" t="n">
        <v>11883.75</v>
      </c>
      <c r="I526" s="9" t="n">
        <v>11886.25</v>
      </c>
      <c r="J526" s="9">
        <f>IF(G526="Long",I526-H526,IF(G526="Short",H526-I526,0))</f>
        <v/>
      </c>
      <c r="K526" s="10" t="n">
        <v>30.49</v>
      </c>
      <c r="L526" s="8" t="inlineStr">
        <is>
          <t>EOD-Close</t>
        </is>
      </c>
      <c r="M526" s="9">
        <f>M525+J526</f>
        <v/>
      </c>
    </row>
    <row r="527">
      <c r="A527" s="2" t="inlineStr">
        <is>
          <t>2022-07-07</t>
        </is>
      </c>
      <c r="B527" s="2" t="inlineStr">
        <is>
          <t>Thursday</t>
        </is>
      </c>
      <c r="C527" s="2" t="inlineStr">
        <is>
          <t>MNQU2</t>
        </is>
      </c>
      <c r="D527" s="3" t="n">
        <v>12023</v>
      </c>
      <c r="E527" s="3" t="n">
        <v>11918.25</v>
      </c>
      <c r="F527" s="3">
        <f>D527-E527</f>
        <v/>
      </c>
      <c r="G527" s="2" t="inlineStr">
        <is>
          <t>Long</t>
        </is>
      </c>
      <c r="H527" s="3" t="n">
        <v>12023</v>
      </c>
      <c r="I527" s="3" t="n">
        <v>12127.75</v>
      </c>
      <c r="J527" s="3">
        <f>IF(G527="Long",I527-H527,IF(G527="Short",H527-I527,0))</f>
        <v/>
      </c>
      <c r="K527" s="4" t="n">
        <v>31.26</v>
      </c>
      <c r="L527" s="2" t="inlineStr">
        <is>
          <t>Win</t>
        </is>
      </c>
      <c r="M527" s="3">
        <f>M526+J527</f>
        <v/>
      </c>
    </row>
    <row r="528">
      <c r="A528" s="2" t="inlineStr">
        <is>
          <t>2022-07-08</t>
        </is>
      </c>
      <c r="B528" s="2" t="inlineStr">
        <is>
          <t>Friday</t>
        </is>
      </c>
      <c r="C528" s="2" t="inlineStr">
        <is>
          <t>MNQU2</t>
        </is>
      </c>
      <c r="D528" s="3" t="n">
        <v>12090.75</v>
      </c>
      <c r="E528" s="3" t="n">
        <v>11987.75</v>
      </c>
      <c r="F528" s="3">
        <f>D528-E528</f>
        <v/>
      </c>
      <c r="G528" s="2" t="inlineStr">
        <is>
          <t>Long</t>
        </is>
      </c>
      <c r="H528" s="3" t="n">
        <v>12090.75</v>
      </c>
      <c r="I528" s="3" t="n">
        <v>12193.75</v>
      </c>
      <c r="J528" s="3">
        <f>IF(G528="Long",I528-H528,IF(G528="Short",H528-I528,0))</f>
        <v/>
      </c>
      <c r="K528" s="4" t="n">
        <v>0</v>
      </c>
      <c r="L528" s="2" t="inlineStr">
        <is>
          <t>Win</t>
        </is>
      </c>
      <c r="M528" s="3">
        <f>M527+J528</f>
        <v/>
      </c>
    </row>
    <row r="529">
      <c r="A529" s="8" t="inlineStr">
        <is>
          <t>2022-07-08</t>
        </is>
      </c>
      <c r="B529" s="8" t="inlineStr">
        <is>
          <t>Friday</t>
        </is>
      </c>
      <c r="C529" s="8" t="inlineStr">
        <is>
          <t>MNQU2</t>
        </is>
      </c>
      <c r="D529" s="9" t="n">
        <v>12090.75</v>
      </c>
      <c r="E529" s="9" t="n">
        <v>11987.75</v>
      </c>
      <c r="F529" s="9">
        <f>D529-E529</f>
        <v/>
      </c>
      <c r="G529" s="8" t="inlineStr">
        <is>
          <t>Long</t>
        </is>
      </c>
      <c r="H529" s="9" t="n">
        <v>12090.75</v>
      </c>
      <c r="I529" s="9" t="n">
        <v>12155.25</v>
      </c>
      <c r="J529" s="9">
        <f>IF(G529="Long",I529-H529,IF(G529="Short",H529-I529,0))</f>
        <v/>
      </c>
      <c r="K529" s="10" t="n">
        <v>50.24</v>
      </c>
      <c r="L529" s="8" t="inlineStr">
        <is>
          <t>EOD-Close</t>
        </is>
      </c>
      <c r="M529" s="9">
        <f>M528+J529</f>
        <v/>
      </c>
    </row>
    <row r="530">
      <c r="A530" s="8" t="inlineStr">
        <is>
          <t>2022-07-11</t>
        </is>
      </c>
      <c r="B530" s="8" t="inlineStr">
        <is>
          <t>Monday</t>
        </is>
      </c>
      <c r="C530" s="8" t="inlineStr">
        <is>
          <t>MNQU2</t>
        </is>
      </c>
      <c r="D530" s="9" t="n">
        <v>12062.5</v>
      </c>
      <c r="E530" s="9" t="n">
        <v>11890.25</v>
      </c>
      <c r="F530" s="9">
        <f>D530-E530</f>
        <v/>
      </c>
      <c r="G530" s="8" t="inlineStr">
        <is>
          <t>Short</t>
        </is>
      </c>
      <c r="H530" s="9" t="n">
        <v>11890.25</v>
      </c>
      <c r="I530" s="9" t="n">
        <v>11890.75</v>
      </c>
      <c r="J530" s="9">
        <f>IF(G530="Long",I530-H530,IF(G530="Short",H530-I530,0))</f>
        <v/>
      </c>
      <c r="K530" s="10" t="n">
        <v>66.47</v>
      </c>
      <c r="L530" s="8" t="inlineStr">
        <is>
          <t>EOD-Close</t>
        </is>
      </c>
      <c r="M530" s="9">
        <f>M529+J530</f>
        <v/>
      </c>
    </row>
    <row r="531">
      <c r="A531" s="2" t="inlineStr">
        <is>
          <t>2022-07-12</t>
        </is>
      </c>
      <c r="B531" s="2" t="inlineStr">
        <is>
          <t>Tuesday</t>
        </is>
      </c>
      <c r="C531" s="2" t="inlineStr">
        <is>
          <t>MNQU2</t>
        </is>
      </c>
      <c r="D531" s="3" t="n">
        <v>12025.5</v>
      </c>
      <c r="E531" s="3" t="n">
        <v>11928.5</v>
      </c>
      <c r="F531" s="3">
        <f>D531-E531</f>
        <v/>
      </c>
      <c r="G531" s="2" t="inlineStr">
        <is>
          <t>Short</t>
        </is>
      </c>
      <c r="H531" s="3" t="n">
        <v>11928.5</v>
      </c>
      <c r="I531" s="3" t="n">
        <v>11831.5</v>
      </c>
      <c r="J531" s="3">
        <f>IF(G531="Long",I531-H531,IF(G531="Short",H531-I531,0))</f>
        <v/>
      </c>
      <c r="K531" s="4" t="n">
        <v>8.25</v>
      </c>
      <c r="L531" s="2" t="inlineStr">
        <is>
          <t>Win</t>
        </is>
      </c>
      <c r="M531" s="3">
        <f>M530+J531</f>
        <v/>
      </c>
    </row>
    <row r="532">
      <c r="A532" s="2" t="inlineStr">
        <is>
          <t>2022-07-12</t>
        </is>
      </c>
      <c r="B532" s="2" t="inlineStr">
        <is>
          <t>Tuesday</t>
        </is>
      </c>
      <c r="C532" s="2" t="inlineStr">
        <is>
          <t>MNQU2</t>
        </is>
      </c>
      <c r="D532" s="3" t="n">
        <v>12025.5</v>
      </c>
      <c r="E532" s="3" t="n">
        <v>11928.5</v>
      </c>
      <c r="F532" s="3">
        <f>D532-E532</f>
        <v/>
      </c>
      <c r="G532" s="2" t="inlineStr">
        <is>
          <t>Short</t>
        </is>
      </c>
      <c r="H532" s="3" t="n">
        <v>11928.5</v>
      </c>
      <c r="I532" s="3" t="n">
        <v>11831.5</v>
      </c>
      <c r="J532" s="3">
        <f>IF(G532="Long",I532-H532,IF(G532="Short",H532-I532,0))</f>
        <v/>
      </c>
      <c r="K532" s="4" t="n">
        <v>14.18</v>
      </c>
      <c r="L532" s="2" t="inlineStr">
        <is>
          <t>Win</t>
        </is>
      </c>
      <c r="M532" s="3">
        <f>M531+J532</f>
        <v/>
      </c>
    </row>
    <row r="533">
      <c r="A533" s="2" t="inlineStr">
        <is>
          <t>2022-07-13</t>
        </is>
      </c>
      <c r="B533" s="2" t="inlineStr">
        <is>
          <t>Wednesday</t>
        </is>
      </c>
      <c r="C533" s="2" t="inlineStr">
        <is>
          <t>MNQU2</t>
        </is>
      </c>
      <c r="D533" s="3" t="n">
        <v>11660.5</v>
      </c>
      <c r="E533" s="3" t="n">
        <v>11522.5</v>
      </c>
      <c r="F533" s="3">
        <f>D533-E533</f>
        <v/>
      </c>
      <c r="G533" s="2" t="inlineStr">
        <is>
          <t>Long</t>
        </is>
      </c>
      <c r="H533" s="3" t="n">
        <v>11660.5</v>
      </c>
      <c r="I533" s="3" t="n">
        <v>11798.5</v>
      </c>
      <c r="J533" s="3">
        <f>IF(G533="Long",I533-H533,IF(G533="Short",H533-I533,0))</f>
        <v/>
      </c>
      <c r="K533" s="4" t="n">
        <v>45.29</v>
      </c>
      <c r="L533" s="2" t="inlineStr">
        <is>
          <t>Win</t>
        </is>
      </c>
      <c r="M533" s="3">
        <f>M532+J533</f>
        <v/>
      </c>
    </row>
    <row r="534">
      <c r="A534" s="5" t="inlineStr">
        <is>
          <t>2022-07-14</t>
        </is>
      </c>
      <c r="B534" s="5" t="inlineStr">
        <is>
          <t>Thursday</t>
        </is>
      </c>
      <c r="C534" s="5" t="inlineStr">
        <is>
          <t>MNQU2</t>
        </is>
      </c>
      <c r="D534" s="6" t="n">
        <v>11684.25</v>
      </c>
      <c r="E534" s="6" t="n">
        <v>11547.75</v>
      </c>
      <c r="F534" s="6">
        <f>D534-E534</f>
        <v/>
      </c>
      <c r="G534" s="5" t="inlineStr">
        <is>
          <t>Short</t>
        </is>
      </c>
      <c r="H534" s="6" t="n">
        <v>11547.75</v>
      </c>
      <c r="I534" s="6" t="n">
        <v>11684.25</v>
      </c>
      <c r="J534" s="6">
        <f>IF(G534="Long",I534-H534,IF(G534="Short",H534-I534,0))</f>
        <v/>
      </c>
      <c r="K534" s="7" t="n">
        <v>100</v>
      </c>
      <c r="L534" s="5" t="inlineStr">
        <is>
          <t>Loss</t>
        </is>
      </c>
      <c r="M534" s="6">
        <f>M533+J534</f>
        <v/>
      </c>
    </row>
    <row r="535">
      <c r="A535" s="2" t="inlineStr">
        <is>
          <t>2022-07-14</t>
        </is>
      </c>
      <c r="B535" s="2" t="inlineStr">
        <is>
          <t>Thursday</t>
        </is>
      </c>
      <c r="C535" s="2" t="inlineStr">
        <is>
          <t>MNQU2</t>
        </is>
      </c>
      <c r="D535" s="3" t="n">
        <v>11684.25</v>
      </c>
      <c r="E535" s="3" t="n">
        <v>11547.75</v>
      </c>
      <c r="F535" s="3">
        <f>D535-E535</f>
        <v/>
      </c>
      <c r="G535" s="2" t="inlineStr">
        <is>
          <t>Long</t>
        </is>
      </c>
      <c r="H535" s="3" t="n">
        <v>11684.25</v>
      </c>
      <c r="I535" s="3" t="n">
        <v>11820.75</v>
      </c>
      <c r="J535" s="3">
        <f>IF(G535="Long",I535-H535,IF(G535="Short",H535-I535,0))</f>
        <v/>
      </c>
      <c r="K535" s="4" t="n">
        <v>46.34</v>
      </c>
      <c r="L535" s="2" t="inlineStr">
        <is>
          <t>Win</t>
        </is>
      </c>
      <c r="M535" s="3">
        <f>M534+J535</f>
        <v/>
      </c>
    </row>
    <row r="536">
      <c r="A536" s="5" t="inlineStr">
        <is>
          <t>2022-07-15</t>
        </is>
      </c>
      <c r="B536" s="5" t="inlineStr">
        <is>
          <t>Friday</t>
        </is>
      </c>
      <c r="C536" s="5" t="inlineStr">
        <is>
          <t>MNQU2</t>
        </is>
      </c>
      <c r="D536" s="6" t="n">
        <v>11985</v>
      </c>
      <c r="E536" s="6" t="n">
        <v>11915.25</v>
      </c>
      <c r="F536" s="6">
        <f>D536-E536</f>
        <v/>
      </c>
      <c r="G536" s="5" t="inlineStr">
        <is>
          <t>Short</t>
        </is>
      </c>
      <c r="H536" s="6" t="n">
        <v>11915.25</v>
      </c>
      <c r="I536" s="6" t="n">
        <v>11985</v>
      </c>
      <c r="J536" s="6">
        <f>IF(G536="Long",I536-H536,IF(G536="Short",H536-I536,0))</f>
        <v/>
      </c>
      <c r="K536" s="7" t="n">
        <v>100</v>
      </c>
      <c r="L536" s="5" t="inlineStr">
        <is>
          <t>Loss</t>
        </is>
      </c>
      <c r="M536" s="6">
        <f>M535+J536</f>
        <v/>
      </c>
    </row>
    <row r="537">
      <c r="A537" s="8" t="inlineStr">
        <is>
          <t>2022-07-15</t>
        </is>
      </c>
      <c r="B537" s="8" t="inlineStr">
        <is>
          <t>Friday</t>
        </is>
      </c>
      <c r="C537" s="8" t="inlineStr">
        <is>
          <t>MNQU2</t>
        </is>
      </c>
      <c r="D537" s="9" t="n">
        <v>11985</v>
      </c>
      <c r="E537" s="9" t="n">
        <v>11915.25</v>
      </c>
      <c r="F537" s="9">
        <f>D537-E537</f>
        <v/>
      </c>
      <c r="G537" s="8" t="inlineStr">
        <is>
          <t>Long</t>
        </is>
      </c>
      <c r="H537" s="9" t="n">
        <v>11985</v>
      </c>
      <c r="I537" s="9" t="n">
        <v>12008</v>
      </c>
      <c r="J537" s="9">
        <f>IF(G537="Long",I537-H537,IF(G537="Short",H537-I537,0))</f>
        <v/>
      </c>
      <c r="K537" s="10" t="n">
        <v>80.29000000000001</v>
      </c>
      <c r="L537" s="8" t="inlineStr">
        <is>
          <t>EOD-Close</t>
        </is>
      </c>
      <c r="M537" s="9">
        <f>M536+J537</f>
        <v/>
      </c>
    </row>
    <row r="538">
      <c r="A538" s="5" t="inlineStr">
        <is>
          <t>2022-07-18</t>
        </is>
      </c>
      <c r="B538" s="5" t="inlineStr">
        <is>
          <t>Monday</t>
        </is>
      </c>
      <c r="C538" s="5" t="inlineStr">
        <is>
          <t>MNQU2</t>
        </is>
      </c>
      <c r="D538" s="6" t="n">
        <v>12158</v>
      </c>
      <c r="E538" s="6" t="n">
        <v>12090</v>
      </c>
      <c r="F538" s="6">
        <f>D538-E538</f>
        <v/>
      </c>
      <c r="G538" s="5" t="inlineStr">
        <is>
          <t>Long</t>
        </is>
      </c>
      <c r="H538" s="6" t="n">
        <v>12158</v>
      </c>
      <c r="I538" s="6" t="n">
        <v>12090</v>
      </c>
      <c r="J538" s="6">
        <f>IF(G538="Long",I538-H538,IF(G538="Short",H538-I538,0))</f>
        <v/>
      </c>
      <c r="K538" s="7" t="n">
        <v>100</v>
      </c>
      <c r="L538" s="5" t="inlineStr">
        <is>
          <t>Loss</t>
        </is>
      </c>
      <c r="M538" s="6">
        <f>M537+J538</f>
        <v/>
      </c>
    </row>
    <row r="539">
      <c r="A539" s="2" t="inlineStr">
        <is>
          <t>2022-07-18</t>
        </is>
      </c>
      <c r="B539" s="2" t="inlineStr">
        <is>
          <t>Monday</t>
        </is>
      </c>
      <c r="C539" s="2" t="inlineStr">
        <is>
          <t>MNQU2</t>
        </is>
      </c>
      <c r="D539" s="3" t="n">
        <v>12158</v>
      </c>
      <c r="E539" s="3" t="n">
        <v>12090</v>
      </c>
      <c r="F539" s="3">
        <f>D539-E539</f>
        <v/>
      </c>
      <c r="G539" s="2" t="inlineStr">
        <is>
          <t>Short</t>
        </is>
      </c>
      <c r="H539" s="3" t="n">
        <v>12090</v>
      </c>
      <c r="I539" s="3" t="n">
        <v>12022</v>
      </c>
      <c r="J539" s="3">
        <f>IF(G539="Long",I539-H539,IF(G539="Short",H539-I539,0))</f>
        <v/>
      </c>
      <c r="K539" s="4" t="n">
        <v>0</v>
      </c>
      <c r="L539" s="2" t="inlineStr">
        <is>
          <t>Win</t>
        </is>
      </c>
      <c r="M539" s="3">
        <f>M538+J539</f>
        <v/>
      </c>
    </row>
    <row r="540">
      <c r="A540" s="2" t="inlineStr">
        <is>
          <t>2022-07-19</t>
        </is>
      </c>
      <c r="B540" s="2" t="inlineStr">
        <is>
          <t>Tuesday</t>
        </is>
      </c>
      <c r="C540" s="2" t="inlineStr">
        <is>
          <t>MNQU2</t>
        </is>
      </c>
      <c r="D540" s="3" t="n">
        <v>12080.75</v>
      </c>
      <c r="E540" s="3" t="n">
        <v>12000.5</v>
      </c>
      <c r="F540" s="3">
        <f>D540-E540</f>
        <v/>
      </c>
      <c r="G540" s="2" t="inlineStr">
        <is>
          <t>Long</t>
        </is>
      </c>
      <c r="H540" s="3" t="n">
        <v>12080.75</v>
      </c>
      <c r="I540" s="3" t="n">
        <v>12161</v>
      </c>
      <c r="J540" s="3">
        <f>IF(G540="Long",I540-H540,IF(G540="Short",H540-I540,0))</f>
        <v/>
      </c>
      <c r="K540" s="4" t="n">
        <v>4.67</v>
      </c>
      <c r="L540" s="2" t="inlineStr">
        <is>
          <t>Win</t>
        </is>
      </c>
      <c r="M540" s="3">
        <f>M539+J540</f>
        <v/>
      </c>
    </row>
    <row r="541">
      <c r="A541" s="2" t="inlineStr">
        <is>
          <t>2022-07-20</t>
        </is>
      </c>
      <c r="B541" s="2" t="inlineStr">
        <is>
          <t>Wednesday</t>
        </is>
      </c>
      <c r="C541" s="2" t="inlineStr">
        <is>
          <t>MNQU2</t>
        </is>
      </c>
      <c r="D541" s="3" t="n">
        <v>12332.75</v>
      </c>
      <c r="E541" s="3" t="n">
        <v>12256</v>
      </c>
      <c r="F541" s="3">
        <f>D541-E541</f>
        <v/>
      </c>
      <c r="G541" s="2" t="inlineStr">
        <is>
          <t>Long</t>
        </is>
      </c>
      <c r="H541" s="3" t="n">
        <v>12332.75</v>
      </c>
      <c r="I541" s="3" t="n">
        <v>12409.5</v>
      </c>
      <c r="J541" s="3">
        <f>IF(G541="Long",I541-H541,IF(G541="Short",H541-I541,0))</f>
        <v/>
      </c>
      <c r="K541" s="4" t="n">
        <v>19.87</v>
      </c>
      <c r="L541" s="2" t="inlineStr">
        <is>
          <t>Win</t>
        </is>
      </c>
      <c r="M541" s="3">
        <f>M540+J541</f>
        <v/>
      </c>
    </row>
    <row r="542">
      <c r="A542" s="5" t="inlineStr">
        <is>
          <t>2022-07-21</t>
        </is>
      </c>
      <c r="B542" s="5" t="inlineStr">
        <is>
          <t>Thursday</t>
        </is>
      </c>
      <c r="C542" s="5" t="inlineStr">
        <is>
          <t>MNQU2</t>
        </is>
      </c>
      <c r="D542" s="6" t="n">
        <v>12513.25</v>
      </c>
      <c r="E542" s="6" t="n">
        <v>12410.75</v>
      </c>
      <c r="F542" s="6">
        <f>D542-E542</f>
        <v/>
      </c>
      <c r="G542" s="5" t="inlineStr">
        <is>
          <t>Short</t>
        </is>
      </c>
      <c r="H542" s="6" t="n">
        <v>12410.75</v>
      </c>
      <c r="I542" s="6" t="n">
        <v>12513.25</v>
      </c>
      <c r="J542" s="6">
        <f>IF(G542="Long",I542-H542,IF(G542="Short",H542-I542,0))</f>
        <v/>
      </c>
      <c r="K542" s="7" t="n">
        <v>100</v>
      </c>
      <c r="L542" s="5" t="inlineStr">
        <is>
          <t>Loss</t>
        </is>
      </c>
      <c r="M542" s="6">
        <f>M541+J542</f>
        <v/>
      </c>
    </row>
    <row r="543">
      <c r="A543" s="2" t="inlineStr">
        <is>
          <t>2022-07-21</t>
        </is>
      </c>
      <c r="B543" s="2" t="inlineStr">
        <is>
          <t>Thursday</t>
        </is>
      </c>
      <c r="C543" s="2" t="inlineStr">
        <is>
          <t>MNQU2</t>
        </is>
      </c>
      <c r="D543" s="3" t="n">
        <v>12513.25</v>
      </c>
      <c r="E543" s="3" t="n">
        <v>12410.75</v>
      </c>
      <c r="F543" s="3">
        <f>D543-E543</f>
        <v/>
      </c>
      <c r="G543" s="2" t="inlineStr">
        <is>
          <t>Long</t>
        </is>
      </c>
      <c r="H543" s="3" t="n">
        <v>12513.25</v>
      </c>
      <c r="I543" s="3" t="n">
        <v>12615.75</v>
      </c>
      <c r="J543" s="3">
        <f>IF(G543="Long",I543-H543,IF(G543="Short",H543-I543,0))</f>
        <v/>
      </c>
      <c r="K543" s="4" t="n">
        <v>5.85</v>
      </c>
      <c r="L543" s="2" t="inlineStr">
        <is>
          <t>Win</t>
        </is>
      </c>
      <c r="M543" s="3">
        <f>M542+J543</f>
        <v/>
      </c>
    </row>
    <row r="544">
      <c r="A544" s="5" t="inlineStr">
        <is>
          <t>2022-07-22</t>
        </is>
      </c>
      <c r="B544" s="5" t="inlineStr">
        <is>
          <t>Friday</t>
        </is>
      </c>
      <c r="C544" s="5" t="inlineStr">
        <is>
          <t>MNQU2</t>
        </is>
      </c>
      <c r="D544" s="6" t="n">
        <v>12649</v>
      </c>
      <c r="E544" s="6" t="n">
        <v>12565.75</v>
      </c>
      <c r="F544" s="6">
        <f>D544-E544</f>
        <v/>
      </c>
      <c r="G544" s="5" t="inlineStr">
        <is>
          <t>Long</t>
        </is>
      </c>
      <c r="H544" s="6" t="n">
        <v>12649</v>
      </c>
      <c r="I544" s="6" t="n">
        <v>12565.75</v>
      </c>
      <c r="J544" s="6">
        <f>IF(G544="Long",I544-H544,IF(G544="Short",H544-I544,0))</f>
        <v/>
      </c>
      <c r="K544" s="7" t="n">
        <v>100</v>
      </c>
      <c r="L544" s="5" t="inlineStr">
        <is>
          <t>Loss</t>
        </is>
      </c>
      <c r="M544" s="6">
        <f>M543+J544</f>
        <v/>
      </c>
    </row>
    <row r="545">
      <c r="A545" s="2" t="inlineStr">
        <is>
          <t>2022-07-22</t>
        </is>
      </c>
      <c r="B545" s="2" t="inlineStr">
        <is>
          <t>Friday</t>
        </is>
      </c>
      <c r="C545" s="2" t="inlineStr">
        <is>
          <t>MNQU2</t>
        </is>
      </c>
      <c r="D545" s="3" t="n">
        <v>12649</v>
      </c>
      <c r="E545" s="3" t="n">
        <v>12565.75</v>
      </c>
      <c r="F545" s="3">
        <f>D545-E545</f>
        <v/>
      </c>
      <c r="G545" s="2" t="inlineStr">
        <is>
          <t>Short</t>
        </is>
      </c>
      <c r="H545" s="3" t="n">
        <v>12565.75</v>
      </c>
      <c r="I545" s="3" t="n">
        <v>12482.5</v>
      </c>
      <c r="J545" s="3">
        <f>IF(G545="Long",I545-H545,IF(G545="Short",H545-I545,0))</f>
        <v/>
      </c>
      <c r="K545" s="4" t="n">
        <v>56.16</v>
      </c>
      <c r="L545" s="2" t="inlineStr">
        <is>
          <t>Win</t>
        </is>
      </c>
      <c r="M545" s="3">
        <f>M544+J545</f>
        <v/>
      </c>
    </row>
    <row r="546">
      <c r="A546" s="2" t="inlineStr">
        <is>
          <t>2022-07-25</t>
        </is>
      </c>
      <c r="B546" s="2" t="inlineStr">
        <is>
          <t>Monday</t>
        </is>
      </c>
      <c r="C546" s="2" t="inlineStr">
        <is>
          <t>MNQU2</t>
        </is>
      </c>
      <c r="D546" s="3" t="n">
        <v>12444.25</v>
      </c>
      <c r="E546" s="3" t="n">
        <v>12357</v>
      </c>
      <c r="F546" s="3">
        <f>D546-E546</f>
        <v/>
      </c>
      <c r="G546" s="2" t="inlineStr">
        <is>
          <t>Short</t>
        </is>
      </c>
      <c r="H546" s="3" t="n">
        <v>12357</v>
      </c>
      <c r="I546" s="3" t="n">
        <v>12269.75</v>
      </c>
      <c r="J546" s="3">
        <f>IF(G546="Long",I546-H546,IF(G546="Short",H546-I546,0))</f>
        <v/>
      </c>
      <c r="K546" s="4" t="n">
        <v>57.02</v>
      </c>
      <c r="L546" s="2" t="inlineStr">
        <is>
          <t>Win</t>
        </is>
      </c>
      <c r="M546" s="3">
        <f>M545+J546</f>
        <v/>
      </c>
    </row>
    <row r="547">
      <c r="A547" s="8" t="inlineStr">
        <is>
          <t>2022-07-25</t>
        </is>
      </c>
      <c r="B547" s="8" t="inlineStr">
        <is>
          <t>Monday</t>
        </is>
      </c>
      <c r="C547" s="8" t="inlineStr">
        <is>
          <t>MNQU2</t>
        </is>
      </c>
      <c r="D547" s="9" t="n">
        <v>12444.25</v>
      </c>
      <c r="E547" s="9" t="n">
        <v>12357</v>
      </c>
      <c r="F547" s="9">
        <f>D547-E547</f>
        <v/>
      </c>
      <c r="G547" s="8" t="inlineStr">
        <is>
          <t>Short</t>
        </is>
      </c>
      <c r="H547" s="9" t="n">
        <v>12357</v>
      </c>
      <c r="I547" s="9" t="n">
        <v>12355.25</v>
      </c>
      <c r="J547" s="9">
        <f>IF(G547="Long",I547-H547,IF(G547="Short",H547-I547,0))</f>
        <v/>
      </c>
      <c r="K547" s="10" t="n">
        <v>2.29</v>
      </c>
      <c r="L547" s="8" t="inlineStr">
        <is>
          <t>EOD-Close</t>
        </is>
      </c>
      <c r="M547" s="9">
        <f>M546+J547</f>
        <v/>
      </c>
    </row>
    <row r="548">
      <c r="A548" s="2" t="inlineStr">
        <is>
          <t>2022-07-26</t>
        </is>
      </c>
      <c r="B548" s="2" t="inlineStr">
        <is>
          <t>Tuesday</t>
        </is>
      </c>
      <c r="C548" s="2" t="inlineStr">
        <is>
          <t>MNQU2</t>
        </is>
      </c>
      <c r="D548" s="3" t="n">
        <v>12291.25</v>
      </c>
      <c r="E548" s="3" t="n">
        <v>12216.5</v>
      </c>
      <c r="F548" s="3">
        <f>D548-E548</f>
        <v/>
      </c>
      <c r="G548" s="2" t="inlineStr">
        <is>
          <t>Short</t>
        </is>
      </c>
      <c r="H548" s="3" t="n">
        <v>12216.5</v>
      </c>
      <c r="I548" s="3" t="n">
        <v>12141.75</v>
      </c>
      <c r="J548" s="3">
        <f>IF(G548="Long",I548-H548,IF(G548="Short",H548-I548,0))</f>
        <v/>
      </c>
      <c r="K548" s="4" t="n">
        <v>58.19</v>
      </c>
      <c r="L548" s="2" t="inlineStr">
        <is>
          <t>Win</t>
        </is>
      </c>
      <c r="M548" s="3">
        <f>M547+J548</f>
        <v/>
      </c>
    </row>
    <row r="549">
      <c r="A549" s="2" t="inlineStr">
        <is>
          <t>2022-07-27</t>
        </is>
      </c>
      <c r="B549" s="2" t="inlineStr">
        <is>
          <t>Wednesday</t>
        </is>
      </c>
      <c r="C549" s="2" t="inlineStr">
        <is>
          <t>MNQU2</t>
        </is>
      </c>
      <c r="D549" s="3" t="n">
        <v>12375</v>
      </c>
      <c r="E549" s="3" t="n">
        <v>12276.25</v>
      </c>
      <c r="F549" s="3">
        <f>D549-E549</f>
        <v/>
      </c>
      <c r="G549" s="2" t="inlineStr">
        <is>
          <t>Long</t>
        </is>
      </c>
      <c r="H549" s="3" t="n">
        <v>12375</v>
      </c>
      <c r="I549" s="3" t="n">
        <v>12473.75</v>
      </c>
      <c r="J549" s="3">
        <f>IF(G549="Long",I549-H549,IF(G549="Short",H549-I549,0))</f>
        <v/>
      </c>
      <c r="K549" s="4" t="n">
        <v>2.78</v>
      </c>
      <c r="L549" s="2" t="inlineStr">
        <is>
          <t>Win</t>
        </is>
      </c>
      <c r="M549" s="3">
        <f>M548+J549</f>
        <v/>
      </c>
    </row>
    <row r="550">
      <c r="A550" s="5" t="inlineStr">
        <is>
          <t>2022-07-28</t>
        </is>
      </c>
      <c r="B550" s="5" t="inlineStr">
        <is>
          <t>Thursday</t>
        </is>
      </c>
      <c r="C550" s="5" t="inlineStr">
        <is>
          <t>MNQU2</t>
        </is>
      </c>
      <c r="D550" s="6" t="n">
        <v>12654.25</v>
      </c>
      <c r="E550" s="6" t="n">
        <v>12514.75</v>
      </c>
      <c r="F550" s="6">
        <f>D550-E550</f>
        <v/>
      </c>
      <c r="G550" s="5" t="inlineStr">
        <is>
          <t>Short</t>
        </is>
      </c>
      <c r="H550" s="6" t="n">
        <v>12514.75</v>
      </c>
      <c r="I550" s="6" t="n">
        <v>12654.25</v>
      </c>
      <c r="J550" s="6">
        <f>IF(G550="Long",I550-H550,IF(G550="Short",H550-I550,0))</f>
        <v/>
      </c>
      <c r="K550" s="7" t="n">
        <v>100</v>
      </c>
      <c r="L550" s="5" t="inlineStr">
        <is>
          <t>Loss</t>
        </is>
      </c>
      <c r="M550" s="6">
        <f>M549+J550</f>
        <v/>
      </c>
    </row>
    <row r="551">
      <c r="A551" s="8" t="inlineStr">
        <is>
          <t>2022-07-28</t>
        </is>
      </c>
      <c r="B551" s="8" t="inlineStr">
        <is>
          <t>Thursday</t>
        </is>
      </c>
      <c r="C551" s="8" t="inlineStr">
        <is>
          <t>MNQU2</t>
        </is>
      </c>
      <c r="D551" s="9" t="n">
        <v>12654.25</v>
      </c>
      <c r="E551" s="9" t="n">
        <v>12514.75</v>
      </c>
      <c r="F551" s="9">
        <f>D551-E551</f>
        <v/>
      </c>
      <c r="G551" s="8" t="inlineStr">
        <is>
          <t>Long</t>
        </is>
      </c>
      <c r="H551" s="9" t="n">
        <v>12654.25</v>
      </c>
      <c r="I551" s="9" t="n">
        <v>12738.5</v>
      </c>
      <c r="J551" s="9">
        <f>IF(G551="Long",I551-H551,IF(G551="Short",H551-I551,0))</f>
        <v/>
      </c>
      <c r="K551" s="10" t="n">
        <v>22.04</v>
      </c>
      <c r="L551" s="8" t="inlineStr">
        <is>
          <t>EOD-Close</t>
        </is>
      </c>
      <c r="M551" s="9">
        <f>M550+J551</f>
        <v/>
      </c>
    </row>
    <row r="552">
      <c r="A552" s="2" t="inlineStr">
        <is>
          <t>2022-07-29</t>
        </is>
      </c>
      <c r="B552" s="2" t="inlineStr">
        <is>
          <t>Friday</t>
        </is>
      </c>
      <c r="C552" s="2" t="inlineStr">
        <is>
          <t>MNQU2</t>
        </is>
      </c>
      <c r="D552" s="3" t="n">
        <v>12864.75</v>
      </c>
      <c r="E552" s="3" t="n">
        <v>12744.25</v>
      </c>
      <c r="F552" s="3">
        <f>D552-E552</f>
        <v/>
      </c>
      <c r="G552" s="2" t="inlineStr">
        <is>
          <t>Long</t>
        </is>
      </c>
      <c r="H552" s="3" t="n">
        <v>12864.75</v>
      </c>
      <c r="I552" s="3" t="n">
        <v>12985.25</v>
      </c>
      <c r="J552" s="3">
        <f>IF(G552="Long",I552-H552,IF(G552="Short",H552-I552,0))</f>
        <v/>
      </c>
      <c r="K552" s="4" t="n">
        <v>65.15000000000001</v>
      </c>
      <c r="L552" s="2" t="inlineStr">
        <is>
          <t>Win</t>
        </is>
      </c>
      <c r="M552" s="3">
        <f>M551+J552</f>
        <v/>
      </c>
    </row>
    <row r="553">
      <c r="A553" s="2" t="inlineStr">
        <is>
          <t>2022-08-01</t>
        </is>
      </c>
      <c r="B553" s="2" t="inlineStr">
        <is>
          <t>Monday</t>
        </is>
      </c>
      <c r="C553" s="2" t="inlineStr">
        <is>
          <t>MNQU2</t>
        </is>
      </c>
      <c r="D553" s="3" t="n">
        <v>12963.75</v>
      </c>
      <c r="E553" s="3" t="n">
        <v>12851.25</v>
      </c>
      <c r="F553" s="3">
        <f>D553-E553</f>
        <v/>
      </c>
      <c r="G553" s="2" t="inlineStr">
        <is>
          <t>Long</t>
        </is>
      </c>
      <c r="H553" s="3" t="n">
        <v>12963.75</v>
      </c>
      <c r="I553" s="3" t="n">
        <v>13076.25</v>
      </c>
      <c r="J553" s="3">
        <f>IF(G553="Long",I553-H553,IF(G553="Short",H553-I553,0))</f>
        <v/>
      </c>
      <c r="K553" s="4" t="n">
        <v>0</v>
      </c>
      <c r="L553" s="2" t="inlineStr">
        <is>
          <t>Win</t>
        </is>
      </c>
      <c r="M553" s="3">
        <f>M552+J553</f>
        <v/>
      </c>
    </row>
    <row r="554">
      <c r="A554" s="8" t="inlineStr">
        <is>
          <t>2022-08-01</t>
        </is>
      </c>
      <c r="B554" s="8" t="inlineStr">
        <is>
          <t>Monday</t>
        </is>
      </c>
      <c r="C554" s="8" t="inlineStr">
        <is>
          <t>MNQU2</t>
        </is>
      </c>
      <c r="D554" s="9" t="n">
        <v>12963.75</v>
      </c>
      <c r="E554" s="9" t="n">
        <v>12851.25</v>
      </c>
      <c r="F554" s="9">
        <f>D554-E554</f>
        <v/>
      </c>
      <c r="G554" s="8" t="inlineStr">
        <is>
          <t>Long</t>
        </is>
      </c>
      <c r="H554" s="9" t="n">
        <v>12963.75</v>
      </c>
      <c r="I554" s="9" t="n">
        <v>12962.5</v>
      </c>
      <c r="J554" s="9">
        <f>IF(G554="Long",I554-H554,IF(G554="Short",H554-I554,0))</f>
        <v/>
      </c>
      <c r="K554" s="10" t="n">
        <v>58.89</v>
      </c>
      <c r="L554" s="8" t="inlineStr">
        <is>
          <t>EOD-Close</t>
        </is>
      </c>
      <c r="M554" s="9">
        <f>M553+J554</f>
        <v/>
      </c>
    </row>
    <row r="555">
      <c r="A555" s="5" t="inlineStr">
        <is>
          <t>2022-08-02</t>
        </is>
      </c>
      <c r="B555" s="5" t="inlineStr">
        <is>
          <t>Tuesday</t>
        </is>
      </c>
      <c r="C555" s="5" t="inlineStr">
        <is>
          <t>MNQU2</t>
        </is>
      </c>
      <c r="D555" s="6" t="n">
        <v>12943</v>
      </c>
      <c r="E555" s="6" t="n">
        <v>12853</v>
      </c>
      <c r="F555" s="6">
        <f>D555-E555</f>
        <v/>
      </c>
      <c r="G555" s="5" t="inlineStr">
        <is>
          <t>Short</t>
        </is>
      </c>
      <c r="H555" s="6" t="n">
        <v>12853</v>
      </c>
      <c r="I555" s="6" t="n">
        <v>12943</v>
      </c>
      <c r="J555" s="6">
        <f>IF(G555="Long",I555-H555,IF(G555="Short",H555-I555,0))</f>
        <v/>
      </c>
      <c r="K555" s="7" t="n">
        <v>100</v>
      </c>
      <c r="L555" s="5" t="inlineStr">
        <is>
          <t>Loss</t>
        </is>
      </c>
      <c r="M555" s="6">
        <f>M554+J555</f>
        <v/>
      </c>
    </row>
    <row r="556">
      <c r="A556" s="2" t="inlineStr">
        <is>
          <t>2022-08-02</t>
        </is>
      </c>
      <c r="B556" s="2" t="inlineStr">
        <is>
          <t>Tuesday</t>
        </is>
      </c>
      <c r="C556" s="2" t="inlineStr">
        <is>
          <t>MNQU2</t>
        </is>
      </c>
      <c r="D556" s="3" t="n">
        <v>12943</v>
      </c>
      <c r="E556" s="3" t="n">
        <v>12853</v>
      </c>
      <c r="F556" s="3">
        <f>D556-E556</f>
        <v/>
      </c>
      <c r="G556" s="2" t="inlineStr">
        <is>
          <t>Long</t>
        </is>
      </c>
      <c r="H556" s="3" t="n">
        <v>12943</v>
      </c>
      <c r="I556" s="3" t="n">
        <v>13033</v>
      </c>
      <c r="J556" s="3">
        <f>IF(G556="Long",I556-H556,IF(G556="Short",H556-I556,0))</f>
        <v/>
      </c>
      <c r="K556" s="4" t="n">
        <v>24.17</v>
      </c>
      <c r="L556" s="2" t="inlineStr">
        <is>
          <t>Win</t>
        </is>
      </c>
      <c r="M556" s="3">
        <f>M555+J556</f>
        <v/>
      </c>
    </row>
    <row r="557">
      <c r="A557" s="2" t="inlineStr">
        <is>
          <t>2022-08-03</t>
        </is>
      </c>
      <c r="B557" s="2" t="inlineStr">
        <is>
          <t>Wednesday</t>
        </is>
      </c>
      <c r="C557" s="2" t="inlineStr">
        <is>
          <t>MNQU2</t>
        </is>
      </c>
      <c r="D557" s="3" t="n">
        <v>13090</v>
      </c>
      <c r="E557" s="3" t="n">
        <v>12989.25</v>
      </c>
      <c r="F557" s="3">
        <f>D557-E557</f>
        <v/>
      </c>
      <c r="G557" s="2" t="inlineStr">
        <is>
          <t>Long</t>
        </is>
      </c>
      <c r="H557" s="3" t="n">
        <v>13090</v>
      </c>
      <c r="I557" s="3" t="n">
        <v>13190.75</v>
      </c>
      <c r="J557" s="3">
        <f>IF(G557="Long",I557-H557,IF(G557="Short",H557-I557,0))</f>
        <v/>
      </c>
      <c r="K557" s="4" t="n">
        <v>29.03</v>
      </c>
      <c r="L557" s="2" t="inlineStr">
        <is>
          <t>Win</t>
        </is>
      </c>
      <c r="M557" s="3">
        <f>M556+J557</f>
        <v/>
      </c>
    </row>
    <row r="558">
      <c r="A558" s="5" t="inlineStr">
        <is>
          <t>2022-08-04</t>
        </is>
      </c>
      <c r="B558" s="5" t="inlineStr">
        <is>
          <t>Thursday</t>
        </is>
      </c>
      <c r="C558" s="5" t="inlineStr">
        <is>
          <t>MNQU2</t>
        </is>
      </c>
      <c r="D558" s="6" t="n">
        <v>13328.5</v>
      </c>
      <c r="E558" s="6" t="n">
        <v>13245</v>
      </c>
      <c r="F558" s="6">
        <f>D558-E558</f>
        <v/>
      </c>
      <c r="G558" s="5" t="inlineStr">
        <is>
          <t>Short</t>
        </is>
      </c>
      <c r="H558" s="6" t="n">
        <v>13245</v>
      </c>
      <c r="I558" s="6" t="n">
        <v>13328.5</v>
      </c>
      <c r="J558" s="6">
        <f>IF(G558="Long",I558-H558,IF(G558="Short",H558-I558,0))</f>
        <v/>
      </c>
      <c r="K558" s="7" t="n">
        <v>100</v>
      </c>
      <c r="L558" s="5" t="inlineStr">
        <is>
          <t>Loss</t>
        </is>
      </c>
      <c r="M558" s="6">
        <f>M557+J558</f>
        <v/>
      </c>
    </row>
    <row r="559">
      <c r="A559" s="8" t="inlineStr">
        <is>
          <t>2022-08-04</t>
        </is>
      </c>
      <c r="B559" s="8" t="inlineStr">
        <is>
          <t>Thursday</t>
        </is>
      </c>
      <c r="C559" s="8" t="inlineStr">
        <is>
          <t>MNQU2</t>
        </is>
      </c>
      <c r="D559" s="9" t="n">
        <v>13328.5</v>
      </c>
      <c r="E559" s="9" t="n">
        <v>13245</v>
      </c>
      <c r="F559" s="9">
        <f>D559-E559</f>
        <v/>
      </c>
      <c r="G559" s="8" t="inlineStr">
        <is>
          <t>Long</t>
        </is>
      </c>
      <c r="H559" s="9" t="n">
        <v>13328.5</v>
      </c>
      <c r="I559" s="9" t="n">
        <v>13330.75</v>
      </c>
      <c r="J559" s="9">
        <f>IF(G559="Long",I559-H559,IF(G559="Short",H559-I559,0))</f>
        <v/>
      </c>
      <c r="K559" s="10" t="n">
        <v>46.11</v>
      </c>
      <c r="L559" s="8" t="inlineStr">
        <is>
          <t>EOD-Close</t>
        </is>
      </c>
      <c r="M559" s="9">
        <f>M558+J559</f>
        <v/>
      </c>
    </row>
    <row r="560">
      <c r="A560" s="2" t="inlineStr">
        <is>
          <t>2022-08-05</t>
        </is>
      </c>
      <c r="B560" s="2" t="inlineStr">
        <is>
          <t>Friday</t>
        </is>
      </c>
      <c r="C560" s="2" t="inlineStr">
        <is>
          <t>MNQU2</t>
        </is>
      </c>
      <c r="D560" s="3" t="n">
        <v>13211.25</v>
      </c>
      <c r="E560" s="3" t="n">
        <v>13114.25</v>
      </c>
      <c r="F560" s="3">
        <f>D560-E560</f>
        <v/>
      </c>
      <c r="G560" s="2" t="inlineStr">
        <is>
          <t>Long</t>
        </is>
      </c>
      <c r="H560" s="3" t="n">
        <v>13211.25</v>
      </c>
      <c r="I560" s="3" t="n">
        <v>13308.25</v>
      </c>
      <c r="J560" s="3">
        <f>IF(G560="Long",I560-H560,IF(G560="Short",H560-I560,0))</f>
        <v/>
      </c>
      <c r="K560" s="4" t="n">
        <v>0</v>
      </c>
      <c r="L560" s="2" t="inlineStr">
        <is>
          <t>Win</t>
        </is>
      </c>
      <c r="M560" s="3">
        <f>M559+J560</f>
        <v/>
      </c>
    </row>
    <row r="561">
      <c r="A561" s="5" t="inlineStr">
        <is>
          <t>2022-08-05</t>
        </is>
      </c>
      <c r="B561" s="5" t="inlineStr">
        <is>
          <t>Friday</t>
        </is>
      </c>
      <c r="C561" s="5" t="inlineStr">
        <is>
          <t>MNQU2</t>
        </is>
      </c>
      <c r="D561" s="6" t="n">
        <v>13211.25</v>
      </c>
      <c r="E561" s="6" t="n">
        <v>13114.25</v>
      </c>
      <c r="F561" s="6">
        <f>D561-E561</f>
        <v/>
      </c>
      <c r="G561" s="5" t="inlineStr">
        <is>
          <t>Long</t>
        </is>
      </c>
      <c r="H561" s="6" t="n">
        <v>13211.25</v>
      </c>
      <c r="I561" s="6" t="n">
        <v>13114.25</v>
      </c>
      <c r="J561" s="6">
        <f>IF(G561="Long",I561-H561,IF(G561="Short",H561-I561,0))</f>
        <v/>
      </c>
      <c r="K561" s="7" t="n">
        <v>100</v>
      </c>
      <c r="L561" s="5" t="inlineStr">
        <is>
          <t>Loss</t>
        </is>
      </c>
      <c r="M561" s="6">
        <f>M560+J561</f>
        <v/>
      </c>
    </row>
    <row r="562">
      <c r="A562" s="5" t="inlineStr">
        <is>
          <t>2022-08-08</t>
        </is>
      </c>
      <c r="B562" s="5" t="inlineStr">
        <is>
          <t>Monday</t>
        </is>
      </c>
      <c r="C562" s="5" t="inlineStr">
        <is>
          <t>MNQU2</t>
        </is>
      </c>
      <c r="D562" s="6" t="n">
        <v>13376</v>
      </c>
      <c r="E562" s="6" t="n">
        <v>13231.75</v>
      </c>
      <c r="F562" s="6">
        <f>D562-E562</f>
        <v/>
      </c>
      <c r="G562" s="5" t="inlineStr">
        <is>
          <t>Long</t>
        </is>
      </c>
      <c r="H562" s="6" t="n">
        <v>13376</v>
      </c>
      <c r="I562" s="6" t="n">
        <v>13231.75</v>
      </c>
      <c r="J562" s="6">
        <f>IF(G562="Long",I562-H562,IF(G562="Short",H562-I562,0))</f>
        <v/>
      </c>
      <c r="K562" s="7" t="n">
        <v>100</v>
      </c>
      <c r="L562" s="5" t="inlineStr">
        <is>
          <t>Loss</t>
        </is>
      </c>
      <c r="M562" s="6">
        <f>M561+J562</f>
        <v/>
      </c>
    </row>
    <row r="563">
      <c r="A563" s="8" t="inlineStr">
        <is>
          <t>2022-08-08</t>
        </is>
      </c>
      <c r="B563" s="8" t="inlineStr">
        <is>
          <t>Monday</t>
        </is>
      </c>
      <c r="C563" s="8" t="inlineStr">
        <is>
          <t>MNQU2</t>
        </is>
      </c>
      <c r="D563" s="9" t="n">
        <v>13376</v>
      </c>
      <c r="E563" s="9" t="n">
        <v>13231.75</v>
      </c>
      <c r="F563" s="9">
        <f>D563-E563</f>
        <v/>
      </c>
      <c r="G563" s="8" t="inlineStr">
        <is>
          <t>Short</t>
        </is>
      </c>
      <c r="H563" s="9" t="n">
        <v>13231.75</v>
      </c>
      <c r="I563" s="9" t="n">
        <v>13181.5</v>
      </c>
      <c r="J563" s="9">
        <f>IF(G563="Long",I563-H563,IF(G563="Short",H563-I563,0))</f>
        <v/>
      </c>
      <c r="K563" s="10" t="n">
        <v>20.62</v>
      </c>
      <c r="L563" s="8" t="inlineStr">
        <is>
          <t>EOD-Close</t>
        </is>
      </c>
      <c r="M563" s="9">
        <f>M562+J563</f>
        <v/>
      </c>
    </row>
    <row r="564">
      <c r="A564" s="8" t="inlineStr">
        <is>
          <t>2022-08-09</t>
        </is>
      </c>
      <c r="B564" s="8" t="inlineStr">
        <is>
          <t>Tuesday</t>
        </is>
      </c>
      <c r="C564" s="8" t="inlineStr">
        <is>
          <t>MNQU2</t>
        </is>
      </c>
      <c r="D564" s="9" t="n">
        <v>13112.25</v>
      </c>
      <c r="E564" s="9" t="n">
        <v>13037</v>
      </c>
      <c r="F564" s="9">
        <f>D564-E564</f>
        <v/>
      </c>
      <c r="G564" s="8" t="inlineStr">
        <is>
          <t>Short</t>
        </is>
      </c>
      <c r="H564" s="9" t="n">
        <v>13037</v>
      </c>
      <c r="I564" s="9" t="n">
        <v>13032.25</v>
      </c>
      <c r="J564" s="9">
        <f>IF(G564="Long",I564-H564,IF(G564="Short",H564-I564,0))</f>
        <v/>
      </c>
      <c r="K564" s="10" t="n">
        <v>40.53</v>
      </c>
      <c r="L564" s="8" t="inlineStr">
        <is>
          <t>EOD-Close</t>
        </is>
      </c>
      <c r="M564" s="9">
        <f>M563+J564</f>
        <v/>
      </c>
    </row>
    <row r="565">
      <c r="A565" s="5" t="inlineStr">
        <is>
          <t>2022-08-10</t>
        </is>
      </c>
      <c r="B565" s="5" t="inlineStr">
        <is>
          <t>Wednesday</t>
        </is>
      </c>
      <c r="C565" s="5" t="inlineStr">
        <is>
          <t>MNQU2</t>
        </is>
      </c>
      <c r="D565" s="6" t="n">
        <v>13355</v>
      </c>
      <c r="E565" s="6" t="n">
        <v>13268.25</v>
      </c>
      <c r="F565" s="6">
        <f>D565-E565</f>
        <v/>
      </c>
      <c r="G565" s="5" t="inlineStr">
        <is>
          <t>Short</t>
        </is>
      </c>
      <c r="H565" s="6" t="n">
        <v>13268.25</v>
      </c>
      <c r="I565" s="6" t="n">
        <v>13355</v>
      </c>
      <c r="J565" s="6">
        <f>IF(G565="Long",I565-H565,IF(G565="Short",H565-I565,0))</f>
        <v/>
      </c>
      <c r="K565" s="7" t="n">
        <v>100</v>
      </c>
      <c r="L565" s="5" t="inlineStr">
        <is>
          <t>Loss</t>
        </is>
      </c>
      <c r="M565" s="6">
        <f>M564+J565</f>
        <v/>
      </c>
    </row>
    <row r="566">
      <c r="A566" s="8" t="inlineStr">
        <is>
          <t>2022-08-10</t>
        </is>
      </c>
      <c r="B566" s="8" t="inlineStr">
        <is>
          <t>Wednesday</t>
        </is>
      </c>
      <c r="C566" s="8" t="inlineStr">
        <is>
          <t>MNQU2</t>
        </is>
      </c>
      <c r="D566" s="9" t="n">
        <v>13355</v>
      </c>
      <c r="E566" s="9" t="n">
        <v>13268.25</v>
      </c>
      <c r="F566" s="9">
        <f>D566-E566</f>
        <v/>
      </c>
      <c r="G566" s="8" t="inlineStr">
        <is>
          <t>Long</t>
        </is>
      </c>
      <c r="H566" s="9" t="n">
        <v>13355</v>
      </c>
      <c r="I566" s="9" t="n">
        <v>13393.75</v>
      </c>
      <c r="J566" s="9">
        <f>IF(G566="Long",I566-H566,IF(G566="Short",H566-I566,0))</f>
        <v/>
      </c>
      <c r="K566" s="10" t="n">
        <v>44.67</v>
      </c>
      <c r="L566" s="8" t="inlineStr">
        <is>
          <t>EOD-Close</t>
        </is>
      </c>
      <c r="M566" s="9">
        <f>M565+J566</f>
        <v/>
      </c>
    </row>
    <row r="567">
      <c r="A567" s="2" t="inlineStr">
        <is>
          <t>2022-08-11</t>
        </is>
      </c>
      <c r="B567" s="2" t="inlineStr">
        <is>
          <t>Thursday</t>
        </is>
      </c>
      <c r="C567" s="2" t="inlineStr">
        <is>
          <t>MNQU2</t>
        </is>
      </c>
      <c r="D567" s="3" t="n">
        <v>13513.5</v>
      </c>
      <c r="E567" s="3" t="n">
        <v>13456</v>
      </c>
      <c r="F567" s="3">
        <f>D567-E567</f>
        <v/>
      </c>
      <c r="G567" s="2" t="inlineStr">
        <is>
          <t>Long</t>
        </is>
      </c>
      <c r="H567" s="3" t="n">
        <v>13513.5</v>
      </c>
      <c r="I567" s="3" t="n">
        <v>13571</v>
      </c>
      <c r="J567" s="3">
        <f>IF(G567="Long",I567-H567,IF(G567="Short",H567-I567,0))</f>
        <v/>
      </c>
      <c r="K567" s="4" t="n">
        <v>0</v>
      </c>
      <c r="L567" s="2" t="inlineStr">
        <is>
          <t>Win</t>
        </is>
      </c>
      <c r="M567" s="3">
        <f>M566+J567</f>
        <v/>
      </c>
    </row>
    <row r="568">
      <c r="A568" s="5" t="inlineStr">
        <is>
          <t>2022-08-11</t>
        </is>
      </c>
      <c r="B568" s="5" t="inlineStr">
        <is>
          <t>Thursday</t>
        </is>
      </c>
      <c r="C568" s="5" t="inlineStr">
        <is>
          <t>MNQU2</t>
        </is>
      </c>
      <c r="D568" s="6" t="n">
        <v>13513.5</v>
      </c>
      <c r="E568" s="6" t="n">
        <v>13456</v>
      </c>
      <c r="F568" s="6">
        <f>D568-E568</f>
        <v/>
      </c>
      <c r="G568" s="5" t="inlineStr">
        <is>
          <t>Long</t>
        </is>
      </c>
      <c r="H568" s="6" t="n">
        <v>13513.5</v>
      </c>
      <c r="I568" s="6" t="n">
        <v>13456</v>
      </c>
      <c r="J568" s="6">
        <f>IF(G568="Long",I568-H568,IF(G568="Short",H568-I568,0))</f>
        <v/>
      </c>
      <c r="K568" s="7" t="n">
        <v>100</v>
      </c>
      <c r="L568" s="5" t="inlineStr">
        <is>
          <t>Loss</t>
        </is>
      </c>
      <c r="M568" s="6">
        <f>M567+J568</f>
        <v/>
      </c>
    </row>
    <row r="569">
      <c r="A569" s="2" t="inlineStr">
        <is>
          <t>2022-08-12</t>
        </is>
      </c>
      <c r="B569" s="2" t="inlineStr">
        <is>
          <t>Friday</t>
        </is>
      </c>
      <c r="C569" s="2" t="inlineStr">
        <is>
          <t>MNQU2</t>
        </is>
      </c>
      <c r="D569" s="3" t="n">
        <v>13432.25</v>
      </c>
      <c r="E569" s="3" t="n">
        <v>13359</v>
      </c>
      <c r="F569" s="3">
        <f>D569-E569</f>
        <v/>
      </c>
      <c r="G569" s="2" t="inlineStr">
        <is>
          <t>Long</t>
        </is>
      </c>
      <c r="H569" s="3" t="n">
        <v>13432.25</v>
      </c>
      <c r="I569" s="3" t="n">
        <v>13505.5</v>
      </c>
      <c r="J569" s="3">
        <f>IF(G569="Long",I569-H569,IF(G569="Short",H569-I569,0))</f>
        <v/>
      </c>
      <c r="K569" s="4" t="n">
        <v>64.16</v>
      </c>
      <c r="L569" s="2" t="inlineStr">
        <is>
          <t>Win</t>
        </is>
      </c>
      <c r="M569" s="3">
        <f>M568+J569</f>
        <v/>
      </c>
    </row>
    <row r="570">
      <c r="A570" s="2" t="inlineStr">
        <is>
          <t>2022-08-15</t>
        </is>
      </c>
      <c r="B570" s="2" t="inlineStr">
        <is>
          <t>Monday</t>
        </is>
      </c>
      <c r="C570" s="2" t="inlineStr">
        <is>
          <t>MNQU2</t>
        </is>
      </c>
      <c r="D570" s="3" t="n">
        <v>13606.5</v>
      </c>
      <c r="E570" s="3" t="n">
        <v>13534.75</v>
      </c>
      <c r="F570" s="3">
        <f>D570-E570</f>
        <v/>
      </c>
      <c r="G570" s="2" t="inlineStr">
        <is>
          <t>Long</t>
        </is>
      </c>
      <c r="H570" s="3" t="n">
        <v>13606.5</v>
      </c>
      <c r="I570" s="3" t="n">
        <v>13678.25</v>
      </c>
      <c r="J570" s="3">
        <f>IF(G570="Long",I570-H570,IF(G570="Short",H570-I570,0))</f>
        <v/>
      </c>
      <c r="K570" s="4" t="n">
        <v>95.47</v>
      </c>
      <c r="L570" s="2" t="inlineStr">
        <is>
          <t>Win</t>
        </is>
      </c>
      <c r="M570" s="3">
        <f>M569+J570</f>
        <v/>
      </c>
    </row>
    <row r="571">
      <c r="A571" s="2" t="inlineStr">
        <is>
          <t>2022-08-16</t>
        </is>
      </c>
      <c r="B571" s="2" t="inlineStr">
        <is>
          <t>Tuesday</t>
        </is>
      </c>
      <c r="C571" s="2" t="inlineStr">
        <is>
          <t>MNQU2</t>
        </is>
      </c>
      <c r="D571" s="3" t="n">
        <v>13659.75</v>
      </c>
      <c r="E571" s="3" t="n">
        <v>13608</v>
      </c>
      <c r="F571" s="3">
        <f>D571-E571</f>
        <v/>
      </c>
      <c r="G571" s="2" t="inlineStr">
        <is>
          <t>Short</t>
        </is>
      </c>
      <c r="H571" s="3" t="n">
        <v>13608</v>
      </c>
      <c r="I571" s="3" t="n">
        <v>13556.25</v>
      </c>
      <c r="J571" s="3">
        <f>IF(G571="Long",I571-H571,IF(G571="Short",H571-I571,0))</f>
        <v/>
      </c>
      <c r="K571" s="4" t="n">
        <v>28.02</v>
      </c>
      <c r="L571" s="2" t="inlineStr">
        <is>
          <t>Win</t>
        </is>
      </c>
      <c r="M571" s="3">
        <f>M570+J571</f>
        <v/>
      </c>
    </row>
    <row r="572">
      <c r="A572" s="5" t="inlineStr">
        <is>
          <t>2022-08-16</t>
        </is>
      </c>
      <c r="B572" s="5" t="inlineStr">
        <is>
          <t>Tuesday</t>
        </is>
      </c>
      <c r="C572" s="5" t="inlineStr">
        <is>
          <t>MNQU2</t>
        </is>
      </c>
      <c r="D572" s="6" t="n">
        <v>13659.75</v>
      </c>
      <c r="E572" s="6" t="n">
        <v>13608</v>
      </c>
      <c r="F572" s="6">
        <f>D572-E572</f>
        <v/>
      </c>
      <c r="G572" s="5" t="inlineStr">
        <is>
          <t>Short</t>
        </is>
      </c>
      <c r="H572" s="6" t="n">
        <v>13608</v>
      </c>
      <c r="I572" s="6" t="n">
        <v>13659.75</v>
      </c>
      <c r="J572" s="6">
        <f>IF(G572="Long",I572-H572,IF(G572="Short",H572-I572,0))</f>
        <v/>
      </c>
      <c r="K572" s="7" t="n">
        <v>100</v>
      </c>
      <c r="L572" s="5" t="inlineStr">
        <is>
          <t>Loss</t>
        </is>
      </c>
      <c r="M572" s="6">
        <f>M571+J572</f>
        <v/>
      </c>
    </row>
    <row r="573">
      <c r="A573" s="5" t="inlineStr">
        <is>
          <t>2022-08-17</t>
        </is>
      </c>
      <c r="B573" s="5" t="inlineStr">
        <is>
          <t>Wednesday</t>
        </is>
      </c>
      <c r="C573" s="5" t="inlineStr">
        <is>
          <t>MNQU2</t>
        </is>
      </c>
      <c r="D573" s="6" t="n">
        <v>13566.25</v>
      </c>
      <c r="E573" s="6" t="n">
        <v>13484.5</v>
      </c>
      <c r="F573" s="6">
        <f>D573-E573</f>
        <v/>
      </c>
      <c r="G573" s="5" t="inlineStr">
        <is>
          <t>Short</t>
        </is>
      </c>
      <c r="H573" s="6" t="n">
        <v>13484.5</v>
      </c>
      <c r="I573" s="6" t="n">
        <v>13566.25</v>
      </c>
      <c r="J573" s="6">
        <f>IF(G573="Long",I573-H573,IF(G573="Short",H573-I573,0))</f>
        <v/>
      </c>
      <c r="K573" s="7" t="n">
        <v>100</v>
      </c>
      <c r="L573" s="5" t="inlineStr">
        <is>
          <t>Loss</t>
        </is>
      </c>
      <c r="M573" s="6">
        <f>M572+J573</f>
        <v/>
      </c>
    </row>
    <row r="574">
      <c r="A574" s="5" t="inlineStr">
        <is>
          <t>2022-08-17</t>
        </is>
      </c>
      <c r="B574" s="5" t="inlineStr">
        <is>
          <t>Wednesday</t>
        </is>
      </c>
      <c r="C574" s="5" t="inlineStr">
        <is>
          <t>MNQU2</t>
        </is>
      </c>
      <c r="D574" s="6" t="n">
        <v>13566.25</v>
      </c>
      <c r="E574" s="6" t="n">
        <v>13484.5</v>
      </c>
      <c r="F574" s="6">
        <f>D574-E574</f>
        <v/>
      </c>
      <c r="G574" s="5" t="inlineStr">
        <is>
          <t>Long</t>
        </is>
      </c>
      <c r="H574" s="6" t="n">
        <v>13566.25</v>
      </c>
      <c r="I574" s="6" t="n">
        <v>13484.5</v>
      </c>
      <c r="J574" s="6">
        <f>IF(G574="Long",I574-H574,IF(G574="Short",H574-I574,0))</f>
        <v/>
      </c>
      <c r="K574" s="7" t="n">
        <v>100</v>
      </c>
      <c r="L574" s="5" t="inlineStr">
        <is>
          <t>Loss</t>
        </is>
      </c>
      <c r="M574" s="6">
        <f>M573+J574</f>
        <v/>
      </c>
    </row>
    <row r="575">
      <c r="A575" s="2" t="inlineStr">
        <is>
          <t>2022-08-18</t>
        </is>
      </c>
      <c r="B575" s="2" t="inlineStr">
        <is>
          <t>Thursday</t>
        </is>
      </c>
      <c r="C575" s="2" t="inlineStr">
        <is>
          <t>MNQU2</t>
        </is>
      </c>
      <c r="D575" s="3" t="n">
        <v>13498</v>
      </c>
      <c r="E575" s="3" t="n">
        <v>13436</v>
      </c>
      <c r="F575" s="3">
        <f>D575-E575</f>
        <v/>
      </c>
      <c r="G575" s="2" t="inlineStr">
        <is>
          <t>Long</t>
        </is>
      </c>
      <c r="H575" s="3" t="n">
        <v>13498</v>
      </c>
      <c r="I575" s="3" t="n">
        <v>13560</v>
      </c>
      <c r="J575" s="3">
        <f>IF(G575="Long",I575-H575,IF(G575="Short",H575-I575,0))</f>
        <v/>
      </c>
      <c r="K575" s="4" t="n">
        <v>18.55</v>
      </c>
      <c r="L575" s="2" t="inlineStr">
        <is>
          <t>Win</t>
        </is>
      </c>
      <c r="M575" s="3">
        <f>M574+J575</f>
        <v/>
      </c>
    </row>
    <row r="576">
      <c r="A576" s="2" t="inlineStr">
        <is>
          <t>2022-08-18</t>
        </is>
      </c>
      <c r="B576" s="2" t="inlineStr">
        <is>
          <t>Thursday</t>
        </is>
      </c>
      <c r="C576" s="2" t="inlineStr">
        <is>
          <t>MNQU2</t>
        </is>
      </c>
      <c r="D576" s="3" t="n">
        <v>13498</v>
      </c>
      <c r="E576" s="3" t="n">
        <v>13436</v>
      </c>
      <c r="F576" s="3">
        <f>D576-E576</f>
        <v/>
      </c>
      <c r="G576" s="2" t="inlineStr">
        <is>
          <t>Long</t>
        </is>
      </c>
      <c r="H576" s="3" t="n">
        <v>13498</v>
      </c>
      <c r="I576" s="3" t="n">
        <v>13560</v>
      </c>
      <c r="J576" s="3">
        <f>IF(G576="Long",I576-H576,IF(G576="Short",H576-I576,0))</f>
        <v/>
      </c>
      <c r="K576" s="4" t="n">
        <v>22.98</v>
      </c>
      <c r="L576" s="2" t="inlineStr">
        <is>
          <t>Win</t>
        </is>
      </c>
      <c r="M576" s="3">
        <f>M575+J576</f>
        <v/>
      </c>
    </row>
    <row r="577">
      <c r="A577" s="2" t="inlineStr">
        <is>
          <t>2022-08-19</t>
        </is>
      </c>
      <c r="B577" s="2" t="inlineStr">
        <is>
          <t>Friday</t>
        </is>
      </c>
      <c r="C577" s="2" t="inlineStr">
        <is>
          <t>MNQU2</t>
        </is>
      </c>
      <c r="D577" s="3" t="n">
        <v>13425.25</v>
      </c>
      <c r="E577" s="3" t="n">
        <v>13340.75</v>
      </c>
      <c r="F577" s="3">
        <f>D577-E577</f>
        <v/>
      </c>
      <c r="G577" s="2" t="inlineStr">
        <is>
          <t>Short</t>
        </is>
      </c>
      <c r="H577" s="3" t="n">
        <v>13340.75</v>
      </c>
      <c r="I577" s="3" t="n">
        <v>13256.25</v>
      </c>
      <c r="J577" s="3">
        <f>IF(G577="Long",I577-H577,IF(G577="Short",H577-I577,0))</f>
        <v/>
      </c>
      <c r="K577" s="4" t="n">
        <v>0</v>
      </c>
      <c r="L577" s="2" t="inlineStr">
        <is>
          <t>Win</t>
        </is>
      </c>
      <c r="M577" s="3">
        <f>M576+J577</f>
        <v/>
      </c>
    </row>
    <row r="578">
      <c r="A578" s="2" t="inlineStr">
        <is>
          <t>2022-08-22</t>
        </is>
      </c>
      <c r="B578" s="2" t="inlineStr">
        <is>
          <t>Monday</t>
        </is>
      </c>
      <c r="C578" s="2" t="inlineStr">
        <is>
          <t>MNQU2</t>
        </is>
      </c>
      <c r="D578" s="3" t="n">
        <v>13092</v>
      </c>
      <c r="E578" s="3" t="n">
        <v>13021.5</v>
      </c>
      <c r="F578" s="3">
        <f>D578-E578</f>
        <v/>
      </c>
      <c r="G578" s="2" t="inlineStr">
        <is>
          <t>Short</t>
        </is>
      </c>
      <c r="H578" s="3" t="n">
        <v>13021.5</v>
      </c>
      <c r="I578" s="3" t="n">
        <v>12951</v>
      </c>
      <c r="J578" s="3">
        <f>IF(G578="Long",I578-H578,IF(G578="Short",H578-I578,0))</f>
        <v/>
      </c>
      <c r="K578" s="4" t="n">
        <v>39.36</v>
      </c>
      <c r="L578" s="2" t="inlineStr">
        <is>
          <t>Win</t>
        </is>
      </c>
      <c r="M578" s="3">
        <f>M577+J578</f>
        <v/>
      </c>
    </row>
    <row r="579">
      <c r="A579" s="8" t="inlineStr">
        <is>
          <t>2022-08-23</t>
        </is>
      </c>
      <c r="B579" s="8" t="inlineStr">
        <is>
          <t>Tuesday</t>
        </is>
      </c>
      <c r="C579" s="8" t="inlineStr">
        <is>
          <t>MNQU2</t>
        </is>
      </c>
      <c r="D579" s="9" t="n">
        <v>12952</v>
      </c>
      <c r="E579" s="9" t="n">
        <v>12866</v>
      </c>
      <c r="F579" s="9">
        <f>D579-E579</f>
        <v/>
      </c>
      <c r="G579" s="8" t="inlineStr">
        <is>
          <t>Long</t>
        </is>
      </c>
      <c r="H579" s="9" t="n">
        <v>12952</v>
      </c>
      <c r="I579" s="9" t="n">
        <v>12898.75</v>
      </c>
      <c r="J579" s="9">
        <f>IF(G579="Long",I579-H579,IF(G579="Short",H579-I579,0))</f>
        <v/>
      </c>
      <c r="K579" s="10" t="n">
        <v>89.83</v>
      </c>
      <c r="L579" s="8" t="inlineStr">
        <is>
          <t>EOD-Close</t>
        </is>
      </c>
      <c r="M579" s="9">
        <f>M578+J579</f>
        <v/>
      </c>
    </row>
    <row r="580">
      <c r="A580" s="2" t="inlineStr">
        <is>
          <t>2022-08-24</t>
        </is>
      </c>
      <c r="B580" s="2" t="inlineStr">
        <is>
          <t>Wednesday</t>
        </is>
      </c>
      <c r="C580" s="2" t="inlineStr">
        <is>
          <t>MNQU2</t>
        </is>
      </c>
      <c r="D580" s="3" t="n">
        <v>12907</v>
      </c>
      <c r="E580" s="3" t="n">
        <v>12852.25</v>
      </c>
      <c r="F580" s="3">
        <f>D580-E580</f>
        <v/>
      </c>
      <c r="G580" s="2" t="inlineStr">
        <is>
          <t>Long</t>
        </is>
      </c>
      <c r="H580" s="3" t="n">
        <v>12907</v>
      </c>
      <c r="I580" s="3" t="n">
        <v>12961.75</v>
      </c>
      <c r="J580" s="3">
        <f>IF(G580="Long",I580-H580,IF(G580="Short",H580-I580,0))</f>
        <v/>
      </c>
      <c r="K580" s="4" t="n">
        <v>14.16</v>
      </c>
      <c r="L580" s="2" t="inlineStr">
        <is>
          <t>Win</t>
        </is>
      </c>
      <c r="M580" s="3">
        <f>M579+J580</f>
        <v/>
      </c>
    </row>
    <row r="581">
      <c r="A581" s="2" t="inlineStr">
        <is>
          <t>2022-08-25</t>
        </is>
      </c>
      <c r="B581" s="2" t="inlineStr">
        <is>
          <t>Thursday</t>
        </is>
      </c>
      <c r="C581" s="2" t="inlineStr">
        <is>
          <t>MNQU2</t>
        </is>
      </c>
      <c r="D581" s="3" t="n">
        <v>13014.25</v>
      </c>
      <c r="E581" s="3" t="n">
        <v>12966.5</v>
      </c>
      <c r="F581" s="3">
        <f>D581-E581</f>
        <v/>
      </c>
      <c r="G581" s="2" t="inlineStr">
        <is>
          <t>Long</t>
        </is>
      </c>
      <c r="H581" s="3" t="n">
        <v>13014.25</v>
      </c>
      <c r="I581" s="3" t="n">
        <v>13062</v>
      </c>
      <c r="J581" s="3">
        <f>IF(G581="Long",I581-H581,IF(G581="Short",H581-I581,0))</f>
        <v/>
      </c>
      <c r="K581" s="4" t="n">
        <v>0</v>
      </c>
      <c r="L581" s="2" t="inlineStr">
        <is>
          <t>Win</t>
        </is>
      </c>
      <c r="M581" s="3">
        <f>M580+J581</f>
        <v/>
      </c>
    </row>
    <row r="582">
      <c r="A582" s="2" t="inlineStr">
        <is>
          <t>2022-08-25</t>
        </is>
      </c>
      <c r="B582" s="2" t="inlineStr">
        <is>
          <t>Thursday</t>
        </is>
      </c>
      <c r="C582" s="2" t="inlineStr">
        <is>
          <t>MNQU2</t>
        </is>
      </c>
      <c r="D582" s="3" t="n">
        <v>13014.25</v>
      </c>
      <c r="E582" s="3" t="n">
        <v>12966.5</v>
      </c>
      <c r="F582" s="3">
        <f>D582-E582</f>
        <v/>
      </c>
      <c r="G582" s="2" t="inlineStr">
        <is>
          <t>Long</t>
        </is>
      </c>
      <c r="H582" s="3" t="n">
        <v>13014.25</v>
      </c>
      <c r="I582" s="3" t="n">
        <v>13062</v>
      </c>
      <c r="J582" s="3">
        <f>IF(G582="Long",I582-H582,IF(G582="Short",H582-I582,0))</f>
        <v/>
      </c>
      <c r="K582" s="4" t="n">
        <v>36.13</v>
      </c>
      <c r="L582" s="2" t="inlineStr">
        <is>
          <t>Win</t>
        </is>
      </c>
      <c r="M582" s="3">
        <f>M581+J582</f>
        <v/>
      </c>
    </row>
    <row r="583">
      <c r="A583" s="2" t="inlineStr">
        <is>
          <t>2022-08-26</t>
        </is>
      </c>
      <c r="B583" s="2" t="inlineStr">
        <is>
          <t>Friday</t>
        </is>
      </c>
      <c r="C583" s="2" t="inlineStr">
        <is>
          <t>MNQU2</t>
        </is>
      </c>
      <c r="D583" s="3" t="n">
        <v>13161.25</v>
      </c>
      <c r="E583" s="3" t="n">
        <v>13116.25</v>
      </c>
      <c r="F583" s="3">
        <f>D583-E583</f>
        <v/>
      </c>
      <c r="G583" s="2" t="inlineStr">
        <is>
          <t>Short</t>
        </is>
      </c>
      <c r="H583" s="3" t="n">
        <v>13116.25</v>
      </c>
      <c r="I583" s="3" t="n">
        <v>13071.25</v>
      </c>
      <c r="J583" s="3">
        <f>IF(G583="Long",I583-H583,IF(G583="Short",H583-I583,0))</f>
        <v/>
      </c>
      <c r="K583" s="4" t="n">
        <v>60</v>
      </c>
      <c r="L583" s="2" t="inlineStr">
        <is>
          <t>Win</t>
        </is>
      </c>
      <c r="M583" s="3">
        <f>M582+J583</f>
        <v/>
      </c>
    </row>
    <row r="584">
      <c r="A584" s="5" t="inlineStr">
        <is>
          <t>2022-08-26</t>
        </is>
      </c>
      <c r="B584" s="5" t="inlineStr">
        <is>
          <t>Friday</t>
        </is>
      </c>
      <c r="C584" s="5" t="inlineStr">
        <is>
          <t>MNQU2</t>
        </is>
      </c>
      <c r="D584" s="6" t="n">
        <v>13161.25</v>
      </c>
      <c r="E584" s="6" t="n">
        <v>13116.25</v>
      </c>
      <c r="F584" s="6">
        <f>D584-E584</f>
        <v/>
      </c>
      <c r="G584" s="5" t="inlineStr">
        <is>
          <t>Short</t>
        </is>
      </c>
      <c r="H584" s="6" t="n">
        <v>13116.25</v>
      </c>
      <c r="I584" s="6" t="n">
        <v>13161.25</v>
      </c>
      <c r="J584" s="6">
        <f>IF(G584="Long",I584-H584,IF(G584="Short",H584-I584,0))</f>
        <v/>
      </c>
      <c r="K584" s="7" t="n">
        <v>100</v>
      </c>
      <c r="L584" s="5" t="inlineStr">
        <is>
          <t>Loss</t>
        </is>
      </c>
      <c r="M584" s="6">
        <f>M583+J584</f>
        <v/>
      </c>
    </row>
    <row r="585">
      <c r="A585" s="8" t="inlineStr">
        <is>
          <t>2022-08-29</t>
        </is>
      </c>
      <c r="B585" s="8" t="inlineStr">
        <is>
          <t>Monday</t>
        </is>
      </c>
      <c r="C585" s="8" t="inlineStr">
        <is>
          <t>MNQU2</t>
        </is>
      </c>
      <c r="D585" s="9" t="n">
        <v>12605.75</v>
      </c>
      <c r="E585" s="9" t="n">
        <v>12479</v>
      </c>
      <c r="F585" s="9">
        <f>D585-E585</f>
        <v/>
      </c>
      <c r="G585" s="8" t="inlineStr">
        <is>
          <t>Short</t>
        </is>
      </c>
      <c r="H585" s="9" t="n">
        <v>12479</v>
      </c>
      <c r="I585" s="9" t="n">
        <v>12494.75</v>
      </c>
      <c r="J585" s="9">
        <f>IF(G585="Long",I585-H585,IF(G585="Short",H585-I585,0))</f>
        <v/>
      </c>
      <c r="K585" s="10" t="n">
        <v>99.8</v>
      </c>
      <c r="L585" s="8" t="inlineStr">
        <is>
          <t>EOD-Close</t>
        </is>
      </c>
      <c r="M585" s="9">
        <f>M584+J585</f>
        <v/>
      </c>
    </row>
    <row r="586">
      <c r="A586" s="2" t="inlineStr">
        <is>
          <t>2022-08-30</t>
        </is>
      </c>
      <c r="B586" s="2" t="inlineStr">
        <is>
          <t>Tuesday</t>
        </is>
      </c>
      <c r="C586" s="2" t="inlineStr">
        <is>
          <t>MNQU2</t>
        </is>
      </c>
      <c r="D586" s="3" t="n">
        <v>12587.25</v>
      </c>
      <c r="E586" s="3" t="n">
        <v>12500.75</v>
      </c>
      <c r="F586" s="3">
        <f>D586-E586</f>
        <v/>
      </c>
      <c r="G586" s="2" t="inlineStr">
        <is>
          <t>Short</t>
        </is>
      </c>
      <c r="H586" s="3" t="n">
        <v>12500.75</v>
      </c>
      <c r="I586" s="3" t="n">
        <v>12414.25</v>
      </c>
      <c r="J586" s="3">
        <f>IF(G586="Long",I586-H586,IF(G586="Short",H586-I586,0))</f>
        <v/>
      </c>
      <c r="K586" s="4" t="n">
        <v>0.29</v>
      </c>
      <c r="L586" s="2" t="inlineStr">
        <is>
          <t>Win</t>
        </is>
      </c>
      <c r="M586" s="3">
        <f>M585+J586</f>
        <v/>
      </c>
    </row>
    <row r="587">
      <c r="A587" s="5" t="inlineStr">
        <is>
          <t>2022-08-31</t>
        </is>
      </c>
      <c r="B587" s="5" t="inlineStr">
        <is>
          <t>Wednesday</t>
        </is>
      </c>
      <c r="C587" s="5" t="inlineStr">
        <is>
          <t>MNQU2</t>
        </is>
      </c>
      <c r="D587" s="6" t="n">
        <v>12491.75</v>
      </c>
      <c r="E587" s="6" t="n">
        <v>12390.5</v>
      </c>
      <c r="F587" s="6">
        <f>D587-E587</f>
        <v/>
      </c>
      <c r="G587" s="5" t="inlineStr">
        <is>
          <t>Long</t>
        </is>
      </c>
      <c r="H587" s="6" t="n">
        <v>12491.75</v>
      </c>
      <c r="I587" s="6" t="n">
        <v>12390.5</v>
      </c>
      <c r="J587" s="6">
        <f>IF(G587="Long",I587-H587,IF(G587="Short",H587-I587,0))</f>
        <v/>
      </c>
      <c r="K587" s="7" t="n">
        <v>100</v>
      </c>
      <c r="L587" s="5" t="inlineStr">
        <is>
          <t>Loss</t>
        </is>
      </c>
      <c r="M587" s="6">
        <f>M586+J587</f>
        <v/>
      </c>
    </row>
    <row r="588">
      <c r="A588" s="2" t="inlineStr">
        <is>
          <t>2022-08-31</t>
        </is>
      </c>
      <c r="B588" s="2" t="inlineStr">
        <is>
          <t>Wednesday</t>
        </is>
      </c>
      <c r="C588" s="2" t="inlineStr">
        <is>
          <t>MNQU2</t>
        </is>
      </c>
      <c r="D588" s="3" t="n">
        <v>12491.75</v>
      </c>
      <c r="E588" s="3" t="n">
        <v>12390.5</v>
      </c>
      <c r="F588" s="3">
        <f>D588-E588</f>
        <v/>
      </c>
      <c r="G588" s="2" t="inlineStr">
        <is>
          <t>Short</t>
        </is>
      </c>
      <c r="H588" s="3" t="n">
        <v>12390.5</v>
      </c>
      <c r="I588" s="3" t="n">
        <v>12289.25</v>
      </c>
      <c r="J588" s="3">
        <f>IF(G588="Long",I588-H588,IF(G588="Short",H588-I588,0))</f>
        <v/>
      </c>
      <c r="K588" s="4" t="n">
        <v>30.86</v>
      </c>
      <c r="L588" s="2" t="inlineStr">
        <is>
          <t>Win</t>
        </is>
      </c>
      <c r="M588" s="3">
        <f>M587+J588</f>
        <v/>
      </c>
    </row>
    <row r="589">
      <c r="A589" s="2" t="inlineStr">
        <is>
          <t>2022-09-01</t>
        </is>
      </c>
      <c r="B589" s="2" t="inlineStr">
        <is>
          <t>Thursday</t>
        </is>
      </c>
      <c r="C589" s="2" t="inlineStr">
        <is>
          <t>MNQU2</t>
        </is>
      </c>
      <c r="D589" s="3" t="n">
        <v>12224</v>
      </c>
      <c r="E589" s="3" t="n">
        <v>12140.25</v>
      </c>
      <c r="F589" s="3">
        <f>D589-E589</f>
        <v/>
      </c>
      <c r="G589" s="2" t="inlineStr">
        <is>
          <t>Short</t>
        </is>
      </c>
      <c r="H589" s="3" t="n">
        <v>12140.25</v>
      </c>
      <c r="I589" s="3" t="n">
        <v>12056.5</v>
      </c>
      <c r="J589" s="3">
        <f>IF(G589="Long",I589-H589,IF(G589="Short",H589-I589,0))</f>
        <v/>
      </c>
      <c r="K589" s="4" t="n">
        <v>39.1</v>
      </c>
      <c r="L589" s="2" t="inlineStr">
        <is>
          <t>Win</t>
        </is>
      </c>
      <c r="M589" s="3">
        <f>M588+J589</f>
        <v/>
      </c>
    </row>
    <row r="590">
      <c r="A590" s="5" t="inlineStr">
        <is>
          <t>2022-09-01</t>
        </is>
      </c>
      <c r="B590" s="5" t="inlineStr">
        <is>
          <t>Thursday</t>
        </is>
      </c>
      <c r="C590" s="5" t="inlineStr">
        <is>
          <t>MNQU2</t>
        </is>
      </c>
      <c r="D590" s="6" t="n">
        <v>12224</v>
      </c>
      <c r="E590" s="6" t="n">
        <v>12140.25</v>
      </c>
      <c r="F590" s="6">
        <f>D590-E590</f>
        <v/>
      </c>
      <c r="G590" s="5" t="inlineStr">
        <is>
          <t>Short</t>
        </is>
      </c>
      <c r="H590" s="6" t="n">
        <v>12140.25</v>
      </c>
      <c r="I590" s="6" t="n">
        <v>12224</v>
      </c>
      <c r="J590" s="6">
        <f>IF(G590="Long",I590-H590,IF(G590="Short",H590-I590,0))</f>
        <v/>
      </c>
      <c r="K590" s="7" t="n">
        <v>100</v>
      </c>
      <c r="L590" s="5" t="inlineStr">
        <is>
          <t>Loss</t>
        </is>
      </c>
      <c r="M590" s="6">
        <f>M589+J590</f>
        <v/>
      </c>
    </row>
    <row r="591">
      <c r="A591" s="5" t="inlineStr">
        <is>
          <t>2022-09-02</t>
        </is>
      </c>
      <c r="B591" s="5" t="inlineStr">
        <is>
          <t>Friday</t>
        </is>
      </c>
      <c r="C591" s="5" t="inlineStr">
        <is>
          <t>MNQU2</t>
        </is>
      </c>
      <c r="D591" s="6" t="n">
        <v>12415.5</v>
      </c>
      <c r="E591" s="6" t="n">
        <v>12291.25</v>
      </c>
      <c r="F591" s="6">
        <f>D591-E591</f>
        <v/>
      </c>
      <c r="G591" s="5" t="inlineStr">
        <is>
          <t>Short</t>
        </is>
      </c>
      <c r="H591" s="6" t="n">
        <v>12291.25</v>
      </c>
      <c r="I591" s="6" t="n">
        <v>12415.5</v>
      </c>
      <c r="J591" s="6">
        <f>IF(G591="Long",I591-H591,IF(G591="Short",H591-I591,0))</f>
        <v/>
      </c>
      <c r="K591" s="7" t="n">
        <v>100</v>
      </c>
      <c r="L591" s="5" t="inlineStr">
        <is>
          <t>Loss</t>
        </is>
      </c>
      <c r="M591" s="6">
        <f>M590+J591</f>
        <v/>
      </c>
    </row>
    <row r="592">
      <c r="A592" s="5" t="inlineStr">
        <is>
          <t>2022-09-02</t>
        </is>
      </c>
      <c r="B592" s="5" t="inlineStr">
        <is>
          <t>Friday</t>
        </is>
      </c>
      <c r="C592" s="5" t="inlineStr">
        <is>
          <t>MNQU2</t>
        </is>
      </c>
      <c r="D592" s="6" t="n">
        <v>12415.5</v>
      </c>
      <c r="E592" s="6" t="n">
        <v>12291.25</v>
      </c>
      <c r="F592" s="6">
        <f>D592-E592</f>
        <v/>
      </c>
      <c r="G592" s="5" t="inlineStr">
        <is>
          <t>Long</t>
        </is>
      </c>
      <c r="H592" s="6" t="n">
        <v>12415.5</v>
      </c>
      <c r="I592" s="6" t="n">
        <v>12291.25</v>
      </c>
      <c r="J592" s="6">
        <f>IF(G592="Long",I592-H592,IF(G592="Short",H592-I592,0))</f>
        <v/>
      </c>
      <c r="K592" s="7" t="n">
        <v>100</v>
      </c>
      <c r="L592" s="5" t="inlineStr">
        <is>
          <t>Loss</t>
        </is>
      </c>
      <c r="M592" s="6">
        <f>M591+J592</f>
        <v/>
      </c>
    </row>
    <row r="593">
      <c r="A593" s="8" t="inlineStr">
        <is>
          <t>2022-09-05</t>
        </is>
      </c>
      <c r="B593" s="8" t="inlineStr">
        <is>
          <t>Monday</t>
        </is>
      </c>
      <c r="C593" s="8" t="inlineStr">
        <is>
          <t>MNQU2</t>
        </is>
      </c>
      <c r="D593" s="9" t="n">
        <v>12144</v>
      </c>
      <c r="E593" s="9" t="n">
        <v>12104.75</v>
      </c>
      <c r="F593" s="9">
        <f>D593-E593</f>
        <v/>
      </c>
      <c r="G593" s="8" t="inlineStr">
        <is>
          <t>Long</t>
        </is>
      </c>
      <c r="H593" s="9" t="n">
        <v>12144</v>
      </c>
      <c r="I593" s="9" t="n">
        <v>12134.25</v>
      </c>
      <c r="J593" s="9">
        <f>IF(G593="Long",I593-H593,IF(G593="Short",H593-I593,0))</f>
        <v/>
      </c>
      <c r="K593" s="10" t="n">
        <v>38.22</v>
      </c>
      <c r="L593" s="8" t="inlineStr">
        <is>
          <t>EOD-Close</t>
        </is>
      </c>
      <c r="M593" s="9">
        <f>M592+J593</f>
        <v/>
      </c>
    </row>
    <row r="594">
      <c r="A594" s="2" t="inlineStr">
        <is>
          <t>2022-09-06</t>
        </is>
      </c>
      <c r="B594" s="2" t="inlineStr">
        <is>
          <t>Tuesday</t>
        </is>
      </c>
      <c r="C594" s="2" t="inlineStr">
        <is>
          <t>MNQU2</t>
        </is>
      </c>
      <c r="D594" s="3" t="n">
        <v>12169</v>
      </c>
      <c r="E594" s="3" t="n">
        <v>12076.75</v>
      </c>
      <c r="F594" s="3">
        <f>D594-E594</f>
        <v/>
      </c>
      <c r="G594" s="2" t="inlineStr">
        <is>
          <t>Short</t>
        </is>
      </c>
      <c r="H594" s="3" t="n">
        <v>12076.75</v>
      </c>
      <c r="I594" s="3" t="n">
        <v>11984.5</v>
      </c>
      <c r="J594" s="3">
        <f>IF(G594="Long",I594-H594,IF(G594="Short",H594-I594,0))</f>
        <v/>
      </c>
      <c r="K594" s="4" t="n">
        <v>0</v>
      </c>
      <c r="L594" s="2" t="inlineStr">
        <is>
          <t>Win</t>
        </is>
      </c>
      <c r="M594" s="3">
        <f>M593+J594</f>
        <v/>
      </c>
    </row>
    <row r="595">
      <c r="A595" s="2" t="inlineStr">
        <is>
          <t>2022-09-06</t>
        </is>
      </c>
      <c r="B595" s="2" t="inlineStr">
        <is>
          <t>Tuesday</t>
        </is>
      </c>
      <c r="C595" s="2" t="inlineStr">
        <is>
          <t>MNQU2</t>
        </is>
      </c>
      <c r="D595" s="3" t="n">
        <v>12169</v>
      </c>
      <c r="E595" s="3" t="n">
        <v>12076.75</v>
      </c>
      <c r="F595" s="3">
        <f>D595-E595</f>
        <v/>
      </c>
      <c r="G595" s="2" t="inlineStr">
        <is>
          <t>Short</t>
        </is>
      </c>
      <c r="H595" s="3" t="n">
        <v>12076.75</v>
      </c>
      <c r="I595" s="3" t="n">
        <v>11984.5</v>
      </c>
      <c r="J595" s="3">
        <f>IF(G595="Long",I595-H595,IF(G595="Short",H595-I595,0))</f>
        <v/>
      </c>
      <c r="K595" s="4" t="n">
        <v>72.63</v>
      </c>
      <c r="L595" s="2" t="inlineStr">
        <is>
          <t>Win</t>
        </is>
      </c>
      <c r="M595" s="3">
        <f>M594+J595</f>
        <v/>
      </c>
    </row>
    <row r="596">
      <c r="A596" s="2" t="inlineStr">
        <is>
          <t>2022-09-07</t>
        </is>
      </c>
      <c r="B596" s="2" t="inlineStr">
        <is>
          <t>Wednesday</t>
        </is>
      </c>
      <c r="C596" s="2" t="inlineStr">
        <is>
          <t>MNQU2</t>
        </is>
      </c>
      <c r="D596" s="3" t="n">
        <v>12125.5</v>
      </c>
      <c r="E596" s="3" t="n">
        <v>12035.75</v>
      </c>
      <c r="F596" s="3">
        <f>D596-E596</f>
        <v/>
      </c>
      <c r="G596" s="2" t="inlineStr">
        <is>
          <t>Long</t>
        </is>
      </c>
      <c r="H596" s="3" t="n">
        <v>12125.5</v>
      </c>
      <c r="I596" s="3" t="n">
        <v>12215.25</v>
      </c>
      <c r="J596" s="3">
        <f>IF(G596="Long",I596-H596,IF(G596="Short",H596-I596,0))</f>
        <v/>
      </c>
      <c r="K596" s="4" t="n">
        <v>27.3</v>
      </c>
      <c r="L596" s="2" t="inlineStr">
        <is>
          <t>Win</t>
        </is>
      </c>
      <c r="M596" s="3">
        <f>M595+J596</f>
        <v/>
      </c>
    </row>
    <row r="597">
      <c r="A597" s="2" t="inlineStr">
        <is>
          <t>2022-09-08</t>
        </is>
      </c>
      <c r="B597" s="2" t="inlineStr">
        <is>
          <t>Thursday</t>
        </is>
      </c>
      <c r="C597" s="2" t="inlineStr">
        <is>
          <t>MNQU2</t>
        </is>
      </c>
      <c r="D597" s="3" t="n">
        <v>12223</v>
      </c>
      <c r="E597" s="3" t="n">
        <v>12117</v>
      </c>
      <c r="F597" s="3">
        <f>D597-E597</f>
        <v/>
      </c>
      <c r="G597" s="2" t="inlineStr">
        <is>
          <t>Long</t>
        </is>
      </c>
      <c r="H597" s="3" t="n">
        <v>12223</v>
      </c>
      <c r="I597" s="3" t="n">
        <v>12329</v>
      </c>
      <c r="J597" s="3">
        <f>IF(G597="Long",I597-H597,IF(G597="Short",H597-I597,0))</f>
        <v/>
      </c>
      <c r="K597" s="4" t="n">
        <v>41.98</v>
      </c>
      <c r="L597" s="2" t="inlineStr">
        <is>
          <t>Win</t>
        </is>
      </c>
      <c r="M597" s="3">
        <f>M596+J597</f>
        <v/>
      </c>
    </row>
    <row r="598">
      <c r="A598" s="8" t="inlineStr">
        <is>
          <t>2022-09-08</t>
        </is>
      </c>
      <c r="B598" s="8" t="inlineStr">
        <is>
          <t>Thursday</t>
        </is>
      </c>
      <c r="C598" s="8" t="inlineStr">
        <is>
          <t>MNQU2</t>
        </is>
      </c>
      <c r="D598" s="9" t="n">
        <v>12223</v>
      </c>
      <c r="E598" s="9" t="n">
        <v>12117</v>
      </c>
      <c r="F598" s="9">
        <f>D598-E598</f>
        <v/>
      </c>
      <c r="G598" s="8" t="inlineStr">
        <is>
          <t>Long</t>
        </is>
      </c>
      <c r="H598" s="9" t="n">
        <v>12223</v>
      </c>
      <c r="I598" s="9" t="n">
        <v>12326.25</v>
      </c>
      <c r="J598" s="9">
        <f>IF(G598="Long",I598-H598,IF(G598="Short",H598-I598,0))</f>
        <v/>
      </c>
      <c r="K598" s="10" t="n">
        <v>80.42</v>
      </c>
      <c r="L598" s="8" t="inlineStr">
        <is>
          <t>EOD-Close</t>
        </is>
      </c>
      <c r="M598" s="9">
        <f>M597+J598</f>
        <v/>
      </c>
    </row>
    <row r="599">
      <c r="A599" s="2" t="inlineStr">
        <is>
          <t>2022-09-09</t>
        </is>
      </c>
      <c r="B599" s="2" t="inlineStr">
        <is>
          <t>Friday</t>
        </is>
      </c>
      <c r="C599" s="2" t="inlineStr">
        <is>
          <t>MNQU2</t>
        </is>
      </c>
      <c r="D599" s="3" t="n">
        <v>12481</v>
      </c>
      <c r="E599" s="3" t="n">
        <v>12415.75</v>
      </c>
      <c r="F599" s="3">
        <f>D599-E599</f>
        <v/>
      </c>
      <c r="G599" s="2" t="inlineStr">
        <is>
          <t>Long</t>
        </is>
      </c>
      <c r="H599" s="3" t="n">
        <v>12481</v>
      </c>
      <c r="I599" s="3" t="n">
        <v>12546.25</v>
      </c>
      <c r="J599" s="3">
        <f>IF(G599="Long",I599-H599,IF(G599="Short",H599-I599,0))</f>
        <v/>
      </c>
      <c r="K599" s="4" t="n">
        <v>0</v>
      </c>
      <c r="L599" s="2" t="inlineStr">
        <is>
          <t>Win</t>
        </is>
      </c>
      <c r="M599" s="3">
        <f>M598+J599</f>
        <v/>
      </c>
    </row>
    <row r="600">
      <c r="A600" s="8" t="inlineStr">
        <is>
          <t>2022-09-12</t>
        </is>
      </c>
      <c r="B600" s="8" t="inlineStr">
        <is>
          <t>Monday</t>
        </is>
      </c>
      <c r="C600" s="8" t="inlineStr">
        <is>
          <t>MNQZ2</t>
        </is>
      </c>
      <c r="D600" s="9" t="n">
        <v>12779.25</v>
      </c>
      <c r="E600" s="9" t="n">
        <v>12719.75</v>
      </c>
      <c r="F600" s="9">
        <f>D600-E600</f>
        <v/>
      </c>
      <c r="G600" s="8" t="inlineStr">
        <is>
          <t>Long</t>
        </is>
      </c>
      <c r="H600" s="9" t="n">
        <v>12779.25</v>
      </c>
      <c r="I600" s="9" t="n">
        <v>12825</v>
      </c>
      <c r="J600" s="9">
        <f>IF(G600="Long",I600-H600,IF(G600="Short",H600-I600,0))</f>
        <v/>
      </c>
      <c r="K600" s="10" t="n">
        <v>96.22</v>
      </c>
      <c r="L600" s="8" t="inlineStr">
        <is>
          <t>EOD-Close</t>
        </is>
      </c>
      <c r="M600" s="9">
        <f>M599+J600</f>
        <v/>
      </c>
    </row>
    <row r="601">
      <c r="A601" s="2" t="inlineStr">
        <is>
          <t>2022-09-13</t>
        </is>
      </c>
      <c r="B601" s="2" t="inlineStr">
        <is>
          <t>Tuesday</t>
        </is>
      </c>
      <c r="C601" s="2" t="inlineStr">
        <is>
          <t>MNQZ2</t>
        </is>
      </c>
      <c r="D601" s="3" t="n">
        <v>12508.25</v>
      </c>
      <c r="E601" s="3" t="n">
        <v>12403.5</v>
      </c>
      <c r="F601" s="3">
        <f>D601-E601</f>
        <v/>
      </c>
      <c r="G601" s="2" t="inlineStr">
        <is>
          <t>Short</t>
        </is>
      </c>
      <c r="H601" s="3" t="n">
        <v>12403.5</v>
      </c>
      <c r="I601" s="3" t="n">
        <v>12298.75</v>
      </c>
      <c r="J601" s="3">
        <f>IF(G601="Long",I601-H601,IF(G601="Short",H601-I601,0))</f>
        <v/>
      </c>
      <c r="K601" s="4" t="n">
        <v>8.109999999999999</v>
      </c>
      <c r="L601" s="2" t="inlineStr">
        <is>
          <t>Win</t>
        </is>
      </c>
      <c r="M601" s="3">
        <f>M600+J601</f>
        <v/>
      </c>
    </row>
    <row r="602">
      <c r="A602" s="5" t="inlineStr">
        <is>
          <t>2022-09-14</t>
        </is>
      </c>
      <c r="B602" s="5" t="inlineStr">
        <is>
          <t>Wednesday</t>
        </is>
      </c>
      <c r="C602" s="5" t="inlineStr">
        <is>
          <t>MNQZ2</t>
        </is>
      </c>
      <c r="D602" s="6" t="n">
        <v>12185.5</v>
      </c>
      <c r="E602" s="6" t="n">
        <v>12098.25</v>
      </c>
      <c r="F602" s="6">
        <f>D602-E602</f>
        <v/>
      </c>
      <c r="G602" s="5" t="inlineStr">
        <is>
          <t>Long</t>
        </is>
      </c>
      <c r="H602" s="6" t="n">
        <v>12185.5</v>
      </c>
      <c r="I602" s="6" t="n">
        <v>12098.25</v>
      </c>
      <c r="J602" s="6">
        <f>IF(G602="Long",I602-H602,IF(G602="Short",H602-I602,0))</f>
        <v/>
      </c>
      <c r="K602" s="7" t="n">
        <v>100</v>
      </c>
      <c r="L602" s="5" t="inlineStr">
        <is>
          <t>Loss</t>
        </is>
      </c>
      <c r="M602" s="6">
        <f>M601+J602</f>
        <v/>
      </c>
    </row>
    <row r="603">
      <c r="A603" s="5" t="inlineStr">
        <is>
          <t>2022-09-14</t>
        </is>
      </c>
      <c r="B603" s="5" t="inlineStr">
        <is>
          <t>Wednesday</t>
        </is>
      </c>
      <c r="C603" s="5" t="inlineStr">
        <is>
          <t>MNQZ2</t>
        </is>
      </c>
      <c r="D603" s="6" t="n">
        <v>12185.5</v>
      </c>
      <c r="E603" s="6" t="n">
        <v>12098.25</v>
      </c>
      <c r="F603" s="6">
        <f>D603-E603</f>
        <v/>
      </c>
      <c r="G603" s="5" t="inlineStr">
        <is>
          <t>Long</t>
        </is>
      </c>
      <c r="H603" s="6" t="n">
        <v>12185.5</v>
      </c>
      <c r="I603" s="6" t="n">
        <v>12098.25</v>
      </c>
      <c r="J603" s="6">
        <f>IF(G603="Long",I603-H603,IF(G603="Short",H603-I603,0))</f>
        <v/>
      </c>
      <c r="K603" s="7" t="n">
        <v>100</v>
      </c>
      <c r="L603" s="5" t="inlineStr">
        <is>
          <t>Loss</t>
        </is>
      </c>
      <c r="M603" s="6">
        <f>M602+J603</f>
        <v/>
      </c>
    </row>
    <row r="604">
      <c r="A604" s="5" t="inlineStr">
        <is>
          <t>2022-09-15</t>
        </is>
      </c>
      <c r="B604" s="5" t="inlineStr">
        <is>
          <t>Thursday</t>
        </is>
      </c>
      <c r="C604" s="5" t="inlineStr">
        <is>
          <t>MNQZ2</t>
        </is>
      </c>
      <c r="D604" s="6" t="n">
        <v>12178.75</v>
      </c>
      <c r="E604" s="6" t="n">
        <v>12110.5</v>
      </c>
      <c r="F604" s="6">
        <f>D604-E604</f>
        <v/>
      </c>
      <c r="G604" s="5" t="inlineStr">
        <is>
          <t>Long</t>
        </is>
      </c>
      <c r="H604" s="6" t="n">
        <v>12178.75</v>
      </c>
      <c r="I604" s="6" t="n">
        <v>12110.5</v>
      </c>
      <c r="J604" s="6">
        <f>IF(G604="Long",I604-H604,IF(G604="Short",H604-I604,0))</f>
        <v/>
      </c>
      <c r="K604" s="7" t="n">
        <v>100</v>
      </c>
      <c r="L604" s="5" t="inlineStr">
        <is>
          <t>Loss</t>
        </is>
      </c>
      <c r="M604" s="6">
        <f>M603+J604</f>
        <v/>
      </c>
    </row>
    <row r="605">
      <c r="A605" s="2" t="inlineStr">
        <is>
          <t>2022-09-15</t>
        </is>
      </c>
      <c r="B605" s="2" t="inlineStr">
        <is>
          <t>Thursday</t>
        </is>
      </c>
      <c r="C605" s="2" t="inlineStr">
        <is>
          <t>MNQZ2</t>
        </is>
      </c>
      <c r="D605" s="3" t="n">
        <v>12178.75</v>
      </c>
      <c r="E605" s="3" t="n">
        <v>12110.5</v>
      </c>
      <c r="F605" s="3">
        <f>D605-E605</f>
        <v/>
      </c>
      <c r="G605" s="2" t="inlineStr">
        <is>
          <t>Short</t>
        </is>
      </c>
      <c r="H605" s="3" t="n">
        <v>12110.5</v>
      </c>
      <c r="I605" s="3" t="n">
        <v>12042.25</v>
      </c>
      <c r="J605" s="3">
        <f>IF(G605="Long",I605-H605,IF(G605="Short",H605-I605,0))</f>
        <v/>
      </c>
      <c r="K605" s="4" t="n">
        <v>37</v>
      </c>
      <c r="L605" s="2" t="inlineStr">
        <is>
          <t>Win</t>
        </is>
      </c>
      <c r="M605" s="3">
        <f>M604+J605</f>
        <v/>
      </c>
    </row>
    <row r="606">
      <c r="A606" s="5" t="inlineStr">
        <is>
          <t>2022-09-16</t>
        </is>
      </c>
      <c r="B606" s="5" t="inlineStr">
        <is>
          <t>Friday</t>
        </is>
      </c>
      <c r="C606" s="5" t="inlineStr">
        <is>
          <t>MNQZ2</t>
        </is>
      </c>
      <c r="D606" s="6" t="n">
        <v>11871.5</v>
      </c>
      <c r="E606" s="6" t="n">
        <v>11802.25</v>
      </c>
      <c r="F606" s="6">
        <f>D606-E606</f>
        <v/>
      </c>
      <c r="G606" s="5" t="inlineStr">
        <is>
          <t>Short</t>
        </is>
      </c>
      <c r="H606" s="6" t="n">
        <v>11802.25</v>
      </c>
      <c r="I606" s="6" t="n">
        <v>11871.5</v>
      </c>
      <c r="J606" s="6">
        <f>IF(G606="Long",I606-H606,IF(G606="Short",H606-I606,0))</f>
        <v/>
      </c>
      <c r="K606" s="7" t="n">
        <v>100</v>
      </c>
      <c r="L606" s="5" t="inlineStr">
        <is>
          <t>Loss</t>
        </is>
      </c>
      <c r="M606" s="6">
        <f>M605+J606</f>
        <v/>
      </c>
    </row>
    <row r="607">
      <c r="A607" s="5" t="inlineStr">
        <is>
          <t>2022-09-16</t>
        </is>
      </c>
      <c r="B607" s="5" t="inlineStr">
        <is>
          <t>Friday</t>
        </is>
      </c>
      <c r="C607" s="5" t="inlineStr">
        <is>
          <t>MNQZ2</t>
        </is>
      </c>
      <c r="D607" s="6" t="n">
        <v>11871.5</v>
      </c>
      <c r="E607" s="6" t="n">
        <v>11802.25</v>
      </c>
      <c r="F607" s="6">
        <f>D607-E607</f>
        <v/>
      </c>
      <c r="G607" s="5" t="inlineStr">
        <is>
          <t>Long</t>
        </is>
      </c>
      <c r="H607" s="6" t="n">
        <v>11871.5</v>
      </c>
      <c r="I607" s="6" t="n">
        <v>11802.25</v>
      </c>
      <c r="J607" s="6">
        <f>IF(G607="Long",I607-H607,IF(G607="Short",H607-I607,0))</f>
        <v/>
      </c>
      <c r="K607" s="7" t="n">
        <v>100</v>
      </c>
      <c r="L607" s="5" t="inlineStr">
        <is>
          <t>Loss</t>
        </is>
      </c>
      <c r="M607" s="6">
        <f>M606+J607</f>
        <v/>
      </c>
    </row>
    <row r="608">
      <c r="A608" s="2" t="inlineStr">
        <is>
          <t>2022-09-19</t>
        </is>
      </c>
      <c r="B608" s="2" t="inlineStr">
        <is>
          <t>Monday</t>
        </is>
      </c>
      <c r="C608" s="2" t="inlineStr">
        <is>
          <t>MNQZ2</t>
        </is>
      </c>
      <c r="D608" s="3" t="n">
        <v>11905.25</v>
      </c>
      <c r="E608" s="3" t="n">
        <v>11815.5</v>
      </c>
      <c r="F608" s="3">
        <f>D608-E608</f>
        <v/>
      </c>
      <c r="G608" s="2" t="inlineStr">
        <is>
          <t>Long</t>
        </is>
      </c>
      <c r="H608" s="3" t="n">
        <v>11905.25</v>
      </c>
      <c r="I608" s="3" t="n">
        <v>11995</v>
      </c>
      <c r="J608" s="3">
        <f>IF(G608="Long",I608-H608,IF(G608="Short",H608-I608,0))</f>
        <v/>
      </c>
      <c r="K608" s="4" t="n">
        <v>63.51</v>
      </c>
      <c r="L608" s="2" t="inlineStr">
        <is>
          <t>Win</t>
        </is>
      </c>
      <c r="M608" s="3">
        <f>M607+J608</f>
        <v/>
      </c>
    </row>
    <row r="609">
      <c r="A609" s="2" t="inlineStr">
        <is>
          <t>2022-09-20</t>
        </is>
      </c>
      <c r="B609" s="2" t="inlineStr">
        <is>
          <t>Tuesday</t>
        </is>
      </c>
      <c r="C609" s="2" t="inlineStr">
        <is>
          <t>MNQZ2</t>
        </is>
      </c>
      <c r="D609" s="3" t="n">
        <v>11947.25</v>
      </c>
      <c r="E609" s="3" t="n">
        <v>11886.5</v>
      </c>
      <c r="F609" s="3">
        <f>D609-E609</f>
        <v/>
      </c>
      <c r="G609" s="2" t="inlineStr">
        <is>
          <t>Long</t>
        </is>
      </c>
      <c r="H609" s="3" t="n">
        <v>11947.25</v>
      </c>
      <c r="I609" s="3" t="n">
        <v>12008</v>
      </c>
      <c r="J609" s="3">
        <f>IF(G609="Long",I609-H609,IF(G609="Short",H609-I609,0))</f>
        <v/>
      </c>
      <c r="K609" s="4" t="n">
        <v>11.11</v>
      </c>
      <c r="L609" s="2" t="inlineStr">
        <is>
          <t>Win</t>
        </is>
      </c>
      <c r="M609" s="3">
        <f>M608+J609</f>
        <v/>
      </c>
    </row>
    <row r="610">
      <c r="A610" s="5" t="inlineStr">
        <is>
          <t>2022-09-20</t>
        </is>
      </c>
      <c r="B610" s="5" t="inlineStr">
        <is>
          <t>Tuesday</t>
        </is>
      </c>
      <c r="C610" s="5" t="inlineStr">
        <is>
          <t>MNQZ2</t>
        </is>
      </c>
      <c r="D610" s="6" t="n">
        <v>11947.25</v>
      </c>
      <c r="E610" s="6" t="n">
        <v>11886.5</v>
      </c>
      <c r="F610" s="6">
        <f>D610-E610</f>
        <v/>
      </c>
      <c r="G610" s="5" t="inlineStr">
        <is>
          <t>Long</t>
        </is>
      </c>
      <c r="H610" s="6" t="n">
        <v>11947.25</v>
      </c>
      <c r="I610" s="6" t="n">
        <v>11886.5</v>
      </c>
      <c r="J610" s="6">
        <f>IF(G610="Long",I610-H610,IF(G610="Short",H610-I610,0))</f>
        <v/>
      </c>
      <c r="K610" s="7" t="n">
        <v>100</v>
      </c>
      <c r="L610" s="5" t="inlineStr">
        <is>
          <t>Loss</t>
        </is>
      </c>
      <c r="M610" s="6">
        <f>M609+J610</f>
        <v/>
      </c>
    </row>
    <row r="611">
      <c r="A611" s="2" t="inlineStr">
        <is>
          <t>2022-09-21</t>
        </is>
      </c>
      <c r="B611" s="2" t="inlineStr">
        <is>
          <t>Wednesday</t>
        </is>
      </c>
      <c r="C611" s="2" t="inlineStr">
        <is>
          <t>MNQZ2</t>
        </is>
      </c>
      <c r="D611" s="3" t="n">
        <v>11977</v>
      </c>
      <c r="E611" s="3" t="n">
        <v>11938.25</v>
      </c>
      <c r="F611" s="3">
        <f>D611-E611</f>
        <v/>
      </c>
      <c r="G611" s="2" t="inlineStr">
        <is>
          <t>Long</t>
        </is>
      </c>
      <c r="H611" s="3" t="n">
        <v>11977</v>
      </c>
      <c r="I611" s="3" t="n">
        <v>12015.75</v>
      </c>
      <c r="J611" s="3">
        <f>IF(G611="Long",I611-H611,IF(G611="Short",H611-I611,0))</f>
        <v/>
      </c>
      <c r="K611" s="4" t="n">
        <v>99.34999999999999</v>
      </c>
      <c r="L611" s="2" t="inlineStr">
        <is>
          <t>Win</t>
        </is>
      </c>
      <c r="M611" s="3">
        <f>M610+J611</f>
        <v/>
      </c>
    </row>
    <row r="612">
      <c r="A612" s="5" t="inlineStr">
        <is>
          <t>2022-09-21</t>
        </is>
      </c>
      <c r="B612" s="5" t="inlineStr">
        <is>
          <t>Wednesday</t>
        </is>
      </c>
      <c r="C612" s="5" t="inlineStr">
        <is>
          <t>MNQZ2</t>
        </is>
      </c>
      <c r="D612" s="6" t="n">
        <v>11977</v>
      </c>
      <c r="E612" s="6" t="n">
        <v>11938.25</v>
      </c>
      <c r="F612" s="6">
        <f>D612-E612</f>
        <v/>
      </c>
      <c r="G612" s="5" t="inlineStr">
        <is>
          <t>Long</t>
        </is>
      </c>
      <c r="H612" s="6" t="n">
        <v>11977</v>
      </c>
      <c r="I612" s="6" t="n">
        <v>11938.25</v>
      </c>
      <c r="J612" s="6">
        <f>IF(G612="Long",I612-H612,IF(G612="Short",H612-I612,0))</f>
        <v/>
      </c>
      <c r="K612" s="7" t="n">
        <v>100</v>
      </c>
      <c r="L612" s="5" t="inlineStr">
        <is>
          <t>Loss</t>
        </is>
      </c>
      <c r="M612" s="6">
        <f>M611+J612</f>
        <v/>
      </c>
    </row>
    <row r="613">
      <c r="A613" s="5" t="inlineStr">
        <is>
          <t>2022-09-22</t>
        </is>
      </c>
      <c r="B613" s="5" t="inlineStr">
        <is>
          <t>Thursday</t>
        </is>
      </c>
      <c r="C613" s="5" t="inlineStr">
        <is>
          <t>MNQZ2</t>
        </is>
      </c>
      <c r="D613" s="6" t="n">
        <v>11682.25</v>
      </c>
      <c r="E613" s="6" t="n">
        <v>11583.75</v>
      </c>
      <c r="F613" s="6">
        <f>D613-E613</f>
        <v/>
      </c>
      <c r="G613" s="5" t="inlineStr">
        <is>
          <t>Short</t>
        </is>
      </c>
      <c r="H613" s="6" t="n">
        <v>11583.75</v>
      </c>
      <c r="I613" s="6" t="n">
        <v>11682.25</v>
      </c>
      <c r="J613" s="6">
        <f>IF(G613="Long",I613-H613,IF(G613="Short",H613-I613,0))</f>
        <v/>
      </c>
      <c r="K613" s="7" t="n">
        <v>100</v>
      </c>
      <c r="L613" s="5" t="inlineStr">
        <is>
          <t>Loss</t>
        </is>
      </c>
      <c r="M613" s="6">
        <f>M612+J613</f>
        <v/>
      </c>
    </row>
    <row r="614">
      <c r="A614" s="8" t="inlineStr">
        <is>
          <t>2022-09-22</t>
        </is>
      </c>
      <c r="B614" s="8" t="inlineStr">
        <is>
          <t>Thursday</t>
        </is>
      </c>
      <c r="C614" s="8" t="inlineStr">
        <is>
          <t>MNQZ2</t>
        </is>
      </c>
      <c r="D614" s="9" t="n">
        <v>11682.25</v>
      </c>
      <c r="E614" s="9" t="n">
        <v>11583.75</v>
      </c>
      <c r="F614" s="9">
        <f>D614-E614</f>
        <v/>
      </c>
      <c r="G614" s="8" t="inlineStr">
        <is>
          <t>Short</t>
        </is>
      </c>
      <c r="H614" s="9" t="n">
        <v>11583.75</v>
      </c>
      <c r="I614" s="9" t="n">
        <v>11562.75</v>
      </c>
      <c r="J614" s="9">
        <f>IF(G614="Long",I614-H614,IF(G614="Short",H614-I614,0))</f>
        <v/>
      </c>
      <c r="K614" s="10" t="n">
        <v>0</v>
      </c>
      <c r="L614" s="8" t="inlineStr">
        <is>
          <t>EOD-Close</t>
        </is>
      </c>
      <c r="M614" s="9">
        <f>M613+J614</f>
        <v/>
      </c>
    </row>
    <row r="615">
      <c r="A615" s="2" t="inlineStr">
        <is>
          <t>2022-09-23</t>
        </is>
      </c>
      <c r="B615" s="2" t="inlineStr">
        <is>
          <t>Friday</t>
        </is>
      </c>
      <c r="C615" s="2" t="inlineStr">
        <is>
          <t>MNQZ2</t>
        </is>
      </c>
      <c r="D615" s="3" t="n">
        <v>11471.25</v>
      </c>
      <c r="E615" s="3" t="n">
        <v>11384.5</v>
      </c>
      <c r="F615" s="3">
        <f>D615-E615</f>
        <v/>
      </c>
      <c r="G615" s="2" t="inlineStr">
        <is>
          <t>Short</t>
        </is>
      </c>
      <c r="H615" s="3" t="n">
        <v>11384.5</v>
      </c>
      <c r="I615" s="3" t="n">
        <v>11297.75</v>
      </c>
      <c r="J615" s="3">
        <f>IF(G615="Long",I615-H615,IF(G615="Short",H615-I615,0))</f>
        <v/>
      </c>
      <c r="K615" s="4" t="n">
        <v>48.41</v>
      </c>
      <c r="L615" s="2" t="inlineStr">
        <is>
          <t>Win</t>
        </is>
      </c>
      <c r="M615" s="3">
        <f>M614+J615</f>
        <v/>
      </c>
    </row>
    <row r="616">
      <c r="A616" s="8" t="inlineStr">
        <is>
          <t>2022-09-23</t>
        </is>
      </c>
      <c r="B616" s="8" t="inlineStr">
        <is>
          <t>Friday</t>
        </is>
      </c>
      <c r="C616" s="8" t="inlineStr">
        <is>
          <t>MNQZ2</t>
        </is>
      </c>
      <c r="D616" s="9" t="n">
        <v>11471.25</v>
      </c>
      <c r="E616" s="9" t="n">
        <v>11384.5</v>
      </c>
      <c r="F616" s="9">
        <f>D616-E616</f>
        <v/>
      </c>
      <c r="G616" s="8" t="inlineStr">
        <is>
          <t>Short</t>
        </is>
      </c>
      <c r="H616" s="9" t="n">
        <v>11384.5</v>
      </c>
      <c r="I616" s="9" t="n">
        <v>11374</v>
      </c>
      <c r="J616" s="9">
        <f>IF(G616="Long",I616-H616,IF(G616="Short",H616-I616,0))</f>
        <v/>
      </c>
      <c r="K616" s="10" t="n">
        <v>1.15</v>
      </c>
      <c r="L616" s="8" t="inlineStr">
        <is>
          <t>EOD-Close</t>
        </is>
      </c>
      <c r="M616" s="9">
        <f>M615+J616</f>
        <v/>
      </c>
    </row>
    <row r="617">
      <c r="A617" s="5" t="inlineStr">
        <is>
          <t>2022-09-26</t>
        </is>
      </c>
      <c r="B617" s="5" t="inlineStr">
        <is>
          <t>Monday</t>
        </is>
      </c>
      <c r="C617" s="5" t="inlineStr">
        <is>
          <t>MNQZ2</t>
        </is>
      </c>
      <c r="D617" s="6" t="n">
        <v>11461.5</v>
      </c>
      <c r="E617" s="6" t="n">
        <v>11342.5</v>
      </c>
      <c r="F617" s="6">
        <f>D617-E617</f>
        <v/>
      </c>
      <c r="G617" s="5" t="inlineStr">
        <is>
          <t>Long</t>
        </is>
      </c>
      <c r="H617" s="6" t="n">
        <v>11461.5</v>
      </c>
      <c r="I617" s="6" t="n">
        <v>11342.5</v>
      </c>
      <c r="J617" s="6">
        <f>IF(G617="Long",I617-H617,IF(G617="Short",H617-I617,0))</f>
        <v/>
      </c>
      <c r="K617" s="7" t="n">
        <v>100</v>
      </c>
      <c r="L617" s="5" t="inlineStr">
        <is>
          <t>Loss</t>
        </is>
      </c>
      <c r="M617" s="6">
        <f>M616+J617</f>
        <v/>
      </c>
    </row>
    <row r="618">
      <c r="A618" s="8" t="inlineStr">
        <is>
          <t>2022-09-26</t>
        </is>
      </c>
      <c r="B618" s="8" t="inlineStr">
        <is>
          <t>Monday</t>
        </is>
      </c>
      <c r="C618" s="8" t="inlineStr">
        <is>
          <t>MNQZ2</t>
        </is>
      </c>
      <c r="D618" s="9" t="n">
        <v>11461.5</v>
      </c>
      <c r="E618" s="9" t="n">
        <v>11342.5</v>
      </c>
      <c r="F618" s="9">
        <f>D618-E618</f>
        <v/>
      </c>
      <c r="G618" s="8" t="inlineStr">
        <is>
          <t>Short</t>
        </is>
      </c>
      <c r="H618" s="9" t="n">
        <v>11342.5</v>
      </c>
      <c r="I618" s="9" t="n">
        <v>11319.75</v>
      </c>
      <c r="J618" s="9">
        <f>IF(G618="Long",I618-H618,IF(G618="Short",H618-I618,0))</f>
        <v/>
      </c>
      <c r="K618" s="10" t="n">
        <v>54.62</v>
      </c>
      <c r="L618" s="8" t="inlineStr">
        <is>
          <t>EOD-Close</t>
        </is>
      </c>
      <c r="M618" s="9">
        <f>M617+J618</f>
        <v/>
      </c>
    </row>
    <row r="619">
      <c r="A619" s="2" t="inlineStr">
        <is>
          <t>2022-09-27</t>
        </is>
      </c>
      <c r="B619" s="2" t="inlineStr">
        <is>
          <t>Tuesday</t>
        </is>
      </c>
      <c r="C619" s="2" t="inlineStr">
        <is>
          <t>MNQZ2</t>
        </is>
      </c>
      <c r="D619" s="3" t="n">
        <v>11568</v>
      </c>
      <c r="E619" s="3" t="n">
        <v>11461</v>
      </c>
      <c r="F619" s="3">
        <f>D619-E619</f>
        <v/>
      </c>
      <c r="G619" s="2" t="inlineStr">
        <is>
          <t>Short</t>
        </is>
      </c>
      <c r="H619" s="3" t="n">
        <v>11461</v>
      </c>
      <c r="I619" s="3" t="n">
        <v>11354</v>
      </c>
      <c r="J619" s="3">
        <f>IF(G619="Long",I619-H619,IF(G619="Short",H619-I619,0))</f>
        <v/>
      </c>
      <c r="K619" s="4" t="n">
        <v>40.19</v>
      </c>
      <c r="L619" s="2" t="inlineStr">
        <is>
          <t>Win</t>
        </is>
      </c>
      <c r="M619" s="3">
        <f>M618+J619</f>
        <v/>
      </c>
    </row>
    <row r="620">
      <c r="A620" s="2" t="inlineStr">
        <is>
          <t>2022-09-28</t>
        </is>
      </c>
      <c r="B620" s="2" t="inlineStr">
        <is>
          <t>Wednesday</t>
        </is>
      </c>
      <c r="C620" s="2" t="inlineStr">
        <is>
          <t>MNQZ2</t>
        </is>
      </c>
      <c r="D620" s="3" t="n">
        <v>11343.75</v>
      </c>
      <c r="E620" s="3" t="n">
        <v>11266</v>
      </c>
      <c r="F620" s="3">
        <f>D620-E620</f>
        <v/>
      </c>
      <c r="G620" s="2" t="inlineStr">
        <is>
          <t>Long</t>
        </is>
      </c>
      <c r="H620" s="3" t="n">
        <v>11343.75</v>
      </c>
      <c r="I620" s="3" t="n">
        <v>11421.5</v>
      </c>
      <c r="J620" s="3">
        <f>IF(G620="Long",I620-H620,IF(G620="Short",H620-I620,0))</f>
        <v/>
      </c>
      <c r="K620" s="4" t="n">
        <v>0</v>
      </c>
      <c r="L620" s="2" t="inlineStr">
        <is>
          <t>Win</t>
        </is>
      </c>
      <c r="M620" s="3">
        <f>M619+J620</f>
        <v/>
      </c>
    </row>
    <row r="621">
      <c r="A621" s="2" t="inlineStr">
        <is>
          <t>2022-09-29</t>
        </is>
      </c>
      <c r="B621" s="2" t="inlineStr">
        <is>
          <t>Thursday</t>
        </is>
      </c>
      <c r="C621" s="2" t="inlineStr">
        <is>
          <t>MNQZ2</t>
        </is>
      </c>
      <c r="D621" s="3" t="n">
        <v>11401.75</v>
      </c>
      <c r="E621" s="3" t="n">
        <v>11263.75</v>
      </c>
      <c r="F621" s="3">
        <f>D621-E621</f>
        <v/>
      </c>
      <c r="G621" s="2" t="inlineStr">
        <is>
          <t>Short</t>
        </is>
      </c>
      <c r="H621" s="3" t="n">
        <v>11263.75</v>
      </c>
      <c r="I621" s="3" t="n">
        <v>11125.75</v>
      </c>
      <c r="J621" s="3">
        <f>IF(G621="Long",I621-H621,IF(G621="Short",H621-I621,0))</f>
        <v/>
      </c>
      <c r="K621" s="4" t="n">
        <v>17.39</v>
      </c>
      <c r="L621" s="2" t="inlineStr">
        <is>
          <t>Win</t>
        </is>
      </c>
      <c r="M621" s="3">
        <f>M620+J621</f>
        <v/>
      </c>
    </row>
    <row r="622">
      <c r="A622" s="2" t="inlineStr">
        <is>
          <t>2022-09-30</t>
        </is>
      </c>
      <c r="B622" s="2" t="inlineStr">
        <is>
          <t>Friday</t>
        </is>
      </c>
      <c r="C622" s="2" t="inlineStr">
        <is>
          <t>MNQZ2</t>
        </is>
      </c>
      <c r="D622" s="3" t="n">
        <v>11245.5</v>
      </c>
      <c r="E622" s="3" t="n">
        <v>11143</v>
      </c>
      <c r="F622" s="3">
        <f>D622-E622</f>
        <v/>
      </c>
      <c r="G622" s="2" t="inlineStr">
        <is>
          <t>Long</t>
        </is>
      </c>
      <c r="H622" s="3" t="n">
        <v>11245.5</v>
      </c>
      <c r="I622" s="3" t="n">
        <v>11348</v>
      </c>
      <c r="J622" s="3">
        <f>IF(G622="Long",I622-H622,IF(G622="Short",H622-I622,0))</f>
        <v/>
      </c>
      <c r="K622" s="4" t="n">
        <v>12.93</v>
      </c>
      <c r="L622" s="2" t="inlineStr">
        <is>
          <t>Win</t>
        </is>
      </c>
      <c r="M622" s="3">
        <f>M621+J622</f>
        <v/>
      </c>
    </row>
    <row r="623">
      <c r="A623" s="5" t="inlineStr">
        <is>
          <t>2022-09-30</t>
        </is>
      </c>
      <c r="B623" s="5" t="inlineStr">
        <is>
          <t>Friday</t>
        </is>
      </c>
      <c r="C623" s="5" t="inlineStr">
        <is>
          <t>MNQZ2</t>
        </is>
      </c>
      <c r="D623" s="6" t="n">
        <v>11245.5</v>
      </c>
      <c r="E623" s="6" t="n">
        <v>11143</v>
      </c>
      <c r="F623" s="6">
        <f>D623-E623</f>
        <v/>
      </c>
      <c r="G623" s="5" t="inlineStr">
        <is>
          <t>Long</t>
        </is>
      </c>
      <c r="H623" s="6" t="n">
        <v>11245.5</v>
      </c>
      <c r="I623" s="6" t="n">
        <v>11143</v>
      </c>
      <c r="J623" s="6">
        <f>IF(G623="Long",I623-H623,IF(G623="Short",H623-I623,0))</f>
        <v/>
      </c>
      <c r="K623" s="7" t="n">
        <v>100</v>
      </c>
      <c r="L623" s="5" t="inlineStr">
        <is>
          <t>Loss</t>
        </is>
      </c>
      <c r="M623" s="6">
        <f>M622+J623</f>
        <v/>
      </c>
    </row>
    <row r="624">
      <c r="A624" s="2" t="inlineStr">
        <is>
          <t>2022-10-03</t>
        </is>
      </c>
      <c r="B624" s="2" t="inlineStr">
        <is>
          <t>Monday</t>
        </is>
      </c>
      <c r="C624" s="2" t="inlineStr">
        <is>
          <t>MNQZ2</t>
        </is>
      </c>
      <c r="D624" s="3" t="n">
        <v>11127.5</v>
      </c>
      <c r="E624" s="3" t="n">
        <v>11040</v>
      </c>
      <c r="F624" s="3">
        <f>D624-E624</f>
        <v/>
      </c>
      <c r="G624" s="2" t="inlineStr">
        <is>
          <t>Long</t>
        </is>
      </c>
      <c r="H624" s="3" t="n">
        <v>11127.5</v>
      </c>
      <c r="I624" s="3" t="n">
        <v>11215</v>
      </c>
      <c r="J624" s="3">
        <f>IF(G624="Long",I624-H624,IF(G624="Short",H624-I624,0))</f>
        <v/>
      </c>
      <c r="K624" s="4" t="n">
        <v>0</v>
      </c>
      <c r="L624" s="2" t="inlineStr">
        <is>
          <t>Win</t>
        </is>
      </c>
      <c r="M624" s="3">
        <f>M623+J624</f>
        <v/>
      </c>
    </row>
    <row r="625">
      <c r="A625" s="2" t="inlineStr">
        <is>
          <t>2022-10-04</t>
        </is>
      </c>
      <c r="B625" s="2" t="inlineStr">
        <is>
          <t>Tuesday</t>
        </is>
      </c>
      <c r="C625" s="2" t="inlineStr">
        <is>
          <t>MNQZ2</t>
        </is>
      </c>
      <c r="D625" s="3" t="n">
        <v>11574.5</v>
      </c>
      <c r="E625" s="3" t="n">
        <v>11514.25</v>
      </c>
      <c r="F625" s="3">
        <f>D625-E625</f>
        <v/>
      </c>
      <c r="G625" s="2" t="inlineStr">
        <is>
          <t>Long</t>
        </is>
      </c>
      <c r="H625" s="3" t="n">
        <v>11574.5</v>
      </c>
      <c r="I625" s="3" t="n">
        <v>11634.75</v>
      </c>
      <c r="J625" s="3">
        <f>IF(G625="Long",I625-H625,IF(G625="Short",H625-I625,0))</f>
        <v/>
      </c>
      <c r="K625" s="4" t="n">
        <v>0</v>
      </c>
      <c r="L625" s="2" t="inlineStr">
        <is>
          <t>Win</t>
        </is>
      </c>
      <c r="M625" s="3">
        <f>M624+J625</f>
        <v/>
      </c>
    </row>
    <row r="626">
      <c r="A626" s="2" t="inlineStr">
        <is>
          <t>2022-10-04</t>
        </is>
      </c>
      <c r="B626" s="2" t="inlineStr">
        <is>
          <t>Tuesday</t>
        </is>
      </c>
      <c r="C626" s="2" t="inlineStr">
        <is>
          <t>MNQZ2</t>
        </is>
      </c>
      <c r="D626" s="3" t="n">
        <v>11574.5</v>
      </c>
      <c r="E626" s="3" t="n">
        <v>11514.25</v>
      </c>
      <c r="F626" s="3">
        <f>D626-E626</f>
        <v/>
      </c>
      <c r="G626" s="2" t="inlineStr">
        <is>
          <t>Long</t>
        </is>
      </c>
      <c r="H626" s="3" t="n">
        <v>11574.5</v>
      </c>
      <c r="I626" s="3" t="n">
        <v>11634.75</v>
      </c>
      <c r="J626" s="3">
        <f>IF(G626="Long",I626-H626,IF(G626="Short",H626-I626,0))</f>
        <v/>
      </c>
      <c r="K626" s="4" t="n">
        <v>83.81999999999999</v>
      </c>
      <c r="L626" s="2" t="inlineStr">
        <is>
          <t>Win</t>
        </is>
      </c>
      <c r="M626" s="3">
        <f>M625+J626</f>
        <v/>
      </c>
    </row>
    <row r="627">
      <c r="A627" s="2" t="inlineStr">
        <is>
          <t>2022-10-05</t>
        </is>
      </c>
      <c r="B627" s="2" t="inlineStr">
        <is>
          <t>Wednesday</t>
        </is>
      </c>
      <c r="C627" s="2" t="inlineStr">
        <is>
          <t>MNQZ2</t>
        </is>
      </c>
      <c r="D627" s="3" t="n">
        <v>11539</v>
      </c>
      <c r="E627" s="3" t="n">
        <v>11464.25</v>
      </c>
      <c r="F627" s="3">
        <f>D627-E627</f>
        <v/>
      </c>
      <c r="G627" s="2" t="inlineStr">
        <is>
          <t>Short</t>
        </is>
      </c>
      <c r="H627" s="3" t="n">
        <v>11464.25</v>
      </c>
      <c r="I627" s="3" t="n">
        <v>11389.5</v>
      </c>
      <c r="J627" s="3">
        <f>IF(G627="Long",I627-H627,IF(G627="Short",H627-I627,0))</f>
        <v/>
      </c>
      <c r="K627" s="4" t="n">
        <v>0</v>
      </c>
      <c r="L627" s="2" t="inlineStr">
        <is>
          <t>Win</t>
        </is>
      </c>
      <c r="M627" s="3">
        <f>M626+J627</f>
        <v/>
      </c>
    </row>
    <row r="628">
      <c r="A628" s="5" t="inlineStr">
        <is>
          <t>2022-10-05</t>
        </is>
      </c>
      <c r="B628" s="5" t="inlineStr">
        <is>
          <t>Wednesday</t>
        </is>
      </c>
      <c r="C628" s="5" t="inlineStr">
        <is>
          <t>MNQZ2</t>
        </is>
      </c>
      <c r="D628" s="6" t="n">
        <v>11539</v>
      </c>
      <c r="E628" s="6" t="n">
        <v>11464.25</v>
      </c>
      <c r="F628" s="6">
        <f>D628-E628</f>
        <v/>
      </c>
      <c r="G628" s="5" t="inlineStr">
        <is>
          <t>Short</t>
        </is>
      </c>
      <c r="H628" s="6" t="n">
        <v>11464.25</v>
      </c>
      <c r="I628" s="6" t="n">
        <v>11539</v>
      </c>
      <c r="J628" s="6">
        <f>IF(G628="Long",I628-H628,IF(G628="Short",H628-I628,0))</f>
        <v/>
      </c>
      <c r="K628" s="7" t="n">
        <v>100</v>
      </c>
      <c r="L628" s="5" t="inlineStr">
        <is>
          <t>Loss</t>
        </is>
      </c>
      <c r="M628" s="6">
        <f>M627+J628</f>
        <v/>
      </c>
    </row>
    <row r="629">
      <c r="A629" s="8" t="inlineStr">
        <is>
          <t>2022-10-06</t>
        </is>
      </c>
      <c r="B629" s="8" t="inlineStr">
        <is>
          <t>Thursday</t>
        </is>
      </c>
      <c r="C629" s="8" t="inlineStr">
        <is>
          <t>MNQZ2</t>
        </is>
      </c>
      <c r="D629" s="9" t="n">
        <v>11721.75</v>
      </c>
      <c r="E629" s="9" t="n">
        <v>11589.25</v>
      </c>
      <c r="F629" s="9">
        <f>D629-E629</f>
        <v/>
      </c>
      <c r="G629" s="8" t="inlineStr">
        <is>
          <t>Short</t>
        </is>
      </c>
      <c r="H629" s="9" t="n">
        <v>11589.25</v>
      </c>
      <c r="I629" s="9" t="n">
        <v>11542.5</v>
      </c>
      <c r="J629" s="9">
        <f>IF(G629="Long",I629-H629,IF(G629="Short",H629-I629,0))</f>
        <v/>
      </c>
      <c r="K629" s="10" t="n">
        <v>60.19</v>
      </c>
      <c r="L629" s="8" t="inlineStr">
        <is>
          <t>EOD-Close</t>
        </is>
      </c>
      <c r="M629" s="9">
        <f>M628+J629</f>
        <v/>
      </c>
    </row>
    <row r="630">
      <c r="A630" s="2" t="inlineStr">
        <is>
          <t>2022-10-07</t>
        </is>
      </c>
      <c r="B630" s="2" t="inlineStr">
        <is>
          <t>Friday</t>
        </is>
      </c>
      <c r="C630" s="2" t="inlineStr">
        <is>
          <t>MNQZ2</t>
        </is>
      </c>
      <c r="D630" s="3" t="n">
        <v>11350.5</v>
      </c>
      <c r="E630" s="3" t="n">
        <v>11265.75</v>
      </c>
      <c r="F630" s="3">
        <f>D630-E630</f>
        <v/>
      </c>
      <c r="G630" s="2" t="inlineStr">
        <is>
          <t>Short</t>
        </is>
      </c>
      <c r="H630" s="3" t="n">
        <v>11265.75</v>
      </c>
      <c r="I630" s="3" t="n">
        <v>11181</v>
      </c>
      <c r="J630" s="3">
        <f>IF(G630="Long",I630-H630,IF(G630="Short",H630-I630,0))</f>
        <v/>
      </c>
      <c r="K630" s="4" t="n">
        <v>12.09</v>
      </c>
      <c r="L630" s="2" t="inlineStr">
        <is>
          <t>Win</t>
        </is>
      </c>
      <c r="M630" s="3">
        <f>M629+J630</f>
        <v/>
      </c>
    </row>
    <row r="631">
      <c r="A631" s="2" t="inlineStr">
        <is>
          <t>2022-10-10</t>
        </is>
      </c>
      <c r="B631" s="2" t="inlineStr">
        <is>
          <t>Monday</t>
        </is>
      </c>
      <c r="C631" s="2" t="inlineStr">
        <is>
          <t>MNQZ2</t>
        </is>
      </c>
      <c r="D631" s="3" t="n">
        <v>11125.75</v>
      </c>
      <c r="E631" s="3" t="n">
        <v>11021</v>
      </c>
      <c r="F631" s="3">
        <f>D631-E631</f>
        <v/>
      </c>
      <c r="G631" s="2" t="inlineStr">
        <is>
          <t>Short</t>
        </is>
      </c>
      <c r="H631" s="3" t="n">
        <v>11021</v>
      </c>
      <c r="I631" s="3" t="n">
        <v>10916.25</v>
      </c>
      <c r="J631" s="3">
        <f>IF(G631="Long",I631-H631,IF(G631="Short",H631-I631,0))</f>
        <v/>
      </c>
      <c r="K631" s="4" t="n">
        <v>45.11</v>
      </c>
      <c r="L631" s="2" t="inlineStr">
        <is>
          <t>Win</t>
        </is>
      </c>
      <c r="M631" s="3">
        <f>M630+J631</f>
        <v/>
      </c>
    </row>
    <row r="632">
      <c r="A632" s="8" t="inlineStr">
        <is>
          <t>2022-10-10</t>
        </is>
      </c>
      <c r="B632" s="8" t="inlineStr">
        <is>
          <t>Monday</t>
        </is>
      </c>
      <c r="C632" s="8" t="inlineStr">
        <is>
          <t>MNQZ2</t>
        </is>
      </c>
      <c r="D632" s="9" t="n">
        <v>11125.75</v>
      </c>
      <c r="E632" s="9" t="n">
        <v>11021</v>
      </c>
      <c r="F632" s="9">
        <f>D632-E632</f>
        <v/>
      </c>
      <c r="G632" s="8" t="inlineStr">
        <is>
          <t>Short</t>
        </is>
      </c>
      <c r="H632" s="9" t="n">
        <v>11021</v>
      </c>
      <c r="I632" s="9" t="n">
        <v>10980.75</v>
      </c>
      <c r="J632" s="9">
        <f>IF(G632="Long",I632-H632,IF(G632="Short",H632-I632,0))</f>
        <v/>
      </c>
      <c r="K632" s="10" t="n">
        <v>45.11</v>
      </c>
      <c r="L632" s="8" t="inlineStr">
        <is>
          <t>EOD-Close</t>
        </is>
      </c>
      <c r="M632" s="9">
        <f>M631+J632</f>
        <v/>
      </c>
    </row>
    <row r="633">
      <c r="A633" s="5" t="inlineStr">
        <is>
          <t>2022-10-11</t>
        </is>
      </c>
      <c r="B633" s="5" t="inlineStr">
        <is>
          <t>Tuesday</t>
        </is>
      </c>
      <c r="C633" s="5" t="inlineStr">
        <is>
          <t>MNQZ2</t>
        </is>
      </c>
      <c r="D633" s="6" t="n">
        <v>10944.5</v>
      </c>
      <c r="E633" s="6" t="n">
        <v>10859.5</v>
      </c>
      <c r="F633" s="6">
        <f>D633-E633</f>
        <v/>
      </c>
      <c r="G633" s="5" t="inlineStr">
        <is>
          <t>Short</t>
        </is>
      </c>
      <c r="H633" s="6" t="n">
        <v>10859.5</v>
      </c>
      <c r="I633" s="6" t="n">
        <v>10944.5</v>
      </c>
      <c r="J633" s="6">
        <f>IF(G633="Long",I633-H633,IF(G633="Short",H633-I633,0))</f>
        <v/>
      </c>
      <c r="K633" s="7" t="n">
        <v>100</v>
      </c>
      <c r="L633" s="5" t="inlineStr">
        <is>
          <t>Loss</t>
        </is>
      </c>
      <c r="M633" s="6">
        <f>M632+J633</f>
        <v/>
      </c>
    </row>
    <row r="634">
      <c r="A634" s="2" t="inlineStr">
        <is>
          <t>2022-10-11</t>
        </is>
      </c>
      <c r="B634" s="2" t="inlineStr">
        <is>
          <t>Tuesday</t>
        </is>
      </c>
      <c r="C634" s="2" t="inlineStr">
        <is>
          <t>MNQZ2</t>
        </is>
      </c>
      <c r="D634" s="3" t="n">
        <v>10944.5</v>
      </c>
      <c r="E634" s="3" t="n">
        <v>10859.5</v>
      </c>
      <c r="F634" s="3">
        <f>D634-E634</f>
        <v/>
      </c>
      <c r="G634" s="2" t="inlineStr">
        <is>
          <t>Long</t>
        </is>
      </c>
      <c r="H634" s="3" t="n">
        <v>10944.5</v>
      </c>
      <c r="I634" s="3" t="n">
        <v>11029.5</v>
      </c>
      <c r="J634" s="3">
        <f>IF(G634="Long",I634-H634,IF(G634="Short",H634-I634,0))</f>
        <v/>
      </c>
      <c r="K634" s="4" t="n">
        <v>37.06</v>
      </c>
      <c r="L634" s="2" t="inlineStr">
        <is>
          <t>Win</t>
        </is>
      </c>
      <c r="M634" s="3">
        <f>M633+J634</f>
        <v/>
      </c>
    </row>
    <row r="635">
      <c r="A635" s="11" t="inlineStr">
        <is>
          <t>2022-10-12</t>
        </is>
      </c>
      <c r="B635" s="11" t="inlineStr">
        <is>
          <t>Wednesday</t>
        </is>
      </c>
      <c r="C635" s="11" t="inlineStr">
        <is>
          <t>MNQZ2</t>
        </is>
      </c>
      <c r="D635" s="12" t="n">
        <v>10932</v>
      </c>
      <c r="E635" s="12" t="n">
        <v>10805.75</v>
      </c>
      <c r="F635" s="12">
        <f>D635-E635</f>
        <v/>
      </c>
      <c r="G635" s="11" t="inlineStr">
        <is>
          <t>No-Op</t>
        </is>
      </c>
      <c r="H635" s="12" t="n"/>
      <c r="I635" s="12" t="n"/>
      <c r="J635" s="12">
        <f>IF(G635="Long",I635-H635,IF(G635="Short",H635-I635,0))</f>
        <v/>
      </c>
      <c r="K635" s="13" t="n">
        <v>0</v>
      </c>
      <c r="L635" s="11" t="inlineStr">
        <is>
          <t>No-Op</t>
        </is>
      </c>
      <c r="M635" s="12">
        <f>M634+J635</f>
        <v/>
      </c>
    </row>
    <row r="636">
      <c r="A636" s="2" t="inlineStr">
        <is>
          <t>2022-10-13</t>
        </is>
      </c>
      <c r="B636" s="2" t="inlineStr">
        <is>
          <t>Thursday</t>
        </is>
      </c>
      <c r="C636" s="2" t="inlineStr">
        <is>
          <t>MNQZ2</t>
        </is>
      </c>
      <c r="D636" s="3" t="n">
        <v>10554.25</v>
      </c>
      <c r="E636" s="3" t="n">
        <v>10484.5</v>
      </c>
      <c r="F636" s="3">
        <f>D636-E636</f>
        <v/>
      </c>
      <c r="G636" s="2" t="inlineStr">
        <is>
          <t>Long</t>
        </is>
      </c>
      <c r="H636" s="3" t="n">
        <v>10554.25</v>
      </c>
      <c r="I636" s="3" t="n">
        <v>10624</v>
      </c>
      <c r="J636" s="3">
        <f>IF(G636="Long",I636-H636,IF(G636="Short",H636-I636,0))</f>
        <v/>
      </c>
      <c r="K636" s="4" t="n">
        <v>0</v>
      </c>
      <c r="L636" s="2" t="inlineStr">
        <is>
          <t>Win</t>
        </is>
      </c>
      <c r="M636" s="3">
        <f>M635+J636</f>
        <v/>
      </c>
    </row>
    <row r="637">
      <c r="A637" s="2" t="inlineStr">
        <is>
          <t>2022-10-14</t>
        </is>
      </c>
      <c r="B637" s="2" t="inlineStr">
        <is>
          <t>Friday</t>
        </is>
      </c>
      <c r="C637" s="2" t="inlineStr">
        <is>
          <t>MNQZ2</t>
        </is>
      </c>
      <c r="D637" s="3" t="n">
        <v>11207.75</v>
      </c>
      <c r="E637" s="3" t="n">
        <v>11099.25</v>
      </c>
      <c r="F637" s="3">
        <f>D637-E637</f>
        <v/>
      </c>
      <c r="G637" s="2" t="inlineStr">
        <is>
          <t>Short</t>
        </is>
      </c>
      <c r="H637" s="3" t="n">
        <v>11099.25</v>
      </c>
      <c r="I637" s="3" t="n">
        <v>10990.75</v>
      </c>
      <c r="J637" s="3">
        <f>IF(G637="Long",I637-H637,IF(G637="Short",H637-I637,0))</f>
        <v/>
      </c>
      <c r="K637" s="4" t="n">
        <v>0</v>
      </c>
      <c r="L637" s="2" t="inlineStr">
        <is>
          <t>Win</t>
        </is>
      </c>
      <c r="M637" s="3">
        <f>M636+J637</f>
        <v/>
      </c>
    </row>
    <row r="638">
      <c r="A638" s="8" t="inlineStr">
        <is>
          <t>2022-10-17</t>
        </is>
      </c>
      <c r="B638" s="8" t="inlineStr">
        <is>
          <t>Monday</t>
        </is>
      </c>
      <c r="C638" s="8" t="inlineStr">
        <is>
          <t>MNQZ2</t>
        </is>
      </c>
      <c r="D638" s="9" t="n">
        <v>11114.25</v>
      </c>
      <c r="E638" s="9" t="n">
        <v>10999</v>
      </c>
      <c r="F638" s="9">
        <f>D638-E638</f>
        <v/>
      </c>
      <c r="G638" s="8" t="inlineStr">
        <is>
          <t>Long</t>
        </is>
      </c>
      <c r="H638" s="9" t="n">
        <v>11114.25</v>
      </c>
      <c r="I638" s="9" t="n">
        <v>11110.75</v>
      </c>
      <c r="J638" s="9">
        <f>IF(G638="Long",I638-H638,IF(G638="Short",H638-I638,0))</f>
        <v/>
      </c>
      <c r="K638" s="10" t="n">
        <v>79.61</v>
      </c>
      <c r="L638" s="8" t="inlineStr">
        <is>
          <t>EOD-Close</t>
        </is>
      </c>
      <c r="M638" s="9">
        <f>M637+J638</f>
        <v/>
      </c>
    </row>
    <row r="639">
      <c r="A639" s="2" t="inlineStr">
        <is>
          <t>2022-10-18</t>
        </is>
      </c>
      <c r="B639" s="2" t="inlineStr">
        <is>
          <t>Tuesday</t>
        </is>
      </c>
      <c r="C639" s="2" t="inlineStr">
        <is>
          <t>MNQZ2</t>
        </is>
      </c>
      <c r="D639" s="3" t="n">
        <v>11431.75</v>
      </c>
      <c r="E639" s="3" t="n">
        <v>11346.75</v>
      </c>
      <c r="F639" s="3">
        <f>D639-E639</f>
        <v/>
      </c>
      <c r="G639" s="2" t="inlineStr">
        <is>
          <t>Short</t>
        </is>
      </c>
      <c r="H639" s="3" t="n">
        <v>11346.75</v>
      </c>
      <c r="I639" s="3" t="n">
        <v>11261.75</v>
      </c>
      <c r="J639" s="3">
        <f>IF(G639="Long",I639-H639,IF(G639="Short",H639-I639,0))</f>
        <v/>
      </c>
      <c r="K639" s="4" t="n">
        <v>0</v>
      </c>
      <c r="L639" s="2" t="inlineStr">
        <is>
          <t>Win</t>
        </is>
      </c>
      <c r="M639" s="3">
        <f>M638+J639</f>
        <v/>
      </c>
    </row>
    <row r="640">
      <c r="A640" s="5" t="inlineStr">
        <is>
          <t>2022-10-19</t>
        </is>
      </c>
      <c r="B640" s="5" t="inlineStr">
        <is>
          <t>Wednesday</t>
        </is>
      </c>
      <c r="C640" s="5" t="inlineStr">
        <is>
          <t>MNQZ2</t>
        </is>
      </c>
      <c r="D640" s="6" t="n">
        <v>11213.25</v>
      </c>
      <c r="E640" s="6" t="n">
        <v>11110.25</v>
      </c>
      <c r="F640" s="6">
        <f>D640-E640</f>
        <v/>
      </c>
      <c r="G640" s="5" t="inlineStr">
        <is>
          <t>Long</t>
        </is>
      </c>
      <c r="H640" s="6" t="n">
        <v>11213.25</v>
      </c>
      <c r="I640" s="6" t="n">
        <v>11110.25</v>
      </c>
      <c r="J640" s="6">
        <f>IF(G640="Long",I640-H640,IF(G640="Short",H640-I640,0))</f>
        <v/>
      </c>
      <c r="K640" s="7" t="n">
        <v>100</v>
      </c>
      <c r="L640" s="5" t="inlineStr">
        <is>
          <t>Loss</t>
        </is>
      </c>
      <c r="M640" s="6">
        <f>M639+J640</f>
        <v/>
      </c>
    </row>
    <row r="641">
      <c r="A641" s="8" t="inlineStr">
        <is>
          <t>2022-10-19</t>
        </is>
      </c>
      <c r="B641" s="8" t="inlineStr">
        <is>
          <t>Wednesday</t>
        </is>
      </c>
      <c r="C641" s="8" t="inlineStr">
        <is>
          <t>MNQZ2</t>
        </is>
      </c>
      <c r="D641" s="9" t="n">
        <v>11213.25</v>
      </c>
      <c r="E641" s="9" t="n">
        <v>11110.25</v>
      </c>
      <c r="F641" s="9">
        <f>D641-E641</f>
        <v/>
      </c>
      <c r="G641" s="8" t="inlineStr">
        <is>
          <t>Short</t>
        </is>
      </c>
      <c r="H641" s="9" t="n">
        <v>11110.25</v>
      </c>
      <c r="I641" s="9" t="n">
        <v>11154.75</v>
      </c>
      <c r="J641" s="9">
        <f>IF(G641="Long",I641-H641,IF(G641="Short",H641-I641,0))</f>
        <v/>
      </c>
      <c r="K641" s="10" t="n">
        <v>46.84</v>
      </c>
      <c r="L641" s="8" t="inlineStr">
        <is>
          <t>EOD-Close</t>
        </is>
      </c>
      <c r="M641" s="9">
        <f>M640+J641</f>
        <v/>
      </c>
    </row>
    <row r="642">
      <c r="A642" s="2" t="inlineStr">
        <is>
          <t>2022-10-20</t>
        </is>
      </c>
      <c r="B642" s="2" t="inlineStr">
        <is>
          <t>Thursday</t>
        </is>
      </c>
      <c r="C642" s="2" t="inlineStr">
        <is>
          <t>MNQZ2</t>
        </is>
      </c>
      <c r="D642" s="3" t="n">
        <v>11165</v>
      </c>
      <c r="E642" s="3" t="n">
        <v>11091.5</v>
      </c>
      <c r="F642" s="3">
        <f>D642-E642</f>
        <v/>
      </c>
      <c r="G642" s="2" t="inlineStr">
        <is>
          <t>Long</t>
        </is>
      </c>
      <c r="H642" s="3" t="n">
        <v>11165</v>
      </c>
      <c r="I642" s="3" t="n">
        <v>11238.5</v>
      </c>
      <c r="J642" s="3">
        <f>IF(G642="Long",I642-H642,IF(G642="Short",H642-I642,0))</f>
        <v/>
      </c>
      <c r="K642" s="4" t="n">
        <v>0</v>
      </c>
      <c r="L642" s="2" t="inlineStr">
        <is>
          <t>Win</t>
        </is>
      </c>
      <c r="M642" s="3">
        <f>M641+J642</f>
        <v/>
      </c>
    </row>
    <row r="643">
      <c r="A643" s="5" t="inlineStr">
        <is>
          <t>2022-10-20</t>
        </is>
      </c>
      <c r="B643" s="5" t="inlineStr">
        <is>
          <t>Thursday</t>
        </is>
      </c>
      <c r="C643" s="5" t="inlineStr">
        <is>
          <t>MNQZ2</t>
        </is>
      </c>
      <c r="D643" s="6" t="n">
        <v>11165</v>
      </c>
      <c r="E643" s="6" t="n">
        <v>11091.5</v>
      </c>
      <c r="F643" s="6">
        <f>D643-E643</f>
        <v/>
      </c>
      <c r="G643" s="5" t="inlineStr">
        <is>
          <t>Long</t>
        </is>
      </c>
      <c r="H643" s="6" t="n">
        <v>11165</v>
      </c>
      <c r="I643" s="6" t="n">
        <v>11091.5</v>
      </c>
      <c r="J643" s="6">
        <f>IF(G643="Long",I643-H643,IF(G643="Short",H643-I643,0))</f>
        <v/>
      </c>
      <c r="K643" s="7" t="n">
        <v>100</v>
      </c>
      <c r="L643" s="5" t="inlineStr">
        <is>
          <t>Loss</t>
        </is>
      </c>
      <c r="M643" s="6">
        <f>M642+J643</f>
        <v/>
      </c>
    </row>
    <row r="644">
      <c r="A644" s="2" t="inlineStr">
        <is>
          <t>2022-10-21</t>
        </is>
      </c>
      <c r="B644" s="2" t="inlineStr">
        <is>
          <t>Friday</t>
        </is>
      </c>
      <c r="C644" s="2" t="inlineStr">
        <is>
          <t>MNQZ2</t>
        </is>
      </c>
      <c r="D644" s="3" t="n">
        <v>11088.25</v>
      </c>
      <c r="E644" s="3" t="n">
        <v>10994.75</v>
      </c>
      <c r="F644" s="3">
        <f>D644-E644</f>
        <v/>
      </c>
      <c r="G644" s="2" t="inlineStr">
        <is>
          <t>Long</t>
        </is>
      </c>
      <c r="H644" s="3" t="n">
        <v>11088.25</v>
      </c>
      <c r="I644" s="3" t="n">
        <v>11181.75</v>
      </c>
      <c r="J644" s="3">
        <f>IF(G644="Long",I644-H644,IF(G644="Short",H644-I644,0))</f>
        <v/>
      </c>
      <c r="K644" s="4" t="n">
        <v>24.33</v>
      </c>
      <c r="L644" s="2" t="inlineStr">
        <is>
          <t>Win</t>
        </is>
      </c>
      <c r="M644" s="3">
        <f>M643+J644</f>
        <v/>
      </c>
    </row>
    <row r="645">
      <c r="A645" s="2" t="inlineStr">
        <is>
          <t>2022-10-21</t>
        </is>
      </c>
      <c r="B645" s="2" t="inlineStr">
        <is>
          <t>Friday</t>
        </is>
      </c>
      <c r="C645" s="2" t="inlineStr">
        <is>
          <t>MNQZ2</t>
        </is>
      </c>
      <c r="D645" s="3" t="n">
        <v>11088.25</v>
      </c>
      <c r="E645" s="3" t="n">
        <v>10994.75</v>
      </c>
      <c r="F645" s="3">
        <f>D645-E645</f>
        <v/>
      </c>
      <c r="G645" s="2" t="inlineStr">
        <is>
          <t>Long</t>
        </is>
      </c>
      <c r="H645" s="3" t="n">
        <v>11088.25</v>
      </c>
      <c r="I645" s="3" t="n">
        <v>11181.75</v>
      </c>
      <c r="J645" s="3">
        <f>IF(G645="Long",I645-H645,IF(G645="Short",H645-I645,0))</f>
        <v/>
      </c>
      <c r="K645" s="4" t="n">
        <v>39.84</v>
      </c>
      <c r="L645" s="2" t="inlineStr">
        <is>
          <t>Win</t>
        </is>
      </c>
      <c r="M645" s="3">
        <f>M644+J645</f>
        <v/>
      </c>
    </row>
    <row r="646">
      <c r="A646" s="5" t="inlineStr">
        <is>
          <t>2022-10-24</t>
        </is>
      </c>
      <c r="B646" s="5" t="inlineStr">
        <is>
          <t>Monday</t>
        </is>
      </c>
      <c r="C646" s="5" t="inlineStr">
        <is>
          <t>MNQZ2</t>
        </is>
      </c>
      <c r="D646" s="6" t="n">
        <v>11398.5</v>
      </c>
      <c r="E646" s="6" t="n">
        <v>11300.25</v>
      </c>
      <c r="F646" s="6">
        <f>D646-E646</f>
        <v/>
      </c>
      <c r="G646" s="5" t="inlineStr">
        <is>
          <t>Short</t>
        </is>
      </c>
      <c r="H646" s="6" t="n">
        <v>11300.25</v>
      </c>
      <c r="I646" s="6" t="n">
        <v>11398.5</v>
      </c>
      <c r="J646" s="6">
        <f>IF(G646="Long",I646-H646,IF(G646="Short",H646-I646,0))</f>
        <v/>
      </c>
      <c r="K646" s="7" t="n">
        <v>100</v>
      </c>
      <c r="L646" s="5" t="inlineStr">
        <is>
          <t>Loss</t>
        </is>
      </c>
      <c r="M646" s="6">
        <f>M645+J646</f>
        <v/>
      </c>
    </row>
    <row r="647">
      <c r="A647" s="2" t="inlineStr">
        <is>
          <t>2022-10-24</t>
        </is>
      </c>
      <c r="B647" s="2" t="inlineStr">
        <is>
          <t>Monday</t>
        </is>
      </c>
      <c r="C647" s="2" t="inlineStr">
        <is>
          <t>MNQZ2</t>
        </is>
      </c>
      <c r="D647" s="3" t="n">
        <v>11398.5</v>
      </c>
      <c r="E647" s="3" t="n">
        <v>11300.25</v>
      </c>
      <c r="F647" s="3">
        <f>D647-E647</f>
        <v/>
      </c>
      <c r="G647" s="2" t="inlineStr">
        <is>
          <t>Long</t>
        </is>
      </c>
      <c r="H647" s="3" t="n">
        <v>11398.5</v>
      </c>
      <c r="I647" s="3" t="n">
        <v>11496.75</v>
      </c>
      <c r="J647" s="3">
        <f>IF(G647="Long",I647-H647,IF(G647="Short",H647-I647,0))</f>
        <v/>
      </c>
      <c r="K647" s="4" t="n">
        <v>25.7</v>
      </c>
      <c r="L647" s="2" t="inlineStr">
        <is>
          <t>Win</t>
        </is>
      </c>
      <c r="M647" s="3">
        <f>M646+J647</f>
        <v/>
      </c>
    </row>
    <row r="648">
      <c r="A648" s="2" t="inlineStr">
        <is>
          <t>2022-10-25</t>
        </is>
      </c>
      <c r="B648" s="2" t="inlineStr">
        <is>
          <t>Tuesday</t>
        </is>
      </c>
      <c r="C648" s="2" t="inlineStr">
        <is>
          <t>MNQZ2</t>
        </is>
      </c>
      <c r="D648" s="3" t="n">
        <v>11571.75</v>
      </c>
      <c r="E648" s="3" t="n">
        <v>11514.75</v>
      </c>
      <c r="F648" s="3">
        <f>D648-E648</f>
        <v/>
      </c>
      <c r="G648" s="2" t="inlineStr">
        <is>
          <t>Long</t>
        </is>
      </c>
      <c r="H648" s="3" t="n">
        <v>11571.75</v>
      </c>
      <c r="I648" s="3" t="n">
        <v>11628.75</v>
      </c>
      <c r="J648" s="3">
        <f>IF(G648="Long",I648-H648,IF(G648="Short",H648-I648,0))</f>
        <v/>
      </c>
      <c r="K648" s="4" t="n">
        <v>0</v>
      </c>
      <c r="L648" s="2" t="inlineStr">
        <is>
          <t>Win</t>
        </is>
      </c>
      <c r="M648" s="3">
        <f>M647+J648</f>
        <v/>
      </c>
    </row>
    <row r="649">
      <c r="A649" s="2" t="inlineStr">
        <is>
          <t>2022-10-26</t>
        </is>
      </c>
      <c r="B649" s="2" t="inlineStr">
        <is>
          <t>Wednesday</t>
        </is>
      </c>
      <c r="C649" s="2" t="inlineStr">
        <is>
          <t>MNQZ2</t>
        </is>
      </c>
      <c r="D649" s="3" t="n">
        <v>11509.25</v>
      </c>
      <c r="E649" s="3" t="n">
        <v>11433</v>
      </c>
      <c r="F649" s="3">
        <f>D649-E649</f>
        <v/>
      </c>
      <c r="G649" s="2" t="inlineStr">
        <is>
          <t>Long</t>
        </is>
      </c>
      <c r="H649" s="3" t="n">
        <v>11509.25</v>
      </c>
      <c r="I649" s="3" t="n">
        <v>11585.5</v>
      </c>
      <c r="J649" s="3">
        <f>IF(G649="Long",I649-H649,IF(G649="Short",H649-I649,0))</f>
        <v/>
      </c>
      <c r="K649" s="4" t="n">
        <v>46.56</v>
      </c>
      <c r="L649" s="2" t="inlineStr">
        <is>
          <t>Win</t>
        </is>
      </c>
      <c r="M649" s="3">
        <f>M648+J649</f>
        <v/>
      </c>
    </row>
    <row r="650">
      <c r="A650" s="8" t="inlineStr">
        <is>
          <t>2022-10-26</t>
        </is>
      </c>
      <c r="B650" s="8" t="inlineStr">
        <is>
          <t>Wednesday</t>
        </is>
      </c>
      <c r="C650" s="8" t="inlineStr">
        <is>
          <t>MNQZ2</t>
        </is>
      </c>
      <c r="D650" s="9" t="n">
        <v>11509.25</v>
      </c>
      <c r="E650" s="9" t="n">
        <v>11433</v>
      </c>
      <c r="F650" s="9">
        <f>D650-E650</f>
        <v/>
      </c>
      <c r="G650" s="8" t="inlineStr">
        <is>
          <t>Long</t>
        </is>
      </c>
      <c r="H650" s="9" t="n">
        <v>11509.25</v>
      </c>
      <c r="I650" s="9" t="n">
        <v>11453.25</v>
      </c>
      <c r="J650" s="9">
        <f>IF(G650="Long",I650-H650,IF(G650="Short",H650-I650,0))</f>
        <v/>
      </c>
      <c r="K650" s="10" t="n">
        <v>94.09999999999999</v>
      </c>
      <c r="L650" s="8" t="inlineStr">
        <is>
          <t>EOD-Close</t>
        </is>
      </c>
      <c r="M650" s="9">
        <f>M649+J650</f>
        <v/>
      </c>
    </row>
    <row r="651">
      <c r="A651" s="2" t="inlineStr">
        <is>
          <t>2022-10-27</t>
        </is>
      </c>
      <c r="B651" s="2" t="inlineStr">
        <is>
          <t>Thursday</t>
        </is>
      </c>
      <c r="C651" s="2" t="inlineStr">
        <is>
          <t>MNQZ2</t>
        </is>
      </c>
      <c r="D651" s="3" t="n">
        <v>11464.5</v>
      </c>
      <c r="E651" s="3" t="n">
        <v>11368.25</v>
      </c>
      <c r="F651" s="3">
        <f>D651-E651</f>
        <v/>
      </c>
      <c r="G651" s="2" t="inlineStr">
        <is>
          <t>Short</t>
        </is>
      </c>
      <c r="H651" s="3" t="n">
        <v>11368.25</v>
      </c>
      <c r="I651" s="3" t="n">
        <v>11272</v>
      </c>
      <c r="J651" s="3">
        <f>IF(G651="Long",I651-H651,IF(G651="Short",H651-I651,0))</f>
        <v/>
      </c>
      <c r="K651" s="4" t="n">
        <v>0</v>
      </c>
      <c r="L651" s="2" t="inlineStr">
        <is>
          <t>Win</t>
        </is>
      </c>
      <c r="M651" s="3">
        <f>M650+J651</f>
        <v/>
      </c>
    </row>
    <row r="652">
      <c r="A652" s="2" t="inlineStr">
        <is>
          <t>2022-10-27</t>
        </is>
      </c>
      <c r="B652" s="2" t="inlineStr">
        <is>
          <t>Thursday</t>
        </is>
      </c>
      <c r="C652" s="2" t="inlineStr">
        <is>
          <t>MNQZ2</t>
        </is>
      </c>
      <c r="D652" s="3" t="n">
        <v>11464.5</v>
      </c>
      <c r="E652" s="3" t="n">
        <v>11368.25</v>
      </c>
      <c r="F652" s="3">
        <f>D652-E652</f>
        <v/>
      </c>
      <c r="G652" s="2" t="inlineStr">
        <is>
          <t>Short</t>
        </is>
      </c>
      <c r="H652" s="3" t="n">
        <v>11368.25</v>
      </c>
      <c r="I652" s="3" t="n">
        <v>11272</v>
      </c>
      <c r="J652" s="3">
        <f>IF(G652="Long",I652-H652,IF(G652="Short",H652-I652,0))</f>
        <v/>
      </c>
      <c r="K652" s="4" t="n">
        <v>88.05</v>
      </c>
      <c r="L652" s="2" t="inlineStr">
        <is>
          <t>Win</t>
        </is>
      </c>
      <c r="M652" s="3">
        <f>M651+J652</f>
        <v/>
      </c>
    </row>
    <row r="653">
      <c r="A653" s="2" t="inlineStr">
        <is>
          <t>2022-10-28</t>
        </is>
      </c>
      <c r="B653" s="2" t="inlineStr">
        <is>
          <t>Friday</t>
        </is>
      </c>
      <c r="C653" s="2" t="inlineStr">
        <is>
          <t>MNQZ2</t>
        </is>
      </c>
      <c r="D653" s="3" t="n">
        <v>11364.25</v>
      </c>
      <c r="E653" s="3" t="n">
        <v>11206.25</v>
      </c>
      <c r="F653" s="3">
        <f>D653-E653</f>
        <v/>
      </c>
      <c r="G653" s="2" t="inlineStr">
        <is>
          <t>Long</t>
        </is>
      </c>
      <c r="H653" s="3" t="n">
        <v>11364.25</v>
      </c>
      <c r="I653" s="3" t="n">
        <v>11522.25</v>
      </c>
      <c r="J653" s="3">
        <f>IF(G653="Long",I653-H653,IF(G653="Short",H653-I653,0))</f>
        <v/>
      </c>
      <c r="K653" s="4" t="n">
        <v>0</v>
      </c>
      <c r="L653" s="2" t="inlineStr">
        <is>
          <t>Win</t>
        </is>
      </c>
      <c r="M653" s="3">
        <f>M652+J653</f>
        <v/>
      </c>
    </row>
    <row r="654">
      <c r="A654" s="2" t="inlineStr">
        <is>
          <t>2022-10-31</t>
        </is>
      </c>
      <c r="B654" s="2" t="inlineStr">
        <is>
          <t>Monday</t>
        </is>
      </c>
      <c r="C654" s="2" t="inlineStr">
        <is>
          <t>MNQZ2</t>
        </is>
      </c>
      <c r="D654" s="3" t="n">
        <v>11522.75</v>
      </c>
      <c r="E654" s="3" t="n">
        <v>11450</v>
      </c>
      <c r="F654" s="3">
        <f>D654-E654</f>
        <v/>
      </c>
      <c r="G654" s="2" t="inlineStr">
        <is>
          <t>Short</t>
        </is>
      </c>
      <c r="H654" s="3" t="n">
        <v>11450</v>
      </c>
      <c r="I654" s="3" t="n">
        <v>11377.25</v>
      </c>
      <c r="J654" s="3">
        <f>IF(G654="Long",I654-H654,IF(G654="Short",H654-I654,0))</f>
        <v/>
      </c>
      <c r="K654" s="4" t="n">
        <v>4.12</v>
      </c>
      <c r="L654" s="2" t="inlineStr">
        <is>
          <t>Win</t>
        </is>
      </c>
      <c r="M654" s="3">
        <f>M653+J654</f>
        <v/>
      </c>
    </row>
    <row r="655">
      <c r="A655" s="8" t="inlineStr">
        <is>
          <t>2022-10-31</t>
        </is>
      </c>
      <c r="B655" s="8" t="inlineStr">
        <is>
          <t>Monday</t>
        </is>
      </c>
      <c r="C655" s="8" t="inlineStr">
        <is>
          <t>MNQZ2</t>
        </is>
      </c>
      <c r="D655" s="9" t="n">
        <v>11522.75</v>
      </c>
      <c r="E655" s="9" t="n">
        <v>11450</v>
      </c>
      <c r="F655" s="9">
        <f>D655-E655</f>
        <v/>
      </c>
      <c r="G655" s="8" t="inlineStr">
        <is>
          <t>Short</t>
        </is>
      </c>
      <c r="H655" s="9" t="n">
        <v>11450</v>
      </c>
      <c r="I655" s="9" t="n">
        <v>11448.25</v>
      </c>
      <c r="J655" s="9">
        <f>IF(G655="Long",I655-H655,IF(G655="Short",H655-I655,0))</f>
        <v/>
      </c>
      <c r="K655" s="10" t="n">
        <v>86.94</v>
      </c>
      <c r="L655" s="8" t="inlineStr">
        <is>
          <t>EOD-Close</t>
        </is>
      </c>
      <c r="M655" s="9">
        <f>M654+J655</f>
        <v/>
      </c>
    </row>
    <row r="656">
      <c r="A656" s="2" t="inlineStr">
        <is>
          <t>2022-11-01</t>
        </is>
      </c>
      <c r="B656" s="2" t="inlineStr">
        <is>
          <t>Tuesday</t>
        </is>
      </c>
      <c r="C656" s="2" t="inlineStr">
        <is>
          <t>MNQZ2</t>
        </is>
      </c>
      <c r="D656" s="3" t="n">
        <v>11619</v>
      </c>
      <c r="E656" s="3" t="n">
        <v>11565.5</v>
      </c>
      <c r="F656" s="3">
        <f>D656-E656</f>
        <v/>
      </c>
      <c r="G656" s="2" t="inlineStr">
        <is>
          <t>Short</t>
        </is>
      </c>
      <c r="H656" s="3" t="n">
        <v>11565.5</v>
      </c>
      <c r="I656" s="3" t="n">
        <v>11512</v>
      </c>
      <c r="J656" s="3">
        <f>IF(G656="Long",I656-H656,IF(G656="Short",H656-I656,0))</f>
        <v/>
      </c>
      <c r="K656" s="4" t="n">
        <v>0</v>
      </c>
      <c r="L656" s="2" t="inlineStr">
        <is>
          <t>Win</t>
        </is>
      </c>
      <c r="M656" s="3">
        <f>M655+J656</f>
        <v/>
      </c>
    </row>
    <row r="657">
      <c r="A657" s="2" t="inlineStr">
        <is>
          <t>2022-11-02</t>
        </is>
      </c>
      <c r="B657" s="2" t="inlineStr">
        <is>
          <t>Wednesday</t>
        </is>
      </c>
      <c r="C657" s="2" t="inlineStr">
        <is>
          <t>MNQZ2</t>
        </is>
      </c>
      <c r="D657" s="3" t="n">
        <v>11340.75</v>
      </c>
      <c r="E657" s="3" t="n">
        <v>11271.25</v>
      </c>
      <c r="F657" s="3">
        <f>D657-E657</f>
        <v/>
      </c>
      <c r="G657" s="2" t="inlineStr">
        <is>
          <t>Short</t>
        </is>
      </c>
      <c r="H657" s="3" t="n">
        <v>11271.25</v>
      </c>
      <c r="I657" s="3" t="n">
        <v>11201.75</v>
      </c>
      <c r="J657" s="3">
        <f>IF(G657="Long",I657-H657,IF(G657="Short",H657-I657,0))</f>
        <v/>
      </c>
      <c r="K657" s="4" t="n">
        <v>22.66</v>
      </c>
      <c r="L657" s="2" t="inlineStr">
        <is>
          <t>Win</t>
        </is>
      </c>
      <c r="M657" s="3">
        <f>M656+J657</f>
        <v/>
      </c>
    </row>
    <row r="658">
      <c r="A658" s="5" t="inlineStr">
        <is>
          <t>2022-11-02</t>
        </is>
      </c>
      <c r="B658" s="5" t="inlineStr">
        <is>
          <t>Wednesday</t>
        </is>
      </c>
      <c r="C658" s="5" t="inlineStr">
        <is>
          <t>MNQZ2</t>
        </is>
      </c>
      <c r="D658" s="6" t="n">
        <v>11340.75</v>
      </c>
      <c r="E658" s="6" t="n">
        <v>11271.25</v>
      </c>
      <c r="F658" s="6">
        <f>D658-E658</f>
        <v/>
      </c>
      <c r="G658" s="5" t="inlineStr">
        <is>
          <t>Short</t>
        </is>
      </c>
      <c r="H658" s="6" t="n">
        <v>11271.25</v>
      </c>
      <c r="I658" s="6" t="n">
        <v>11340.75</v>
      </c>
      <c r="J658" s="6">
        <f>IF(G658="Long",I658-H658,IF(G658="Short",H658-I658,0))</f>
        <v/>
      </c>
      <c r="K658" s="7" t="n">
        <v>100</v>
      </c>
      <c r="L658" s="5" t="inlineStr">
        <is>
          <t>Loss</t>
        </is>
      </c>
      <c r="M658" s="6">
        <f>M657+J658</f>
        <v/>
      </c>
    </row>
    <row r="659">
      <c r="A659" s="2" t="inlineStr">
        <is>
          <t>2022-11-03</t>
        </is>
      </c>
      <c r="B659" s="2" t="inlineStr">
        <is>
          <t>Thursday</t>
        </is>
      </c>
      <c r="C659" s="2" t="inlineStr">
        <is>
          <t>MNQZ2</t>
        </is>
      </c>
      <c r="D659" s="3" t="n">
        <v>10848.25</v>
      </c>
      <c r="E659" s="3" t="n">
        <v>10783</v>
      </c>
      <c r="F659" s="3">
        <f>D659-E659</f>
        <v/>
      </c>
      <c r="G659" s="2" t="inlineStr">
        <is>
          <t>Short</t>
        </is>
      </c>
      <c r="H659" s="3" t="n">
        <v>10783</v>
      </c>
      <c r="I659" s="3" t="n">
        <v>10717.75</v>
      </c>
      <c r="J659" s="3">
        <f>IF(G659="Long",I659-H659,IF(G659="Short",H659-I659,0))</f>
        <v/>
      </c>
      <c r="K659" s="4" t="n">
        <v>0</v>
      </c>
      <c r="L659" s="2" t="inlineStr">
        <is>
          <t>Win</t>
        </is>
      </c>
      <c r="M659" s="3">
        <f>M658+J659</f>
        <v/>
      </c>
    </row>
    <row r="660">
      <c r="A660" s="5" t="inlineStr">
        <is>
          <t>2022-11-03</t>
        </is>
      </c>
      <c r="B660" s="5" t="inlineStr">
        <is>
          <t>Thursday</t>
        </is>
      </c>
      <c r="C660" s="5" t="inlineStr">
        <is>
          <t>MNQZ2</t>
        </is>
      </c>
      <c r="D660" s="6" t="n">
        <v>10848.25</v>
      </c>
      <c r="E660" s="6" t="n">
        <v>10783</v>
      </c>
      <c r="F660" s="6">
        <f>D660-E660</f>
        <v/>
      </c>
      <c r="G660" s="5" t="inlineStr">
        <is>
          <t>Short</t>
        </is>
      </c>
      <c r="H660" s="6" t="n">
        <v>10783</v>
      </c>
      <c r="I660" s="6" t="n">
        <v>10848.25</v>
      </c>
      <c r="J660" s="6">
        <f>IF(G660="Long",I660-H660,IF(G660="Short",H660-I660,0))</f>
        <v/>
      </c>
      <c r="K660" s="7" t="n">
        <v>100</v>
      </c>
      <c r="L660" s="5" t="inlineStr">
        <is>
          <t>Loss</t>
        </is>
      </c>
      <c r="M660" s="6">
        <f>M659+J660</f>
        <v/>
      </c>
    </row>
    <row r="661">
      <c r="A661" s="8" t="inlineStr">
        <is>
          <t>2022-11-04</t>
        </is>
      </c>
      <c r="B661" s="8" t="inlineStr">
        <is>
          <t>Friday</t>
        </is>
      </c>
      <c r="C661" s="8" t="inlineStr">
        <is>
          <t>MNQZ2</t>
        </is>
      </c>
      <c r="D661" s="9" t="n">
        <v>10963.75</v>
      </c>
      <c r="E661" s="9" t="n">
        <v>10739.5</v>
      </c>
      <c r="F661" s="9">
        <f>D661-E661</f>
        <v/>
      </c>
      <c r="G661" s="8" t="inlineStr">
        <is>
          <t>Short</t>
        </is>
      </c>
      <c r="H661" s="9" t="n">
        <v>10739.5</v>
      </c>
      <c r="I661" s="9" t="n">
        <v>10893.25</v>
      </c>
      <c r="J661" s="9">
        <f>IF(G661="Long",I661-H661,IF(G661="Short",H661-I661,0))</f>
        <v/>
      </c>
      <c r="K661" s="10" t="n">
        <v>70.23</v>
      </c>
      <c r="L661" s="8" t="inlineStr">
        <is>
          <t>EOD-Close</t>
        </is>
      </c>
      <c r="M661" s="9">
        <f>M660+J661</f>
        <v/>
      </c>
    </row>
    <row r="662">
      <c r="A662" s="5" t="inlineStr">
        <is>
          <t>2022-11-07</t>
        </is>
      </c>
      <c r="B662" s="5" t="inlineStr">
        <is>
          <t>Monday</t>
        </is>
      </c>
      <c r="C662" s="5" t="inlineStr">
        <is>
          <t>MNQZ2</t>
        </is>
      </c>
      <c r="D662" s="6" t="n">
        <v>10969</v>
      </c>
      <c r="E662" s="6" t="n">
        <v>10864.75</v>
      </c>
      <c r="F662" s="6">
        <f>D662-E662</f>
        <v/>
      </c>
      <c r="G662" s="5" t="inlineStr">
        <is>
          <t>Short</t>
        </is>
      </c>
      <c r="H662" s="6" t="n">
        <v>10864.75</v>
      </c>
      <c r="I662" s="6" t="n">
        <v>10969</v>
      </c>
      <c r="J662" s="6">
        <f>IF(G662="Long",I662-H662,IF(G662="Short",H662-I662,0))</f>
        <v/>
      </c>
      <c r="K662" s="7" t="n">
        <v>100</v>
      </c>
      <c r="L662" s="5" t="inlineStr">
        <is>
          <t>Loss</t>
        </is>
      </c>
      <c r="M662" s="6">
        <f>M661+J662</f>
        <v/>
      </c>
    </row>
    <row r="663">
      <c r="A663" s="8" t="inlineStr">
        <is>
          <t>2022-11-07</t>
        </is>
      </c>
      <c r="B663" s="8" t="inlineStr">
        <is>
          <t>Monday</t>
        </is>
      </c>
      <c r="C663" s="8" t="inlineStr">
        <is>
          <t>MNQZ2</t>
        </is>
      </c>
      <c r="D663" s="9" t="n">
        <v>10969</v>
      </c>
      <c r="E663" s="9" t="n">
        <v>10864.75</v>
      </c>
      <c r="F663" s="9">
        <f>D663-E663</f>
        <v/>
      </c>
      <c r="G663" s="8" t="inlineStr">
        <is>
          <t>Long</t>
        </is>
      </c>
      <c r="H663" s="9" t="n">
        <v>10969</v>
      </c>
      <c r="I663" s="9" t="n">
        <v>11014</v>
      </c>
      <c r="J663" s="9">
        <f>IF(G663="Long",I663-H663,IF(G663="Short",H663-I663,0))</f>
        <v/>
      </c>
      <c r="K663" s="10" t="n">
        <v>0</v>
      </c>
      <c r="L663" s="8" t="inlineStr">
        <is>
          <t>EOD-Close</t>
        </is>
      </c>
      <c r="M663" s="9">
        <f>M662+J663</f>
        <v/>
      </c>
    </row>
    <row r="664">
      <c r="A664" s="2" t="inlineStr">
        <is>
          <t>2022-11-08</t>
        </is>
      </c>
      <c r="B664" s="2" t="inlineStr">
        <is>
          <t>Tuesday</t>
        </is>
      </c>
      <c r="C664" s="2" t="inlineStr">
        <is>
          <t>MNQZ2</t>
        </is>
      </c>
      <c r="D664" s="3" t="n">
        <v>11083</v>
      </c>
      <c r="E664" s="3" t="n">
        <v>11014.5</v>
      </c>
      <c r="F664" s="3">
        <f>D664-E664</f>
        <v/>
      </c>
      <c r="G664" s="2" t="inlineStr">
        <is>
          <t>Long</t>
        </is>
      </c>
      <c r="H664" s="3" t="n">
        <v>11083</v>
      </c>
      <c r="I664" s="3" t="n">
        <v>11151.5</v>
      </c>
      <c r="J664" s="3">
        <f>IF(G664="Long",I664-H664,IF(G664="Short",H664-I664,0))</f>
        <v/>
      </c>
      <c r="K664" s="4" t="n">
        <v>0.73</v>
      </c>
      <c r="L664" s="2" t="inlineStr">
        <is>
          <t>Win</t>
        </is>
      </c>
      <c r="M664" s="3">
        <f>M663+J664</f>
        <v/>
      </c>
    </row>
    <row r="665">
      <c r="A665" s="5" t="inlineStr">
        <is>
          <t>2022-11-08</t>
        </is>
      </c>
      <c r="B665" s="5" t="inlineStr">
        <is>
          <t>Tuesday</t>
        </is>
      </c>
      <c r="C665" s="5" t="inlineStr">
        <is>
          <t>MNQZ2</t>
        </is>
      </c>
      <c r="D665" s="6" t="n">
        <v>11083</v>
      </c>
      <c r="E665" s="6" t="n">
        <v>11014.5</v>
      </c>
      <c r="F665" s="6">
        <f>D665-E665</f>
        <v/>
      </c>
      <c r="G665" s="5" t="inlineStr">
        <is>
          <t>Long</t>
        </is>
      </c>
      <c r="H665" s="6" t="n">
        <v>11083</v>
      </c>
      <c r="I665" s="6" t="n">
        <v>11014.5</v>
      </c>
      <c r="J665" s="6">
        <f>IF(G665="Long",I665-H665,IF(G665="Short",H665-I665,0))</f>
        <v/>
      </c>
      <c r="K665" s="7" t="n">
        <v>100</v>
      </c>
      <c r="L665" s="5" t="inlineStr">
        <is>
          <t>Loss</t>
        </is>
      </c>
      <c r="M665" s="6">
        <f>M664+J665</f>
        <v/>
      </c>
    </row>
    <row r="666">
      <c r="A666" s="5" t="inlineStr">
        <is>
          <t>2022-11-09</t>
        </is>
      </c>
      <c r="B666" s="5" t="inlineStr">
        <is>
          <t>Wednesday</t>
        </is>
      </c>
      <c r="C666" s="5" t="inlineStr">
        <is>
          <t>MNQZ2</t>
        </is>
      </c>
      <c r="D666" s="6" t="n">
        <v>11018.75</v>
      </c>
      <c r="E666" s="6" t="n">
        <v>10969</v>
      </c>
      <c r="F666" s="6">
        <f>D666-E666</f>
        <v/>
      </c>
      <c r="G666" s="5" t="inlineStr">
        <is>
          <t>Long</t>
        </is>
      </c>
      <c r="H666" s="6" t="n">
        <v>11018.75</v>
      </c>
      <c r="I666" s="6" t="n">
        <v>10969</v>
      </c>
      <c r="J666" s="6">
        <f>IF(G666="Long",I666-H666,IF(G666="Short",H666-I666,0))</f>
        <v/>
      </c>
      <c r="K666" s="7" t="n">
        <v>100</v>
      </c>
      <c r="L666" s="5" t="inlineStr">
        <is>
          <t>Loss</t>
        </is>
      </c>
      <c r="M666" s="6">
        <f>M665+J666</f>
        <v/>
      </c>
    </row>
    <row r="667">
      <c r="A667" s="5" t="inlineStr">
        <is>
          <t>2022-11-09</t>
        </is>
      </c>
      <c r="B667" s="5" t="inlineStr">
        <is>
          <t>Wednesday</t>
        </is>
      </c>
      <c r="C667" s="5" t="inlineStr">
        <is>
          <t>MNQZ2</t>
        </is>
      </c>
      <c r="D667" s="6" t="n">
        <v>11018.75</v>
      </c>
      <c r="E667" s="6" t="n">
        <v>10969</v>
      </c>
      <c r="F667" s="6">
        <f>D667-E667</f>
        <v/>
      </c>
      <c r="G667" s="5" t="inlineStr">
        <is>
          <t>Short</t>
        </is>
      </c>
      <c r="H667" s="6" t="n">
        <v>10969</v>
      </c>
      <c r="I667" s="6" t="n">
        <v>11018.75</v>
      </c>
      <c r="J667" s="6">
        <f>IF(G667="Long",I667-H667,IF(G667="Short",H667-I667,0))</f>
        <v/>
      </c>
      <c r="K667" s="7" t="n">
        <v>100</v>
      </c>
      <c r="L667" s="5" t="inlineStr">
        <is>
          <t>Loss</t>
        </is>
      </c>
      <c r="M667" s="6">
        <f>M666+J667</f>
        <v/>
      </c>
    </row>
    <row r="668">
      <c r="A668" s="2" t="inlineStr">
        <is>
          <t>2022-11-10</t>
        </is>
      </c>
      <c r="B668" s="2" t="inlineStr">
        <is>
          <t>Thursday</t>
        </is>
      </c>
      <c r="C668" s="2" t="inlineStr">
        <is>
          <t>MNQZ2</t>
        </is>
      </c>
      <c r="D668" s="3" t="n">
        <v>11394.5</v>
      </c>
      <c r="E668" s="3" t="n">
        <v>11269</v>
      </c>
      <c r="F668" s="3">
        <f>D668-E668</f>
        <v/>
      </c>
      <c r="G668" s="2" t="inlineStr">
        <is>
          <t>Long</t>
        </is>
      </c>
      <c r="H668" s="3" t="n">
        <v>11394.5</v>
      </c>
      <c r="I668" s="3" t="n">
        <v>11520</v>
      </c>
      <c r="J668" s="3">
        <f>IF(G668="Long",I668-H668,IF(G668="Short",H668-I668,0))</f>
        <v/>
      </c>
      <c r="K668" s="4" t="n">
        <v>29.28</v>
      </c>
      <c r="L668" s="2" t="inlineStr">
        <is>
          <t>Win</t>
        </is>
      </c>
      <c r="M668" s="3">
        <f>M667+J668</f>
        <v/>
      </c>
    </row>
    <row r="669">
      <c r="A669" s="2" t="inlineStr">
        <is>
          <t>2022-11-11</t>
        </is>
      </c>
      <c r="B669" s="2" t="inlineStr">
        <is>
          <t>Friday</t>
        </is>
      </c>
      <c r="C669" s="2" t="inlineStr">
        <is>
          <t>MNQZ2</t>
        </is>
      </c>
      <c r="D669" s="3" t="n">
        <v>11644.75</v>
      </c>
      <c r="E669" s="3" t="n">
        <v>11569.5</v>
      </c>
      <c r="F669" s="3">
        <f>D669-E669</f>
        <v/>
      </c>
      <c r="G669" s="2" t="inlineStr">
        <is>
          <t>Long</t>
        </is>
      </c>
      <c r="H669" s="3" t="n">
        <v>11644.75</v>
      </c>
      <c r="I669" s="3" t="n">
        <v>11720</v>
      </c>
      <c r="J669" s="3">
        <f>IF(G669="Long",I669-H669,IF(G669="Short",H669-I669,0))</f>
        <v/>
      </c>
      <c r="K669" s="4" t="n">
        <v>75.75</v>
      </c>
      <c r="L669" s="2" t="inlineStr">
        <is>
          <t>Win</t>
        </is>
      </c>
      <c r="M669" s="3">
        <f>M668+J669</f>
        <v/>
      </c>
    </row>
    <row r="670">
      <c r="A670" s="2" t="inlineStr">
        <is>
          <t>2022-11-11</t>
        </is>
      </c>
      <c r="B670" s="2" t="inlineStr">
        <is>
          <t>Friday</t>
        </is>
      </c>
      <c r="C670" s="2" t="inlineStr">
        <is>
          <t>MNQZ2</t>
        </is>
      </c>
      <c r="D670" s="3" t="n">
        <v>11644.75</v>
      </c>
      <c r="E670" s="3" t="n">
        <v>11569.5</v>
      </c>
      <c r="F670" s="3">
        <f>D670-E670</f>
        <v/>
      </c>
      <c r="G670" s="2" t="inlineStr">
        <is>
          <t>Long</t>
        </is>
      </c>
      <c r="H670" s="3" t="n">
        <v>11644.75</v>
      </c>
      <c r="I670" s="3" t="n">
        <v>11720</v>
      </c>
      <c r="J670" s="3">
        <f>IF(G670="Long",I670-H670,IF(G670="Short",H670-I670,0))</f>
        <v/>
      </c>
      <c r="K670" s="4" t="n">
        <v>7.97</v>
      </c>
      <c r="L670" s="2" t="inlineStr">
        <is>
          <t>Win</t>
        </is>
      </c>
      <c r="M670" s="3">
        <f>M669+J670</f>
        <v/>
      </c>
    </row>
    <row r="671">
      <c r="A671" s="2" t="inlineStr">
        <is>
          <t>2022-11-14</t>
        </is>
      </c>
      <c r="B671" s="2" t="inlineStr">
        <is>
          <t>Monday</t>
        </is>
      </c>
      <c r="C671" s="2" t="inlineStr">
        <is>
          <t>MNQZ2</t>
        </is>
      </c>
      <c r="D671" s="3" t="n">
        <v>11785.5</v>
      </c>
      <c r="E671" s="3" t="n">
        <v>11719</v>
      </c>
      <c r="F671" s="3">
        <f>D671-E671</f>
        <v/>
      </c>
      <c r="G671" s="2" t="inlineStr">
        <is>
          <t>Long</t>
        </is>
      </c>
      <c r="H671" s="3" t="n">
        <v>11785.5</v>
      </c>
      <c r="I671" s="3" t="n">
        <v>11852</v>
      </c>
      <c r="J671" s="3">
        <f>IF(G671="Long",I671-H671,IF(G671="Short",H671-I671,0))</f>
        <v/>
      </c>
      <c r="K671" s="4" t="n">
        <v>85.70999999999999</v>
      </c>
      <c r="L671" s="2" t="inlineStr">
        <is>
          <t>Win</t>
        </is>
      </c>
      <c r="M671" s="3">
        <f>M670+J671</f>
        <v/>
      </c>
    </row>
    <row r="672">
      <c r="A672" s="8" t="inlineStr">
        <is>
          <t>2022-11-14</t>
        </is>
      </c>
      <c r="B672" s="8" t="inlineStr">
        <is>
          <t>Monday</t>
        </is>
      </c>
      <c r="C672" s="8" t="inlineStr">
        <is>
          <t>MNQZ2</t>
        </is>
      </c>
      <c r="D672" s="9" t="n">
        <v>11785.5</v>
      </c>
      <c r="E672" s="9" t="n">
        <v>11719</v>
      </c>
      <c r="F672" s="9">
        <f>D672-E672</f>
        <v/>
      </c>
      <c r="G672" s="8" t="inlineStr">
        <is>
          <t>Long</t>
        </is>
      </c>
      <c r="H672" s="9" t="n">
        <v>11785.5</v>
      </c>
      <c r="I672" s="9" t="n">
        <v>11742.25</v>
      </c>
      <c r="J672" s="9">
        <f>IF(G672="Long",I672-H672,IF(G672="Short",H672-I672,0))</f>
        <v/>
      </c>
      <c r="K672" s="10" t="n">
        <v>85.34</v>
      </c>
      <c r="L672" s="8" t="inlineStr">
        <is>
          <t>EOD-Close</t>
        </is>
      </c>
      <c r="M672" s="9">
        <f>M671+J672</f>
        <v/>
      </c>
    </row>
    <row r="673">
      <c r="A673" s="2" t="inlineStr">
        <is>
          <t>2022-11-15</t>
        </is>
      </c>
      <c r="B673" s="2" t="inlineStr">
        <is>
          <t>Tuesday</t>
        </is>
      </c>
      <c r="C673" s="2" t="inlineStr">
        <is>
          <t>MNQZ2</t>
        </is>
      </c>
      <c r="D673" s="3" t="n">
        <v>12063</v>
      </c>
      <c r="E673" s="3" t="n">
        <v>12003.25</v>
      </c>
      <c r="F673" s="3">
        <f>D673-E673</f>
        <v/>
      </c>
      <c r="G673" s="2" t="inlineStr">
        <is>
          <t>Short</t>
        </is>
      </c>
      <c r="H673" s="3" t="n">
        <v>12003.25</v>
      </c>
      <c r="I673" s="3" t="n">
        <v>11943.5</v>
      </c>
      <c r="J673" s="3">
        <f>IF(G673="Long",I673-H673,IF(G673="Short",H673-I673,0))</f>
        <v/>
      </c>
      <c r="K673" s="4" t="n">
        <v>85.77</v>
      </c>
      <c r="L673" s="2" t="inlineStr">
        <is>
          <t>Win</t>
        </is>
      </c>
      <c r="M673" s="3">
        <f>M672+J673</f>
        <v/>
      </c>
    </row>
    <row r="674">
      <c r="A674" s="2" t="inlineStr">
        <is>
          <t>2022-11-15</t>
        </is>
      </c>
      <c r="B674" s="2" t="inlineStr">
        <is>
          <t>Tuesday</t>
        </is>
      </c>
      <c r="C674" s="2" t="inlineStr">
        <is>
          <t>MNQZ2</t>
        </is>
      </c>
      <c r="D674" s="3" t="n">
        <v>12063</v>
      </c>
      <c r="E674" s="3" t="n">
        <v>12003.25</v>
      </c>
      <c r="F674" s="3">
        <f>D674-E674</f>
        <v/>
      </c>
      <c r="G674" s="2" t="inlineStr">
        <is>
          <t>Short</t>
        </is>
      </c>
      <c r="H674" s="3" t="n">
        <v>12003.25</v>
      </c>
      <c r="I674" s="3" t="n">
        <v>11943.5</v>
      </c>
      <c r="J674" s="3">
        <f>IF(G674="Long",I674-H674,IF(G674="Short",H674-I674,0))</f>
        <v/>
      </c>
      <c r="K674" s="4" t="n">
        <v>68.2</v>
      </c>
      <c r="L674" s="2" t="inlineStr">
        <is>
          <t>Win</t>
        </is>
      </c>
      <c r="M674" s="3">
        <f>M673+J674</f>
        <v/>
      </c>
    </row>
    <row r="675">
      <c r="A675" s="2" t="inlineStr">
        <is>
          <t>2022-11-16</t>
        </is>
      </c>
      <c r="B675" s="2" t="inlineStr">
        <is>
          <t>Wednesday</t>
        </is>
      </c>
      <c r="C675" s="2" t="inlineStr">
        <is>
          <t>MNQZ2</t>
        </is>
      </c>
      <c r="D675" s="3" t="n">
        <v>11836.75</v>
      </c>
      <c r="E675" s="3" t="n">
        <v>11794.5</v>
      </c>
      <c r="F675" s="3">
        <f>D675-E675</f>
        <v/>
      </c>
      <c r="G675" s="2" t="inlineStr">
        <is>
          <t>Short</t>
        </is>
      </c>
      <c r="H675" s="3" t="n">
        <v>11794.5</v>
      </c>
      <c r="I675" s="3" t="n">
        <v>11752.25</v>
      </c>
      <c r="J675" s="3">
        <f>IF(G675="Long",I675-H675,IF(G675="Short",H675-I675,0))</f>
        <v/>
      </c>
      <c r="K675" s="4" t="n">
        <v>0</v>
      </c>
      <c r="L675" s="2" t="inlineStr">
        <is>
          <t>Win</t>
        </is>
      </c>
      <c r="M675" s="3">
        <f>M674+J675</f>
        <v/>
      </c>
    </row>
    <row r="676">
      <c r="A676" s="2" t="inlineStr">
        <is>
          <t>2022-11-16</t>
        </is>
      </c>
      <c r="B676" s="2" t="inlineStr">
        <is>
          <t>Wednesday</t>
        </is>
      </c>
      <c r="C676" s="2" t="inlineStr">
        <is>
          <t>MNQZ2</t>
        </is>
      </c>
      <c r="D676" s="3" t="n">
        <v>11836.75</v>
      </c>
      <c r="E676" s="3" t="n">
        <v>11794.5</v>
      </c>
      <c r="F676" s="3">
        <f>D676-E676</f>
        <v/>
      </c>
      <c r="G676" s="2" t="inlineStr">
        <is>
          <t>Short</t>
        </is>
      </c>
      <c r="H676" s="3" t="n">
        <v>11794.5</v>
      </c>
      <c r="I676" s="3" t="n">
        <v>11752.25</v>
      </c>
      <c r="J676" s="3">
        <f>IF(G676="Long",I676-H676,IF(G676="Short",H676-I676,0))</f>
        <v/>
      </c>
      <c r="K676" s="4" t="n">
        <v>8.880000000000001</v>
      </c>
      <c r="L676" s="2" t="inlineStr">
        <is>
          <t>Win</t>
        </is>
      </c>
      <c r="M676" s="3">
        <f>M675+J676</f>
        <v/>
      </c>
    </row>
    <row r="677">
      <c r="A677" s="2" t="inlineStr">
        <is>
          <t>2022-11-17</t>
        </is>
      </c>
      <c r="B677" s="2" t="inlineStr">
        <is>
          <t>Thursday</t>
        </is>
      </c>
      <c r="C677" s="2" t="inlineStr">
        <is>
          <t>MNQZ2</t>
        </is>
      </c>
      <c r="D677" s="3" t="n">
        <v>11614</v>
      </c>
      <c r="E677" s="3" t="n">
        <v>11543.5</v>
      </c>
      <c r="F677" s="3">
        <f>D677-E677</f>
        <v/>
      </c>
      <c r="G677" s="2" t="inlineStr">
        <is>
          <t>Long</t>
        </is>
      </c>
      <c r="H677" s="3" t="n">
        <v>11614</v>
      </c>
      <c r="I677" s="3" t="n">
        <v>11684.5</v>
      </c>
      <c r="J677" s="3">
        <f>IF(G677="Long",I677-H677,IF(G677="Short",H677-I677,0))</f>
        <v/>
      </c>
      <c r="K677" s="4" t="n">
        <v>62.06</v>
      </c>
      <c r="L677" s="2" t="inlineStr">
        <is>
          <t>Win</t>
        </is>
      </c>
      <c r="M677" s="3">
        <f>M676+J677</f>
        <v/>
      </c>
    </row>
    <row r="678">
      <c r="A678" s="2" t="inlineStr">
        <is>
          <t>2022-11-18</t>
        </is>
      </c>
      <c r="B678" s="2" t="inlineStr">
        <is>
          <t>Friday</t>
        </is>
      </c>
      <c r="C678" s="2" t="inlineStr">
        <is>
          <t>MNQZ2</t>
        </is>
      </c>
      <c r="D678" s="3" t="n">
        <v>11842.75</v>
      </c>
      <c r="E678" s="3" t="n">
        <v>11747.5</v>
      </c>
      <c r="F678" s="3">
        <f>D678-E678</f>
        <v/>
      </c>
      <c r="G678" s="2" t="inlineStr">
        <is>
          <t>Short</t>
        </is>
      </c>
      <c r="H678" s="3" t="n">
        <v>11747.5</v>
      </c>
      <c r="I678" s="3" t="n">
        <v>11652.25</v>
      </c>
      <c r="J678" s="3">
        <f>IF(G678="Long",I678-H678,IF(G678="Short",H678-I678,0))</f>
        <v/>
      </c>
      <c r="K678" s="4" t="n">
        <v>39.11</v>
      </c>
      <c r="L678" s="2" t="inlineStr">
        <is>
          <t>Win</t>
        </is>
      </c>
      <c r="M678" s="3">
        <f>M677+J678</f>
        <v/>
      </c>
    </row>
    <row r="679">
      <c r="A679" s="2" t="inlineStr">
        <is>
          <t>2022-11-21</t>
        </is>
      </c>
      <c r="B679" s="2" t="inlineStr">
        <is>
          <t>Monday</t>
        </is>
      </c>
      <c r="C679" s="2" t="inlineStr">
        <is>
          <t>MNQZ2</t>
        </is>
      </c>
      <c r="D679" s="3" t="n">
        <v>11694.25</v>
      </c>
      <c r="E679" s="3" t="n">
        <v>11628.25</v>
      </c>
      <c r="F679" s="3">
        <f>D679-E679</f>
        <v/>
      </c>
      <c r="G679" s="2" t="inlineStr">
        <is>
          <t>Short</t>
        </is>
      </c>
      <c r="H679" s="3" t="n">
        <v>11628.25</v>
      </c>
      <c r="I679" s="3" t="n">
        <v>11562.25</v>
      </c>
      <c r="J679" s="3">
        <f>IF(G679="Long",I679-H679,IF(G679="Short",H679-I679,0))</f>
        <v/>
      </c>
      <c r="K679" s="4" t="n">
        <v>17.8</v>
      </c>
      <c r="L679" s="2" t="inlineStr">
        <is>
          <t>Win</t>
        </is>
      </c>
      <c r="M679" s="3">
        <f>M678+J679</f>
        <v/>
      </c>
    </row>
    <row r="680">
      <c r="A680" s="8" t="inlineStr">
        <is>
          <t>2022-11-21</t>
        </is>
      </c>
      <c r="B680" s="8" t="inlineStr">
        <is>
          <t>Monday</t>
        </is>
      </c>
      <c r="C680" s="8" t="inlineStr">
        <is>
          <t>MNQZ2</t>
        </is>
      </c>
      <c r="D680" s="9" t="n">
        <v>11694.25</v>
      </c>
      <c r="E680" s="9" t="n">
        <v>11628.25</v>
      </c>
      <c r="F680" s="9">
        <f>D680-E680</f>
        <v/>
      </c>
      <c r="G680" s="8" t="inlineStr">
        <is>
          <t>Short</t>
        </is>
      </c>
      <c r="H680" s="9" t="n">
        <v>11628.25</v>
      </c>
      <c r="I680" s="9" t="n">
        <v>11587.25</v>
      </c>
      <c r="J680" s="9">
        <f>IF(G680="Long",I680-H680,IF(G680="Short",H680-I680,0))</f>
        <v/>
      </c>
      <c r="K680" s="10" t="n">
        <v>9.85</v>
      </c>
      <c r="L680" s="8" t="inlineStr">
        <is>
          <t>EOD-Close</t>
        </is>
      </c>
      <c r="M680" s="9">
        <f>M679+J680</f>
        <v/>
      </c>
    </row>
    <row r="681">
      <c r="A681" s="2" t="inlineStr">
        <is>
          <t>2022-11-22</t>
        </is>
      </c>
      <c r="B681" s="2" t="inlineStr">
        <is>
          <t>Tuesday</t>
        </is>
      </c>
      <c r="C681" s="2" t="inlineStr">
        <is>
          <t>MNQZ2</t>
        </is>
      </c>
      <c r="D681" s="3" t="n">
        <v>11628.75</v>
      </c>
      <c r="E681" s="3" t="n">
        <v>11527.5</v>
      </c>
      <c r="F681" s="3">
        <f>D681-E681</f>
        <v/>
      </c>
      <c r="G681" s="2" t="inlineStr">
        <is>
          <t>Long</t>
        </is>
      </c>
      <c r="H681" s="3" t="n">
        <v>11628.75</v>
      </c>
      <c r="I681" s="3" t="n">
        <v>11730</v>
      </c>
      <c r="J681" s="3">
        <f>IF(G681="Long",I681-H681,IF(G681="Short",H681-I681,0))</f>
        <v/>
      </c>
      <c r="K681" s="4" t="n">
        <v>12.59</v>
      </c>
      <c r="L681" s="2" t="inlineStr">
        <is>
          <t>Win</t>
        </is>
      </c>
      <c r="M681" s="3">
        <f>M680+J681</f>
        <v/>
      </c>
    </row>
    <row r="682">
      <c r="A682" s="2" t="inlineStr">
        <is>
          <t>2022-11-23</t>
        </is>
      </c>
      <c r="B682" s="2" t="inlineStr">
        <is>
          <t>Wednesday</t>
        </is>
      </c>
      <c r="C682" s="2" t="inlineStr">
        <is>
          <t>MNQZ2</t>
        </is>
      </c>
      <c r="D682" s="3" t="n">
        <v>11802</v>
      </c>
      <c r="E682" s="3" t="n">
        <v>11744.75</v>
      </c>
      <c r="F682" s="3">
        <f>D682-E682</f>
        <v/>
      </c>
      <c r="G682" s="2" t="inlineStr">
        <is>
          <t>Long</t>
        </is>
      </c>
      <c r="H682" s="3" t="n">
        <v>11802</v>
      </c>
      <c r="I682" s="3" t="n">
        <v>11859.25</v>
      </c>
      <c r="J682" s="3">
        <f>IF(G682="Long",I682-H682,IF(G682="Short",H682-I682,0))</f>
        <v/>
      </c>
      <c r="K682" s="4" t="n">
        <v>0</v>
      </c>
      <c r="L682" s="2" t="inlineStr">
        <is>
          <t>Win</t>
        </is>
      </c>
      <c r="M682" s="3">
        <f>M681+J682</f>
        <v/>
      </c>
    </row>
    <row r="683">
      <c r="A683" s="5" t="inlineStr">
        <is>
          <t>2022-11-23</t>
        </is>
      </c>
      <c r="B683" s="5" t="inlineStr">
        <is>
          <t>Wednesday</t>
        </is>
      </c>
      <c r="C683" s="5" t="inlineStr">
        <is>
          <t>MNQZ2</t>
        </is>
      </c>
      <c r="D683" s="6" t="n">
        <v>11802</v>
      </c>
      <c r="E683" s="6" t="n">
        <v>11744.75</v>
      </c>
      <c r="F683" s="6">
        <f>D683-E683</f>
        <v/>
      </c>
      <c r="G683" s="5" t="inlineStr">
        <is>
          <t>Long</t>
        </is>
      </c>
      <c r="H683" s="6" t="n">
        <v>11802</v>
      </c>
      <c r="I683" s="6" t="n">
        <v>11744.75</v>
      </c>
      <c r="J683" s="6">
        <f>IF(G683="Long",I683-H683,IF(G683="Short",H683-I683,0))</f>
        <v/>
      </c>
      <c r="K683" s="7" t="n">
        <v>100</v>
      </c>
      <c r="L683" s="5" t="inlineStr">
        <is>
          <t>Loss</t>
        </is>
      </c>
      <c r="M683" s="6">
        <f>M682+J683</f>
        <v/>
      </c>
    </row>
    <row r="684">
      <c r="A684" s="8" t="inlineStr">
        <is>
          <t>2022-11-24</t>
        </is>
      </c>
      <c r="B684" s="8" t="inlineStr">
        <is>
          <t>Thursday</t>
        </is>
      </c>
      <c r="C684" s="8" t="inlineStr">
        <is>
          <t>MNQZ2</t>
        </is>
      </c>
      <c r="D684" s="9" t="n">
        <v>11918.75</v>
      </c>
      <c r="E684" s="9" t="n">
        <v>11901</v>
      </c>
      <c r="F684" s="9">
        <f>D684-E684</f>
        <v/>
      </c>
      <c r="G684" s="8" t="inlineStr">
        <is>
          <t>Long</t>
        </is>
      </c>
      <c r="H684" s="9" t="n">
        <v>11918.75</v>
      </c>
      <c r="I684" s="9" t="n">
        <v>11910</v>
      </c>
      <c r="J684" s="9">
        <f>IF(G684="Long",I684-H684,IF(G684="Short",H684-I684,0))</f>
        <v/>
      </c>
      <c r="K684" s="10" t="n">
        <v>49.3</v>
      </c>
      <c r="L684" s="8" t="inlineStr">
        <is>
          <t>EOD-Close</t>
        </is>
      </c>
      <c r="M684" s="9">
        <f>M683+J684</f>
        <v/>
      </c>
    </row>
    <row r="685">
      <c r="A685" s="8" t="inlineStr">
        <is>
          <t>2022-11-25</t>
        </is>
      </c>
      <c r="B685" s="8" t="inlineStr">
        <is>
          <t>Friday</t>
        </is>
      </c>
      <c r="C685" s="8" t="inlineStr">
        <is>
          <t>MNQZ2</t>
        </is>
      </c>
      <c r="D685" s="9" t="n">
        <v>11814</v>
      </c>
      <c r="E685" s="9" t="n">
        <v>11766.25</v>
      </c>
      <c r="F685" s="9">
        <f>D685-E685</f>
        <v/>
      </c>
      <c r="G685" s="8" t="inlineStr">
        <is>
          <t>Long</t>
        </is>
      </c>
      <c r="H685" s="9" t="n">
        <v>11814</v>
      </c>
      <c r="I685" s="9" t="n">
        <v>11784</v>
      </c>
      <c r="J685" s="9">
        <f>IF(G685="Long",I685-H685,IF(G685="Short",H685-I685,0))</f>
        <v/>
      </c>
      <c r="K685" s="10" t="n">
        <v>90.05</v>
      </c>
      <c r="L685" s="8" t="inlineStr">
        <is>
          <t>EOD-Close</t>
        </is>
      </c>
      <c r="M685" s="9">
        <f>M684+J685</f>
        <v/>
      </c>
    </row>
    <row r="686">
      <c r="A686" s="2" t="inlineStr">
        <is>
          <t>2022-11-28</t>
        </is>
      </c>
      <c r="B686" s="2" t="inlineStr">
        <is>
          <t>Monday</t>
        </is>
      </c>
      <c r="C686" s="2" t="inlineStr">
        <is>
          <t>MNQZ2</t>
        </is>
      </c>
      <c r="D686" s="3" t="n">
        <v>11780.75</v>
      </c>
      <c r="E686" s="3" t="n">
        <v>11693.75</v>
      </c>
      <c r="F686" s="3">
        <f>D686-E686</f>
        <v/>
      </c>
      <c r="G686" s="2" t="inlineStr">
        <is>
          <t>Short</t>
        </is>
      </c>
      <c r="H686" s="3" t="n">
        <v>11693.75</v>
      </c>
      <c r="I686" s="3" t="n">
        <v>11606.75</v>
      </c>
      <c r="J686" s="3">
        <f>IF(G686="Long",I686-H686,IF(G686="Short",H686-I686,0))</f>
        <v/>
      </c>
      <c r="K686" s="4" t="n">
        <v>45.98</v>
      </c>
      <c r="L686" s="2" t="inlineStr">
        <is>
          <t>Win</t>
        </is>
      </c>
      <c r="M686" s="3">
        <f>M685+J686</f>
        <v/>
      </c>
    </row>
    <row r="687">
      <c r="A687" s="5" t="inlineStr">
        <is>
          <t>2022-11-29</t>
        </is>
      </c>
      <c r="B687" s="5" t="inlineStr">
        <is>
          <t>Tuesday</t>
        </is>
      </c>
      <c r="C687" s="5" t="inlineStr">
        <is>
          <t>MNQZ2</t>
        </is>
      </c>
      <c r="D687" s="6" t="n">
        <v>11628</v>
      </c>
      <c r="E687" s="6" t="n">
        <v>11579</v>
      </c>
      <c r="F687" s="6">
        <f>D687-E687</f>
        <v/>
      </c>
      <c r="G687" s="5" t="inlineStr">
        <is>
          <t>Short</t>
        </is>
      </c>
      <c r="H687" s="6" t="n">
        <v>11579</v>
      </c>
      <c r="I687" s="6" t="n">
        <v>11628</v>
      </c>
      <c r="J687" s="6">
        <f>IF(G687="Long",I687-H687,IF(G687="Short",H687-I687,0))</f>
        <v/>
      </c>
      <c r="K687" s="7" t="n">
        <v>100</v>
      </c>
      <c r="L687" s="5" t="inlineStr">
        <is>
          <t>Loss</t>
        </is>
      </c>
      <c r="M687" s="6">
        <f>M686+J687</f>
        <v/>
      </c>
    </row>
    <row r="688">
      <c r="A688" s="2" t="inlineStr">
        <is>
          <t>2022-11-29</t>
        </is>
      </c>
      <c r="B688" s="2" t="inlineStr">
        <is>
          <t>Tuesday</t>
        </is>
      </c>
      <c r="C688" s="2" t="inlineStr">
        <is>
          <t>MNQZ2</t>
        </is>
      </c>
      <c r="D688" s="3" t="n">
        <v>11628</v>
      </c>
      <c r="E688" s="3" t="n">
        <v>11579</v>
      </c>
      <c r="F688" s="3">
        <f>D688-E688</f>
        <v/>
      </c>
      <c r="G688" s="2" t="inlineStr">
        <is>
          <t>Short</t>
        </is>
      </c>
      <c r="H688" s="3" t="n">
        <v>11579</v>
      </c>
      <c r="I688" s="3" t="n">
        <v>11530</v>
      </c>
      <c r="J688" s="3">
        <f>IF(G688="Long",I688-H688,IF(G688="Short",H688-I688,0))</f>
        <v/>
      </c>
      <c r="K688" s="4" t="n">
        <v>0</v>
      </c>
      <c r="L688" s="2" t="inlineStr">
        <is>
          <t>Win</t>
        </is>
      </c>
      <c r="M688" s="3">
        <f>M687+J688</f>
        <v/>
      </c>
    </row>
    <row r="689">
      <c r="A689" s="5" t="inlineStr">
        <is>
          <t>2022-11-30</t>
        </is>
      </c>
      <c r="B689" s="5" t="inlineStr">
        <is>
          <t>Wednesday</t>
        </is>
      </c>
      <c r="C689" s="5" t="inlineStr">
        <is>
          <t>MNQZ2</t>
        </is>
      </c>
      <c r="D689" s="6" t="n">
        <v>11581.75</v>
      </c>
      <c r="E689" s="6" t="n">
        <v>11518.75</v>
      </c>
      <c r="F689" s="6">
        <f>D689-E689</f>
        <v/>
      </c>
      <c r="G689" s="5" t="inlineStr">
        <is>
          <t>Short</t>
        </is>
      </c>
      <c r="H689" s="6" t="n">
        <v>11518.75</v>
      </c>
      <c r="I689" s="6" t="n">
        <v>11581.75</v>
      </c>
      <c r="J689" s="6">
        <f>IF(G689="Long",I689-H689,IF(G689="Short",H689-I689,0))</f>
        <v/>
      </c>
      <c r="K689" s="7" t="n">
        <v>100</v>
      </c>
      <c r="L689" s="5" t="inlineStr">
        <is>
          <t>Loss</t>
        </is>
      </c>
      <c r="M689" s="6">
        <f>M688+J689</f>
        <v/>
      </c>
    </row>
    <row r="690">
      <c r="A690" s="2" t="inlineStr">
        <is>
          <t>2022-11-30</t>
        </is>
      </c>
      <c r="B690" s="2" t="inlineStr">
        <is>
          <t>Wednesday</t>
        </is>
      </c>
      <c r="C690" s="2" t="inlineStr">
        <is>
          <t>MNQZ2</t>
        </is>
      </c>
      <c r="D690" s="3" t="n">
        <v>11581.75</v>
      </c>
      <c r="E690" s="3" t="n">
        <v>11518.75</v>
      </c>
      <c r="F690" s="3">
        <f>D690-E690</f>
        <v/>
      </c>
      <c r="G690" s="2" t="inlineStr">
        <is>
          <t>Long</t>
        </is>
      </c>
      <c r="H690" s="3" t="n">
        <v>11581.75</v>
      </c>
      <c r="I690" s="3" t="n">
        <v>11644.75</v>
      </c>
      <c r="J690" s="3">
        <f>IF(G690="Long",I690-H690,IF(G690="Short",H690-I690,0))</f>
        <v/>
      </c>
      <c r="K690" s="4" t="n">
        <v>0</v>
      </c>
      <c r="L690" s="2" t="inlineStr">
        <is>
          <t>Win</t>
        </is>
      </c>
      <c r="M690" s="3">
        <f>M689+J690</f>
        <v/>
      </c>
    </row>
    <row r="691">
      <c r="A691" s="5" t="inlineStr">
        <is>
          <t>2022-12-01</t>
        </is>
      </c>
      <c r="B691" s="5" t="inlineStr">
        <is>
          <t>Thursday</t>
        </is>
      </c>
      <c r="C691" s="5" t="inlineStr">
        <is>
          <t>MNQZ2</t>
        </is>
      </c>
      <c r="D691" s="6" t="n">
        <v>12103.5</v>
      </c>
      <c r="E691" s="6" t="n">
        <v>12031.5</v>
      </c>
      <c r="F691" s="6">
        <f>D691-E691</f>
        <v/>
      </c>
      <c r="G691" s="5" t="inlineStr">
        <is>
          <t>Long</t>
        </is>
      </c>
      <c r="H691" s="6" t="n">
        <v>12103.5</v>
      </c>
      <c r="I691" s="6" t="n">
        <v>12031.5</v>
      </c>
      <c r="J691" s="6">
        <f>IF(G691="Long",I691-H691,IF(G691="Short",H691-I691,0))</f>
        <v/>
      </c>
      <c r="K691" s="7" t="n">
        <v>100</v>
      </c>
      <c r="L691" s="5" t="inlineStr">
        <is>
          <t>Loss</t>
        </is>
      </c>
      <c r="M691" s="6">
        <f>M690+J691</f>
        <v/>
      </c>
    </row>
    <row r="692">
      <c r="A692" s="2" t="inlineStr">
        <is>
          <t>2022-12-01</t>
        </is>
      </c>
      <c r="B692" s="2" t="inlineStr">
        <is>
          <t>Thursday</t>
        </is>
      </c>
      <c r="C692" s="2" t="inlineStr">
        <is>
          <t>MNQZ2</t>
        </is>
      </c>
      <c r="D692" s="3" t="n">
        <v>12103.5</v>
      </c>
      <c r="E692" s="3" t="n">
        <v>12031.5</v>
      </c>
      <c r="F692" s="3">
        <f>D692-E692</f>
        <v/>
      </c>
      <c r="G692" s="2" t="inlineStr">
        <is>
          <t>Short</t>
        </is>
      </c>
      <c r="H692" s="3" t="n">
        <v>12031.5</v>
      </c>
      <c r="I692" s="3" t="n">
        <v>11959.5</v>
      </c>
      <c r="J692" s="3">
        <f>IF(G692="Long",I692-H692,IF(G692="Short",H692-I692,0))</f>
        <v/>
      </c>
      <c r="K692" s="4" t="n">
        <v>0</v>
      </c>
      <c r="L692" s="2" t="inlineStr">
        <is>
          <t>Win</t>
        </is>
      </c>
      <c r="M692" s="3">
        <f>M691+J692</f>
        <v/>
      </c>
    </row>
    <row r="693">
      <c r="A693" s="2" t="inlineStr">
        <is>
          <t>2022-12-02</t>
        </is>
      </c>
      <c r="B693" s="2" t="inlineStr">
        <is>
          <t>Friday</t>
        </is>
      </c>
      <c r="C693" s="2" t="inlineStr">
        <is>
          <t>MNQZ2</t>
        </is>
      </c>
      <c r="D693" s="3" t="n">
        <v>11915.75</v>
      </c>
      <c r="E693" s="3" t="n">
        <v>11844.25</v>
      </c>
      <c r="F693" s="3">
        <f>D693-E693</f>
        <v/>
      </c>
      <c r="G693" s="2" t="inlineStr">
        <is>
          <t>Long</t>
        </is>
      </c>
      <c r="H693" s="3" t="n">
        <v>11915.75</v>
      </c>
      <c r="I693" s="3" t="n">
        <v>11987.25</v>
      </c>
      <c r="J693" s="3">
        <f>IF(G693="Long",I693-H693,IF(G693="Short",H693-I693,0))</f>
        <v/>
      </c>
      <c r="K693" s="4" t="n">
        <v>51.75</v>
      </c>
      <c r="L693" s="2" t="inlineStr">
        <is>
          <t>Win</t>
        </is>
      </c>
      <c r="M693" s="3">
        <f>M692+J693</f>
        <v/>
      </c>
    </row>
    <row r="694">
      <c r="A694" s="2" t="inlineStr">
        <is>
          <t>2022-12-05</t>
        </is>
      </c>
      <c r="B694" s="2" t="inlineStr">
        <is>
          <t>Monday</t>
        </is>
      </c>
      <c r="C694" s="2" t="inlineStr">
        <is>
          <t>MNQZ2</t>
        </is>
      </c>
      <c r="D694" s="3" t="n">
        <v>11972.25</v>
      </c>
      <c r="E694" s="3" t="n">
        <v>11911.5</v>
      </c>
      <c r="F694" s="3">
        <f>D694-E694</f>
        <v/>
      </c>
      <c r="G694" s="2" t="inlineStr">
        <is>
          <t>Short</t>
        </is>
      </c>
      <c r="H694" s="3" t="n">
        <v>11911.5</v>
      </c>
      <c r="I694" s="3" t="n">
        <v>11850.75</v>
      </c>
      <c r="J694" s="3">
        <f>IF(G694="Long",I694-H694,IF(G694="Short",H694-I694,0))</f>
        <v/>
      </c>
      <c r="K694" s="4" t="n">
        <v>65.02</v>
      </c>
      <c r="L694" s="2" t="inlineStr">
        <is>
          <t>Win</t>
        </is>
      </c>
      <c r="M694" s="3">
        <f>M693+J694</f>
        <v/>
      </c>
    </row>
    <row r="695">
      <c r="A695" s="2" t="inlineStr">
        <is>
          <t>2022-12-06</t>
        </is>
      </c>
      <c r="B695" s="2" t="inlineStr">
        <is>
          <t>Tuesday</t>
        </is>
      </c>
      <c r="C695" s="2" t="inlineStr">
        <is>
          <t>MNQZ2</t>
        </is>
      </c>
      <c r="D695" s="3" t="n">
        <v>11805.75</v>
      </c>
      <c r="E695" s="3" t="n">
        <v>11722.5</v>
      </c>
      <c r="F695" s="3">
        <f>D695-E695</f>
        <v/>
      </c>
      <c r="G695" s="2" t="inlineStr">
        <is>
          <t>Short</t>
        </is>
      </c>
      <c r="H695" s="3" t="n">
        <v>11722.5</v>
      </c>
      <c r="I695" s="3" t="n">
        <v>11639.25</v>
      </c>
      <c r="J695" s="3">
        <f>IF(G695="Long",I695-H695,IF(G695="Short",H695-I695,0))</f>
        <v/>
      </c>
      <c r="K695" s="4" t="n">
        <v>0</v>
      </c>
      <c r="L695" s="2" t="inlineStr">
        <is>
          <t>Win</t>
        </is>
      </c>
      <c r="M695" s="3">
        <f>M694+J695</f>
        <v/>
      </c>
    </row>
    <row r="696">
      <c r="A696" s="8" t="inlineStr">
        <is>
          <t>2022-12-07</t>
        </is>
      </c>
      <c r="B696" s="8" t="inlineStr">
        <is>
          <t>Wednesday</t>
        </is>
      </c>
      <c r="C696" s="8" t="inlineStr">
        <is>
          <t>MNQZ2</t>
        </is>
      </c>
      <c r="D696" s="9" t="n">
        <v>11596</v>
      </c>
      <c r="E696" s="9" t="n">
        <v>11495.5</v>
      </c>
      <c r="F696" s="9">
        <f>D696-E696</f>
        <v/>
      </c>
      <c r="G696" s="8" t="inlineStr">
        <is>
          <t>Short</t>
        </is>
      </c>
      <c r="H696" s="9" t="n">
        <v>11495.5</v>
      </c>
      <c r="I696" s="9" t="n">
        <v>11507.75</v>
      </c>
      <c r="J696" s="9">
        <f>IF(G696="Long",I696-H696,IF(G696="Short",H696-I696,0))</f>
        <v/>
      </c>
      <c r="K696" s="10" t="n">
        <v>84.83</v>
      </c>
      <c r="L696" s="8" t="inlineStr">
        <is>
          <t>EOD-Close</t>
        </is>
      </c>
      <c r="M696" s="9">
        <f>M695+J696</f>
        <v/>
      </c>
    </row>
    <row r="697">
      <c r="A697" s="2" t="inlineStr">
        <is>
          <t>2022-12-08</t>
        </is>
      </c>
      <c r="B697" s="2" t="inlineStr">
        <is>
          <t>Thursday</t>
        </is>
      </c>
      <c r="C697" s="2" t="inlineStr">
        <is>
          <t>MNQZ2</t>
        </is>
      </c>
      <c r="D697" s="3" t="n">
        <v>11572.75</v>
      </c>
      <c r="E697" s="3" t="n">
        <v>11488.75</v>
      </c>
      <c r="F697" s="3">
        <f>D697-E697</f>
        <v/>
      </c>
      <c r="G697" s="2" t="inlineStr">
        <is>
          <t>Long</t>
        </is>
      </c>
      <c r="H697" s="3" t="n">
        <v>11572.75</v>
      </c>
      <c r="I697" s="3" t="n">
        <v>11656.75</v>
      </c>
      <c r="J697" s="3">
        <f>IF(G697="Long",I697-H697,IF(G697="Short",H697-I697,0))</f>
        <v/>
      </c>
      <c r="K697" s="4" t="n">
        <v>0</v>
      </c>
      <c r="L697" s="2" t="inlineStr">
        <is>
          <t>Win</t>
        </is>
      </c>
      <c r="M697" s="3">
        <f>M696+J697</f>
        <v/>
      </c>
    </row>
    <row r="698">
      <c r="A698" s="8" t="inlineStr">
        <is>
          <t>2022-12-09</t>
        </is>
      </c>
      <c r="B698" s="8" t="inlineStr">
        <is>
          <t>Friday</t>
        </is>
      </c>
      <c r="C698" s="8" t="inlineStr">
        <is>
          <t>MNQZ2</t>
        </is>
      </c>
      <c r="D698" s="9" t="n">
        <v>11642.75</v>
      </c>
      <c r="E698" s="9" t="n">
        <v>11550</v>
      </c>
      <c r="F698" s="9">
        <f>D698-E698</f>
        <v/>
      </c>
      <c r="G698" s="8" t="inlineStr">
        <is>
          <t>Long</t>
        </is>
      </c>
      <c r="H698" s="9" t="n">
        <v>11642.75</v>
      </c>
      <c r="I698" s="9" t="n">
        <v>11570.5</v>
      </c>
      <c r="J698" s="9">
        <f>IF(G698="Long",I698-H698,IF(G698="Short",H698-I698,0))</f>
        <v/>
      </c>
      <c r="K698" s="10" t="n">
        <v>82.48</v>
      </c>
      <c r="L698" s="8" t="inlineStr">
        <is>
          <t>EOD-Close</t>
        </is>
      </c>
      <c r="M698" s="9">
        <f>M697+J698</f>
        <v/>
      </c>
    </row>
    <row r="699">
      <c r="A699" s="5" t="inlineStr">
        <is>
          <t>2022-12-12</t>
        </is>
      </c>
      <c r="B699" s="5" t="inlineStr">
        <is>
          <t>Monday</t>
        </is>
      </c>
      <c r="C699" s="5" t="inlineStr">
        <is>
          <t>MNQH3</t>
        </is>
      </c>
      <c r="D699" s="6" t="n">
        <v>11714.25</v>
      </c>
      <c r="E699" s="6" t="n">
        <v>11659</v>
      </c>
      <c r="F699" s="6">
        <f>D699-E699</f>
        <v/>
      </c>
      <c r="G699" s="5" t="inlineStr">
        <is>
          <t>Short</t>
        </is>
      </c>
      <c r="H699" s="6" t="n">
        <v>11659</v>
      </c>
      <c r="I699" s="6" t="n">
        <v>11714.25</v>
      </c>
      <c r="J699" s="6">
        <f>IF(G699="Long",I699-H699,IF(G699="Short",H699-I699,0))</f>
        <v/>
      </c>
      <c r="K699" s="7" t="n">
        <v>100</v>
      </c>
      <c r="L699" s="5" t="inlineStr">
        <is>
          <t>Loss</t>
        </is>
      </c>
      <c r="M699" s="6">
        <f>M698+J699</f>
        <v/>
      </c>
    </row>
    <row r="700">
      <c r="A700" s="2" t="inlineStr">
        <is>
          <t>2022-12-12</t>
        </is>
      </c>
      <c r="B700" s="2" t="inlineStr">
        <is>
          <t>Monday</t>
        </is>
      </c>
      <c r="C700" s="2" t="inlineStr">
        <is>
          <t>MNQH3</t>
        </is>
      </c>
      <c r="D700" s="3" t="n">
        <v>11714.25</v>
      </c>
      <c r="E700" s="3" t="n">
        <v>11659</v>
      </c>
      <c r="F700" s="3">
        <f>D700-E700</f>
        <v/>
      </c>
      <c r="G700" s="2" t="inlineStr">
        <is>
          <t>Long</t>
        </is>
      </c>
      <c r="H700" s="3" t="n">
        <v>11714.25</v>
      </c>
      <c r="I700" s="3" t="n">
        <v>11769.5</v>
      </c>
      <c r="J700" s="3">
        <f>IF(G700="Long",I700-H700,IF(G700="Short",H700-I700,0))</f>
        <v/>
      </c>
      <c r="K700" s="4" t="n">
        <v>61.54</v>
      </c>
      <c r="L700" s="2" t="inlineStr">
        <is>
          <t>Win</t>
        </is>
      </c>
      <c r="M700" s="3">
        <f>M699+J700</f>
        <v/>
      </c>
    </row>
    <row r="701">
      <c r="A701" s="2" t="inlineStr">
        <is>
          <t>2022-12-13</t>
        </is>
      </c>
      <c r="B701" s="2" t="inlineStr">
        <is>
          <t>Tuesday</t>
        </is>
      </c>
      <c r="C701" s="2" t="inlineStr">
        <is>
          <t>MNQH3</t>
        </is>
      </c>
      <c r="D701" s="3" t="n">
        <v>12296.75</v>
      </c>
      <c r="E701" s="3" t="n">
        <v>12183.25</v>
      </c>
      <c r="F701" s="3">
        <f>D701-E701</f>
        <v/>
      </c>
      <c r="G701" s="2" t="inlineStr">
        <is>
          <t>Short</t>
        </is>
      </c>
      <c r="H701" s="3" t="n">
        <v>12183.25</v>
      </c>
      <c r="I701" s="3" t="n">
        <v>12069.75</v>
      </c>
      <c r="J701" s="3">
        <f>IF(G701="Long",I701-H701,IF(G701="Short",H701-I701,0))</f>
        <v/>
      </c>
      <c r="K701" s="4" t="n">
        <v>0</v>
      </c>
      <c r="L701" s="2" t="inlineStr">
        <is>
          <t>Win</t>
        </is>
      </c>
      <c r="M701" s="3">
        <f>M700+J701</f>
        <v/>
      </c>
    </row>
    <row r="702">
      <c r="A702" s="5" t="inlineStr">
        <is>
          <t>2022-12-14</t>
        </is>
      </c>
      <c r="B702" s="5" t="inlineStr">
        <is>
          <t>Wednesday</t>
        </is>
      </c>
      <c r="C702" s="5" t="inlineStr">
        <is>
          <t>MNQH3</t>
        </is>
      </c>
      <c r="D702" s="6" t="n">
        <v>12003</v>
      </c>
      <c r="E702" s="6" t="n">
        <v>11930</v>
      </c>
      <c r="F702" s="6">
        <f>D702-E702</f>
        <v/>
      </c>
      <c r="G702" s="5" t="inlineStr">
        <is>
          <t>Long</t>
        </is>
      </c>
      <c r="H702" s="6" t="n">
        <v>12003</v>
      </c>
      <c r="I702" s="6" t="n">
        <v>11930</v>
      </c>
      <c r="J702" s="6">
        <f>IF(G702="Long",I702-H702,IF(G702="Short",H702-I702,0))</f>
        <v/>
      </c>
      <c r="K702" s="7" t="n">
        <v>100</v>
      </c>
      <c r="L702" s="5" t="inlineStr">
        <is>
          <t>Loss</t>
        </is>
      </c>
      <c r="M702" s="6">
        <f>M701+J702</f>
        <v/>
      </c>
    </row>
    <row r="703">
      <c r="A703" s="2" t="inlineStr">
        <is>
          <t>2022-12-14</t>
        </is>
      </c>
      <c r="B703" s="2" t="inlineStr">
        <is>
          <t>Wednesday</t>
        </is>
      </c>
      <c r="C703" s="2" t="inlineStr">
        <is>
          <t>MNQH3</t>
        </is>
      </c>
      <c r="D703" s="3" t="n">
        <v>12003</v>
      </c>
      <c r="E703" s="3" t="n">
        <v>11930</v>
      </c>
      <c r="F703" s="3">
        <f>D703-E703</f>
        <v/>
      </c>
      <c r="G703" s="2" t="inlineStr">
        <is>
          <t>Short</t>
        </is>
      </c>
      <c r="H703" s="3" t="n">
        <v>11930</v>
      </c>
      <c r="I703" s="3" t="n">
        <v>11857</v>
      </c>
      <c r="J703" s="3">
        <f>IF(G703="Long",I703-H703,IF(G703="Short",H703-I703,0))</f>
        <v/>
      </c>
      <c r="K703" s="4" t="n">
        <v>0</v>
      </c>
      <c r="L703" s="2" t="inlineStr">
        <is>
          <t>Win</t>
        </is>
      </c>
      <c r="M703" s="3">
        <f>M702+J703</f>
        <v/>
      </c>
    </row>
    <row r="704">
      <c r="A704" s="2" t="inlineStr">
        <is>
          <t>2022-12-15</t>
        </is>
      </c>
      <c r="B704" s="2" t="inlineStr">
        <is>
          <t>Thursday</t>
        </is>
      </c>
      <c r="C704" s="2" t="inlineStr">
        <is>
          <t>MNQH3</t>
        </is>
      </c>
      <c r="D704" s="3" t="n">
        <v>11715.5</v>
      </c>
      <c r="E704" s="3" t="n">
        <v>11619.25</v>
      </c>
      <c r="F704" s="3">
        <f>D704-E704</f>
        <v/>
      </c>
      <c r="G704" s="2" t="inlineStr">
        <is>
          <t>Short</t>
        </is>
      </c>
      <c r="H704" s="3" t="n">
        <v>11619.25</v>
      </c>
      <c r="I704" s="3" t="n">
        <v>11523</v>
      </c>
      <c r="J704" s="3">
        <f>IF(G704="Long",I704-H704,IF(G704="Short",H704-I704,0))</f>
        <v/>
      </c>
      <c r="K704" s="4" t="n">
        <v>3.38</v>
      </c>
      <c r="L704" s="2" t="inlineStr">
        <is>
          <t>Win</t>
        </is>
      </c>
      <c r="M704" s="3">
        <f>M703+J704</f>
        <v/>
      </c>
    </row>
    <row r="705">
      <c r="A705" s="5" t="inlineStr">
        <is>
          <t>2022-12-16</t>
        </is>
      </c>
      <c r="B705" s="5" t="inlineStr">
        <is>
          <t>Friday</t>
        </is>
      </c>
      <c r="C705" s="5" t="inlineStr">
        <is>
          <t>MNQH3</t>
        </is>
      </c>
      <c r="D705" s="6" t="n">
        <v>11457.75</v>
      </c>
      <c r="E705" s="6" t="n">
        <v>11406.5</v>
      </c>
      <c r="F705" s="6">
        <f>D705-E705</f>
        <v/>
      </c>
      <c r="G705" s="5" t="inlineStr">
        <is>
          <t>Long</t>
        </is>
      </c>
      <c r="H705" s="6" t="n">
        <v>11457.75</v>
      </c>
      <c r="I705" s="6" t="n">
        <v>11406.5</v>
      </c>
      <c r="J705" s="6">
        <f>IF(G705="Long",I705-H705,IF(G705="Short",H705-I705,0))</f>
        <v/>
      </c>
      <c r="K705" s="7" t="n">
        <v>100</v>
      </c>
      <c r="L705" s="5" t="inlineStr">
        <is>
          <t>Loss</t>
        </is>
      </c>
      <c r="M705" s="6">
        <f>M704+J705</f>
        <v/>
      </c>
    </row>
    <row r="706">
      <c r="A706" s="2" t="inlineStr">
        <is>
          <t>2022-12-16</t>
        </is>
      </c>
      <c r="B706" s="2" t="inlineStr">
        <is>
          <t>Friday</t>
        </is>
      </c>
      <c r="C706" s="2" t="inlineStr">
        <is>
          <t>MNQH3</t>
        </is>
      </c>
      <c r="D706" s="3" t="n">
        <v>11457.75</v>
      </c>
      <c r="E706" s="3" t="n">
        <v>11406.5</v>
      </c>
      <c r="F706" s="3">
        <f>D706-E706</f>
        <v/>
      </c>
      <c r="G706" s="2" t="inlineStr">
        <is>
          <t>Short</t>
        </is>
      </c>
      <c r="H706" s="3" t="n">
        <v>11406.5</v>
      </c>
      <c r="I706" s="3" t="n">
        <v>11355.25</v>
      </c>
      <c r="J706" s="3">
        <f>IF(G706="Long",I706-H706,IF(G706="Short",H706-I706,0))</f>
        <v/>
      </c>
      <c r="K706" s="4" t="n">
        <v>0</v>
      </c>
      <c r="L706" s="2" t="inlineStr">
        <is>
          <t>Win</t>
        </is>
      </c>
      <c r="M706" s="3">
        <f>M705+J706</f>
        <v/>
      </c>
    </row>
    <row r="707">
      <c r="A707" s="2" t="inlineStr">
        <is>
          <t>2022-12-19</t>
        </is>
      </c>
      <c r="B707" s="2" t="inlineStr">
        <is>
          <t>Monday</t>
        </is>
      </c>
      <c r="C707" s="2" t="inlineStr">
        <is>
          <t>MNQH3</t>
        </is>
      </c>
      <c r="D707" s="3" t="n">
        <v>11359.25</v>
      </c>
      <c r="E707" s="3" t="n">
        <v>11285.25</v>
      </c>
      <c r="F707" s="3">
        <f>D707-E707</f>
        <v/>
      </c>
      <c r="G707" s="2" t="inlineStr">
        <is>
          <t>Short</t>
        </is>
      </c>
      <c r="H707" s="3" t="n">
        <v>11285.25</v>
      </c>
      <c r="I707" s="3" t="n">
        <v>11211.25</v>
      </c>
      <c r="J707" s="3">
        <f>IF(G707="Long",I707-H707,IF(G707="Short",H707-I707,0))</f>
        <v/>
      </c>
      <c r="K707" s="4" t="n">
        <v>32.77</v>
      </c>
      <c r="L707" s="2" t="inlineStr">
        <is>
          <t>Win</t>
        </is>
      </c>
      <c r="M707" s="3">
        <f>M706+J707</f>
        <v/>
      </c>
    </row>
    <row r="708">
      <c r="A708" s="2" t="inlineStr">
        <is>
          <t>2022-12-20</t>
        </is>
      </c>
      <c r="B708" s="2" t="inlineStr">
        <is>
          <t>Tuesday</t>
        </is>
      </c>
      <c r="C708" s="2" t="inlineStr">
        <is>
          <t>MNQH3</t>
        </is>
      </c>
      <c r="D708" s="3" t="n">
        <v>11151.5</v>
      </c>
      <c r="E708" s="3" t="n">
        <v>11083.25</v>
      </c>
      <c r="F708" s="3">
        <f>D708-E708</f>
        <v/>
      </c>
      <c r="G708" s="2" t="inlineStr">
        <is>
          <t>Long</t>
        </is>
      </c>
      <c r="H708" s="3" t="n">
        <v>11151.5</v>
      </c>
      <c r="I708" s="3" t="n">
        <v>11219.75</v>
      </c>
      <c r="J708" s="3">
        <f>IF(G708="Long",I708-H708,IF(G708="Short",H708-I708,0))</f>
        <v/>
      </c>
      <c r="K708" s="4" t="n">
        <v>0</v>
      </c>
      <c r="L708" s="2" t="inlineStr">
        <is>
          <t>Win</t>
        </is>
      </c>
      <c r="M708" s="3">
        <f>M707+J708</f>
        <v/>
      </c>
    </row>
    <row r="709">
      <c r="A709" s="2" t="inlineStr">
        <is>
          <t>2022-12-20</t>
        </is>
      </c>
      <c r="B709" s="2" t="inlineStr">
        <is>
          <t>Tuesday</t>
        </is>
      </c>
      <c r="C709" s="2" t="inlineStr">
        <is>
          <t>MNQH3</t>
        </is>
      </c>
      <c r="D709" s="3" t="n">
        <v>11151.5</v>
      </c>
      <c r="E709" s="3" t="n">
        <v>11083.25</v>
      </c>
      <c r="F709" s="3">
        <f>D709-E709</f>
        <v/>
      </c>
      <c r="G709" s="2" t="inlineStr">
        <is>
          <t>Long</t>
        </is>
      </c>
      <c r="H709" s="3" t="n">
        <v>11151.5</v>
      </c>
      <c r="I709" s="3" t="n">
        <v>11219.75</v>
      </c>
      <c r="J709" s="3">
        <f>IF(G709="Long",I709-H709,IF(G709="Short",H709-I709,0))</f>
        <v/>
      </c>
      <c r="K709" s="4" t="n">
        <v>72.89</v>
      </c>
      <c r="L709" s="2" t="inlineStr">
        <is>
          <t>Win</t>
        </is>
      </c>
      <c r="M709" s="3">
        <f>M708+J709</f>
        <v/>
      </c>
    </row>
    <row r="710">
      <c r="A710" s="2" t="inlineStr">
        <is>
          <t>2022-12-21</t>
        </is>
      </c>
      <c r="B710" s="2" t="inlineStr">
        <is>
          <t>Wednesday</t>
        </is>
      </c>
      <c r="C710" s="2" t="inlineStr">
        <is>
          <t>MNQH3</t>
        </is>
      </c>
      <c r="D710" s="3" t="n">
        <v>11238.75</v>
      </c>
      <c r="E710" s="3" t="n">
        <v>11181</v>
      </c>
      <c r="F710" s="3">
        <f>D710-E710</f>
        <v/>
      </c>
      <c r="G710" s="2" t="inlineStr">
        <is>
          <t>Long</t>
        </is>
      </c>
      <c r="H710" s="3" t="n">
        <v>11238.75</v>
      </c>
      <c r="I710" s="3" t="n">
        <v>11296.5</v>
      </c>
      <c r="J710" s="3">
        <f>IF(G710="Long",I710-H710,IF(G710="Short",H710-I710,0))</f>
        <v/>
      </c>
      <c r="K710" s="4" t="n">
        <v>37.66</v>
      </c>
      <c r="L710" s="2" t="inlineStr">
        <is>
          <t>Win</t>
        </is>
      </c>
      <c r="M710" s="3">
        <f>M709+J710</f>
        <v/>
      </c>
    </row>
    <row r="711">
      <c r="A711" s="2" t="inlineStr">
        <is>
          <t>2022-12-22</t>
        </is>
      </c>
      <c r="B711" s="2" t="inlineStr">
        <is>
          <t>Thursday</t>
        </is>
      </c>
      <c r="C711" s="2" t="inlineStr">
        <is>
          <t>MNQH3</t>
        </is>
      </c>
      <c r="D711" s="3" t="n">
        <v>11208</v>
      </c>
      <c r="E711" s="3" t="n">
        <v>11104.25</v>
      </c>
      <c r="F711" s="3">
        <f>D711-E711</f>
        <v/>
      </c>
      <c r="G711" s="2" t="inlineStr">
        <is>
          <t>Short</t>
        </is>
      </c>
      <c r="H711" s="3" t="n">
        <v>11104.25</v>
      </c>
      <c r="I711" s="3" t="n">
        <v>11000.5</v>
      </c>
      <c r="J711" s="3">
        <f>IF(G711="Long",I711-H711,IF(G711="Short",H711-I711,0))</f>
        <v/>
      </c>
      <c r="K711" s="4" t="n">
        <v>19.76</v>
      </c>
      <c r="L711" s="2" t="inlineStr">
        <is>
          <t>Win</t>
        </is>
      </c>
      <c r="M711" s="3">
        <f>M710+J711</f>
        <v/>
      </c>
    </row>
    <row r="712">
      <c r="A712" s="8" t="inlineStr">
        <is>
          <t>2022-12-23</t>
        </is>
      </c>
      <c r="B712" s="8" t="inlineStr">
        <is>
          <t>Friday</t>
        </is>
      </c>
      <c r="C712" s="8" t="inlineStr">
        <is>
          <t>MNQH3</t>
        </is>
      </c>
      <c r="D712" s="9" t="n">
        <v>11050.75</v>
      </c>
      <c r="E712" s="9" t="n">
        <v>10925.75</v>
      </c>
      <c r="F712" s="9">
        <f>D712-E712</f>
        <v/>
      </c>
      <c r="G712" s="8" t="inlineStr">
        <is>
          <t>Long</t>
        </is>
      </c>
      <c r="H712" s="9" t="n">
        <v>11050.75</v>
      </c>
      <c r="I712" s="9" t="n">
        <v>11079.5</v>
      </c>
      <c r="J712" s="9">
        <f>IF(G712="Long",I712-H712,IF(G712="Short",H712-I712,0))</f>
        <v/>
      </c>
      <c r="K712" s="10" t="n">
        <v>60.4</v>
      </c>
      <c r="L712" s="8" t="inlineStr">
        <is>
          <t>EOD-Close</t>
        </is>
      </c>
      <c r="M712" s="9">
        <f>M711+J712</f>
        <v/>
      </c>
    </row>
    <row r="713">
      <c r="A713" s="8" t="inlineStr">
        <is>
          <t>2022-12-27</t>
        </is>
      </c>
      <c r="B713" s="8" t="inlineStr">
        <is>
          <t>Tuesday</t>
        </is>
      </c>
      <c r="C713" s="8" t="inlineStr">
        <is>
          <t>MNQH3</t>
        </is>
      </c>
      <c r="D713" s="9" t="n">
        <v>11056</v>
      </c>
      <c r="E713" s="9" t="n">
        <v>10939</v>
      </c>
      <c r="F713" s="9">
        <f>D713-E713</f>
        <v/>
      </c>
      <c r="G713" s="8" t="inlineStr">
        <is>
          <t>Short</t>
        </is>
      </c>
      <c r="H713" s="9" t="n">
        <v>10939</v>
      </c>
      <c r="I713" s="9" t="n">
        <v>10918.75</v>
      </c>
      <c r="J713" s="9">
        <f>IF(G713="Long",I713-H713,IF(G713="Short",H713-I713,0))</f>
        <v/>
      </c>
      <c r="K713" s="10" t="n">
        <v>67.09</v>
      </c>
      <c r="L713" s="8" t="inlineStr">
        <is>
          <t>EOD-Close</t>
        </is>
      </c>
      <c r="M713" s="9">
        <f>M712+J713</f>
        <v/>
      </c>
    </row>
    <row r="714">
      <c r="A714" s="8" t="inlineStr">
        <is>
          <t>2022-12-28</t>
        </is>
      </c>
      <c r="B714" s="8" t="inlineStr">
        <is>
          <t>Wednesday</t>
        </is>
      </c>
      <c r="C714" s="8" t="inlineStr">
        <is>
          <t>MNQH3</t>
        </is>
      </c>
      <c r="D714" s="9" t="n">
        <v>10996.5</v>
      </c>
      <c r="E714" s="9" t="n">
        <v>10861.5</v>
      </c>
      <c r="F714" s="9">
        <f>D714-E714</f>
        <v/>
      </c>
      <c r="G714" s="8" t="inlineStr">
        <is>
          <t>Short</t>
        </is>
      </c>
      <c r="H714" s="9" t="n">
        <v>10861.5</v>
      </c>
      <c r="I714" s="9" t="n">
        <v>10770.75</v>
      </c>
      <c r="J714" s="9">
        <f>IF(G714="Long",I714-H714,IF(G714="Short",H714-I714,0))</f>
        <v/>
      </c>
      <c r="K714" s="10" t="n">
        <v>22.59</v>
      </c>
      <c r="L714" s="8" t="inlineStr">
        <is>
          <t>EOD-Close</t>
        </is>
      </c>
      <c r="M714" s="9">
        <f>M713+J714</f>
        <v/>
      </c>
    </row>
    <row r="715">
      <c r="A715" s="8" t="inlineStr">
        <is>
          <t>2022-12-29</t>
        </is>
      </c>
      <c r="B715" s="8" t="inlineStr">
        <is>
          <t>Thursday</t>
        </is>
      </c>
      <c r="C715" s="8" t="inlineStr">
        <is>
          <t>MNQH3</t>
        </is>
      </c>
      <c r="D715" s="9" t="n">
        <v>10968.5</v>
      </c>
      <c r="E715" s="9" t="n">
        <v>10856.5</v>
      </c>
      <c r="F715" s="9">
        <f>D715-E715</f>
        <v/>
      </c>
      <c r="G715" s="8" t="inlineStr">
        <is>
          <t>Long</t>
        </is>
      </c>
      <c r="H715" s="9" t="n">
        <v>10968.5</v>
      </c>
      <c r="I715" s="9" t="n">
        <v>11032.25</v>
      </c>
      <c r="J715" s="9">
        <f>IF(G715="Long",I715-H715,IF(G715="Short",H715-I715,0))</f>
        <v/>
      </c>
      <c r="K715" s="10" t="n">
        <v>0</v>
      </c>
      <c r="L715" s="8" t="inlineStr">
        <is>
          <t>EOD-Close</t>
        </is>
      </c>
      <c r="M715" s="9">
        <f>M714+J715</f>
        <v/>
      </c>
    </row>
    <row r="716">
      <c r="A716" s="5" t="inlineStr">
        <is>
          <t>2022-12-30</t>
        </is>
      </c>
      <c r="B716" s="5" t="inlineStr">
        <is>
          <t>Friday</t>
        </is>
      </c>
      <c r="C716" s="5" t="inlineStr">
        <is>
          <t>MNQH3</t>
        </is>
      </c>
      <c r="D716" s="6" t="n">
        <v>10947.75</v>
      </c>
      <c r="E716" s="6" t="n">
        <v>10884.5</v>
      </c>
      <c r="F716" s="6">
        <f>D716-E716</f>
        <v/>
      </c>
      <c r="G716" s="5" t="inlineStr">
        <is>
          <t>Short</t>
        </is>
      </c>
      <c r="H716" s="6" t="n">
        <v>10884.5</v>
      </c>
      <c r="I716" s="6" t="n">
        <v>10947.75</v>
      </c>
      <c r="J716" s="6">
        <f>IF(G716="Long",I716-H716,IF(G716="Short",H716-I716,0))</f>
        <v/>
      </c>
      <c r="K716" s="7" t="n">
        <v>100</v>
      </c>
      <c r="L716" s="5" t="inlineStr">
        <is>
          <t>Loss</t>
        </is>
      </c>
      <c r="M716" s="6">
        <f>M715+J716</f>
        <v/>
      </c>
    </row>
    <row r="717">
      <c r="A717" s="5" t="inlineStr">
        <is>
          <t>2022-12-30</t>
        </is>
      </c>
      <c r="B717" s="5" t="inlineStr">
        <is>
          <t>Friday</t>
        </is>
      </c>
      <c r="C717" s="5" t="inlineStr">
        <is>
          <t>MNQH3</t>
        </is>
      </c>
      <c r="D717" s="6" t="n">
        <v>10947.75</v>
      </c>
      <c r="E717" s="6" t="n">
        <v>10884.5</v>
      </c>
      <c r="F717" s="6">
        <f>D717-E717</f>
        <v/>
      </c>
      <c r="G717" s="5" t="inlineStr">
        <is>
          <t>Long</t>
        </is>
      </c>
      <c r="H717" s="6" t="n">
        <v>10947.75</v>
      </c>
      <c r="I717" s="6" t="n">
        <v>10884.5</v>
      </c>
      <c r="J717" s="6">
        <f>IF(G717="Long",I717-H717,IF(G717="Short",H717-I717,0))</f>
        <v/>
      </c>
      <c r="K717" s="7" t="n">
        <v>100</v>
      </c>
      <c r="L717" s="5" t="inlineStr">
        <is>
          <t>Loss</t>
        </is>
      </c>
      <c r="M717" s="6">
        <f>M716+J717</f>
        <v/>
      </c>
    </row>
    <row r="718">
      <c r="A718" s="2" t="inlineStr">
        <is>
          <t>2023-01-03</t>
        </is>
      </c>
      <c r="B718" s="2" t="inlineStr">
        <is>
          <t>Tuesday</t>
        </is>
      </c>
      <c r="C718" s="2" t="inlineStr">
        <is>
          <t>MNQH3</t>
        </is>
      </c>
      <c r="D718" s="3" t="n">
        <v>11181.75</v>
      </c>
      <c r="E718" s="3" t="n">
        <v>11072.5</v>
      </c>
      <c r="F718" s="3">
        <f>D718-E718</f>
        <v/>
      </c>
      <c r="G718" s="2" t="inlineStr">
        <is>
          <t>Short</t>
        </is>
      </c>
      <c r="H718" s="3" t="n">
        <v>11072.5</v>
      </c>
      <c r="I718" s="3" t="n">
        <v>10963.25</v>
      </c>
      <c r="J718" s="3">
        <f>IF(G718="Long",I718-H718,IF(G718="Short",H718-I718,0))</f>
        <v/>
      </c>
      <c r="K718" s="4" t="n">
        <v>11.21</v>
      </c>
      <c r="L718" s="2" t="inlineStr">
        <is>
          <t>Win</t>
        </is>
      </c>
      <c r="M718" s="3">
        <f>M717+J718</f>
        <v/>
      </c>
    </row>
    <row r="719">
      <c r="A719" s="2" t="inlineStr">
        <is>
          <t>2023-01-04</t>
        </is>
      </c>
      <c r="B719" s="2" t="inlineStr">
        <is>
          <t>Wednesday</t>
        </is>
      </c>
      <c r="C719" s="2" t="inlineStr">
        <is>
          <t>MNQH3</t>
        </is>
      </c>
      <c r="D719" s="3" t="n">
        <v>11046.75</v>
      </c>
      <c r="E719" s="3" t="n">
        <v>10961.75</v>
      </c>
      <c r="F719" s="3">
        <f>D719-E719</f>
        <v/>
      </c>
      <c r="G719" s="2" t="inlineStr">
        <is>
          <t>Short</t>
        </is>
      </c>
      <c r="H719" s="3" t="n">
        <v>10961.75</v>
      </c>
      <c r="I719" s="3" t="n">
        <v>10876.75</v>
      </c>
      <c r="J719" s="3">
        <f>IF(G719="Long",I719-H719,IF(G719="Short",H719-I719,0))</f>
        <v/>
      </c>
      <c r="K719" s="4" t="n">
        <v>0</v>
      </c>
      <c r="L719" s="2" t="inlineStr">
        <is>
          <t>Win</t>
        </is>
      </c>
      <c r="M719" s="3">
        <f>M718+J719</f>
        <v/>
      </c>
    </row>
    <row r="720">
      <c r="A720" s="5" t="inlineStr">
        <is>
          <t>2023-01-04</t>
        </is>
      </c>
      <c r="B720" s="5" t="inlineStr">
        <is>
          <t>Wednesday</t>
        </is>
      </c>
      <c r="C720" s="5" t="inlineStr">
        <is>
          <t>MNQH3</t>
        </is>
      </c>
      <c r="D720" s="6" t="n">
        <v>11046.75</v>
      </c>
      <c r="E720" s="6" t="n">
        <v>10961.75</v>
      </c>
      <c r="F720" s="6">
        <f>D720-E720</f>
        <v/>
      </c>
      <c r="G720" s="5" t="inlineStr">
        <is>
          <t>Short</t>
        </is>
      </c>
      <c r="H720" s="6" t="n">
        <v>10961.75</v>
      </c>
      <c r="I720" s="6" t="n">
        <v>11046.75</v>
      </c>
      <c r="J720" s="6">
        <f>IF(G720="Long",I720-H720,IF(G720="Short",H720-I720,0))</f>
        <v/>
      </c>
      <c r="K720" s="7" t="n">
        <v>100</v>
      </c>
      <c r="L720" s="5" t="inlineStr">
        <is>
          <t>Loss</t>
        </is>
      </c>
      <c r="M720" s="6">
        <f>M719+J720</f>
        <v/>
      </c>
    </row>
    <row r="721">
      <c r="A721" s="8" t="inlineStr">
        <is>
          <t>2023-01-05</t>
        </is>
      </c>
      <c r="B721" s="8" t="inlineStr">
        <is>
          <t>Thursday</t>
        </is>
      </c>
      <c r="C721" s="8" t="inlineStr">
        <is>
          <t>MNQH3</t>
        </is>
      </c>
      <c r="D721" s="9" t="n">
        <v>10926</v>
      </c>
      <c r="E721" s="9" t="n">
        <v>10820.25</v>
      </c>
      <c r="F721" s="9">
        <f>D721-E721</f>
        <v/>
      </c>
      <c r="G721" s="8" t="inlineStr">
        <is>
          <t>Short</t>
        </is>
      </c>
      <c r="H721" s="9" t="n">
        <v>10820.25</v>
      </c>
      <c r="I721" s="9" t="n">
        <v>10820.25</v>
      </c>
      <c r="J721" s="9">
        <f>IF(G721="Long",I721-H721,IF(G721="Short",H721-I721,0))</f>
        <v/>
      </c>
      <c r="K721" s="10" t="n">
        <v>5.44</v>
      </c>
      <c r="L721" s="8" t="inlineStr">
        <is>
          <t>EOD-Close</t>
        </is>
      </c>
      <c r="M721" s="9">
        <f>M720+J721</f>
        <v/>
      </c>
    </row>
    <row r="722">
      <c r="A722" s="2" t="inlineStr">
        <is>
          <t>2023-01-06</t>
        </is>
      </c>
      <c r="B722" s="2" t="inlineStr">
        <is>
          <t>Friday</t>
        </is>
      </c>
      <c r="C722" s="2" t="inlineStr">
        <is>
          <t>MNQH3</t>
        </is>
      </c>
      <c r="D722" s="3" t="n">
        <v>10945</v>
      </c>
      <c r="E722" s="3" t="n">
        <v>10777.75</v>
      </c>
      <c r="F722" s="3">
        <f>D722-E722</f>
        <v/>
      </c>
      <c r="G722" s="2" t="inlineStr">
        <is>
          <t>Long</t>
        </is>
      </c>
      <c r="H722" s="3" t="n">
        <v>10945</v>
      </c>
      <c r="I722" s="3" t="n">
        <v>11112.25</v>
      </c>
      <c r="J722" s="3">
        <f>IF(G722="Long",I722-H722,IF(G722="Short",H722-I722,0))</f>
        <v/>
      </c>
      <c r="K722" s="4" t="n">
        <v>4.78</v>
      </c>
      <c r="L722" s="2" t="inlineStr">
        <is>
          <t>Win</t>
        </is>
      </c>
      <c r="M722" s="3">
        <f>M721+J722</f>
        <v/>
      </c>
    </row>
    <row r="723">
      <c r="A723" s="2" t="inlineStr">
        <is>
          <t>2023-01-09</t>
        </is>
      </c>
      <c r="B723" s="2" t="inlineStr">
        <is>
          <t>Monday</t>
        </is>
      </c>
      <c r="C723" s="2" t="inlineStr">
        <is>
          <t>MNQH3</t>
        </is>
      </c>
      <c r="D723" s="3" t="n">
        <v>11246.25</v>
      </c>
      <c r="E723" s="3" t="n">
        <v>11194.5</v>
      </c>
      <c r="F723" s="3">
        <f>D723-E723</f>
        <v/>
      </c>
      <c r="G723" s="2" t="inlineStr">
        <is>
          <t>Long</t>
        </is>
      </c>
      <c r="H723" s="3" t="n">
        <v>11246.25</v>
      </c>
      <c r="I723" s="3" t="n">
        <v>11298</v>
      </c>
      <c r="J723" s="3">
        <f>IF(G723="Long",I723-H723,IF(G723="Short",H723-I723,0))</f>
        <v/>
      </c>
      <c r="K723" s="4" t="n">
        <v>0</v>
      </c>
      <c r="L723" s="2" t="inlineStr">
        <is>
          <t>Win</t>
        </is>
      </c>
      <c r="M723" s="3">
        <f>M722+J723</f>
        <v/>
      </c>
    </row>
    <row r="724">
      <c r="A724" s="5" t="inlineStr">
        <is>
          <t>2023-01-09</t>
        </is>
      </c>
      <c r="B724" s="5" t="inlineStr">
        <is>
          <t>Monday</t>
        </is>
      </c>
      <c r="C724" s="5" t="inlineStr">
        <is>
          <t>MNQH3</t>
        </is>
      </c>
      <c r="D724" s="6" t="n">
        <v>11246.25</v>
      </c>
      <c r="E724" s="6" t="n">
        <v>11194.5</v>
      </c>
      <c r="F724" s="6">
        <f>D724-E724</f>
        <v/>
      </c>
      <c r="G724" s="5" t="inlineStr">
        <is>
          <t>Long</t>
        </is>
      </c>
      <c r="H724" s="6" t="n">
        <v>11246.25</v>
      </c>
      <c r="I724" s="6" t="n">
        <v>11194.5</v>
      </c>
      <c r="J724" s="6">
        <f>IF(G724="Long",I724-H724,IF(G724="Short",H724-I724,0))</f>
        <v/>
      </c>
      <c r="K724" s="7" t="n">
        <v>100</v>
      </c>
      <c r="L724" s="5" t="inlineStr">
        <is>
          <t>Loss</t>
        </is>
      </c>
      <c r="M724" s="6">
        <f>M723+J724</f>
        <v/>
      </c>
    </row>
    <row r="725">
      <c r="A725" s="5" t="inlineStr">
        <is>
          <t>2023-01-10</t>
        </is>
      </c>
      <c r="B725" s="5" t="inlineStr">
        <is>
          <t>Tuesday</t>
        </is>
      </c>
      <c r="C725" s="5" t="inlineStr">
        <is>
          <t>MNQH3</t>
        </is>
      </c>
      <c r="D725" s="6" t="n">
        <v>11246.25</v>
      </c>
      <c r="E725" s="6" t="n">
        <v>11137.75</v>
      </c>
      <c r="F725" s="6">
        <f>D725-E725</f>
        <v/>
      </c>
      <c r="G725" s="5" t="inlineStr">
        <is>
          <t>Long</t>
        </is>
      </c>
      <c r="H725" s="6" t="n">
        <v>11246.25</v>
      </c>
      <c r="I725" s="6" t="n">
        <v>11137.75</v>
      </c>
      <c r="J725" s="6">
        <f>IF(G725="Long",I725-H725,IF(G725="Short",H725-I725,0))</f>
        <v/>
      </c>
      <c r="K725" s="7" t="n">
        <v>100</v>
      </c>
      <c r="L725" s="5" t="inlineStr">
        <is>
          <t>Loss</t>
        </is>
      </c>
      <c r="M725" s="6">
        <f>M724+J725</f>
        <v/>
      </c>
    </row>
    <row r="726">
      <c r="A726" s="5" t="inlineStr">
        <is>
          <t>2023-01-10</t>
        </is>
      </c>
      <c r="B726" s="5" t="inlineStr">
        <is>
          <t>Tuesday</t>
        </is>
      </c>
      <c r="C726" s="5" t="inlineStr">
        <is>
          <t>MNQH3</t>
        </is>
      </c>
      <c r="D726" s="6" t="n">
        <v>11246.25</v>
      </c>
      <c r="E726" s="6" t="n">
        <v>11137.75</v>
      </c>
      <c r="F726" s="6">
        <f>D726-E726</f>
        <v/>
      </c>
      <c r="G726" s="5" t="inlineStr">
        <is>
          <t>Short</t>
        </is>
      </c>
      <c r="H726" s="6" t="n">
        <v>11137.75</v>
      </c>
      <c r="I726" s="6" t="n">
        <v>11246.25</v>
      </c>
      <c r="J726" s="6">
        <f>IF(G726="Long",I726-H726,IF(G726="Short",H726-I726,0))</f>
        <v/>
      </c>
      <c r="K726" s="7" t="n">
        <v>100</v>
      </c>
      <c r="L726" s="5" t="inlineStr">
        <is>
          <t>Loss</t>
        </is>
      </c>
      <c r="M726" s="6">
        <f>M725+J726</f>
        <v/>
      </c>
    </row>
    <row r="727">
      <c r="A727" s="2" t="inlineStr">
        <is>
          <t>2023-01-11</t>
        </is>
      </c>
      <c r="B727" s="2" t="inlineStr">
        <is>
          <t>Wednesday</t>
        </is>
      </c>
      <c r="C727" s="2" t="inlineStr">
        <is>
          <t>MNQH3</t>
        </is>
      </c>
      <c r="D727" s="3" t="n">
        <v>11358.25</v>
      </c>
      <c r="E727" s="3" t="n">
        <v>11290.75</v>
      </c>
      <c r="F727" s="3">
        <f>D727-E727</f>
        <v/>
      </c>
      <c r="G727" s="2" t="inlineStr">
        <is>
          <t>Long</t>
        </is>
      </c>
      <c r="H727" s="3" t="n">
        <v>11358.25</v>
      </c>
      <c r="I727" s="3" t="n">
        <v>11425.75</v>
      </c>
      <c r="J727" s="3">
        <f>IF(G727="Long",I727-H727,IF(G727="Short",H727-I727,0))</f>
        <v/>
      </c>
      <c r="K727" s="4" t="n">
        <v>66.67</v>
      </c>
      <c r="L727" s="2" t="inlineStr">
        <is>
          <t>Win</t>
        </is>
      </c>
      <c r="M727" s="3">
        <f>M726+J727</f>
        <v/>
      </c>
    </row>
    <row r="728">
      <c r="A728" s="5" t="inlineStr">
        <is>
          <t>2023-01-12</t>
        </is>
      </c>
      <c r="B728" s="5" t="inlineStr">
        <is>
          <t>Thursday</t>
        </is>
      </c>
      <c r="C728" s="5" t="inlineStr">
        <is>
          <t>MNQH3</t>
        </is>
      </c>
      <c r="D728" s="6" t="n">
        <v>11518.5</v>
      </c>
      <c r="E728" s="6" t="n">
        <v>11356.25</v>
      </c>
      <c r="F728" s="6">
        <f>D728-E728</f>
        <v/>
      </c>
      <c r="G728" s="5" t="inlineStr">
        <is>
          <t>Short</t>
        </is>
      </c>
      <c r="H728" s="6" t="n">
        <v>11356.25</v>
      </c>
      <c r="I728" s="6" t="n">
        <v>11518.5</v>
      </c>
      <c r="J728" s="6">
        <f>IF(G728="Long",I728-H728,IF(G728="Short",H728-I728,0))</f>
        <v/>
      </c>
      <c r="K728" s="7" t="n">
        <v>100</v>
      </c>
      <c r="L728" s="5" t="inlineStr">
        <is>
          <t>Loss</t>
        </is>
      </c>
      <c r="M728" s="6">
        <f>M727+J728</f>
        <v/>
      </c>
    </row>
    <row r="729">
      <c r="A729" s="8" t="inlineStr">
        <is>
          <t>2023-01-12</t>
        </is>
      </c>
      <c r="B729" s="8" t="inlineStr">
        <is>
          <t>Thursday</t>
        </is>
      </c>
      <c r="C729" s="8" t="inlineStr">
        <is>
          <t>MNQH3</t>
        </is>
      </c>
      <c r="D729" s="9" t="n">
        <v>11518.5</v>
      </c>
      <c r="E729" s="9" t="n">
        <v>11356.25</v>
      </c>
      <c r="F729" s="9">
        <f>D729-E729</f>
        <v/>
      </c>
      <c r="G729" s="8" t="inlineStr">
        <is>
          <t>Long</t>
        </is>
      </c>
      <c r="H729" s="9" t="n">
        <v>11518.5</v>
      </c>
      <c r="I729" s="9" t="n">
        <v>11531.25</v>
      </c>
      <c r="J729" s="9">
        <f>IF(G729="Long",I729-H729,IF(G729="Short",H729-I729,0))</f>
        <v/>
      </c>
      <c r="K729" s="10" t="n">
        <v>40.99</v>
      </c>
      <c r="L729" s="8" t="inlineStr">
        <is>
          <t>EOD-Close</t>
        </is>
      </c>
      <c r="M729" s="9">
        <f>M728+J729</f>
        <v/>
      </c>
    </row>
    <row r="730">
      <c r="A730" s="2" t="inlineStr">
        <is>
          <t>2023-01-13</t>
        </is>
      </c>
      <c r="B730" s="2" t="inlineStr">
        <is>
          <t>Friday</t>
        </is>
      </c>
      <c r="C730" s="2" t="inlineStr">
        <is>
          <t>MNQH3</t>
        </is>
      </c>
      <c r="D730" s="3" t="n">
        <v>11466.5</v>
      </c>
      <c r="E730" s="3" t="n">
        <v>11415.75</v>
      </c>
      <c r="F730" s="3">
        <f>D730-E730</f>
        <v/>
      </c>
      <c r="G730" s="2" t="inlineStr">
        <is>
          <t>Long</t>
        </is>
      </c>
      <c r="H730" s="3" t="n">
        <v>11466.5</v>
      </c>
      <c r="I730" s="3" t="n">
        <v>11517.25</v>
      </c>
      <c r="J730" s="3">
        <f>IF(G730="Long",I730-H730,IF(G730="Short",H730-I730,0))</f>
        <v/>
      </c>
      <c r="K730" s="4" t="n">
        <v>0</v>
      </c>
      <c r="L730" s="2" t="inlineStr">
        <is>
          <t>Win</t>
        </is>
      </c>
      <c r="M730" s="3">
        <f>M729+J730</f>
        <v/>
      </c>
    </row>
    <row r="731">
      <c r="A731" s="2" t="inlineStr">
        <is>
          <t>2023-01-13</t>
        </is>
      </c>
      <c r="B731" s="2" t="inlineStr">
        <is>
          <t>Friday</t>
        </is>
      </c>
      <c r="C731" s="2" t="inlineStr">
        <is>
          <t>MNQH3</t>
        </is>
      </c>
      <c r="D731" s="3" t="n">
        <v>11466.5</v>
      </c>
      <c r="E731" s="3" t="n">
        <v>11415.75</v>
      </c>
      <c r="F731" s="3">
        <f>D731-E731</f>
        <v/>
      </c>
      <c r="G731" s="2" t="inlineStr">
        <is>
          <t>Long</t>
        </is>
      </c>
      <c r="H731" s="3" t="n">
        <v>11466.5</v>
      </c>
      <c r="I731" s="3" t="n">
        <v>11517.25</v>
      </c>
      <c r="J731" s="3">
        <f>IF(G731="Long",I731-H731,IF(G731="Short",H731-I731,0))</f>
        <v/>
      </c>
      <c r="K731" s="4" t="n">
        <v>25.12</v>
      </c>
      <c r="L731" s="2" t="inlineStr">
        <is>
          <t>Win</t>
        </is>
      </c>
      <c r="M731" s="3">
        <f>M730+J731</f>
        <v/>
      </c>
    </row>
    <row r="732">
      <c r="A732" s="2" t="inlineStr">
        <is>
          <t>2023-01-16</t>
        </is>
      </c>
      <c r="B732" s="2" t="inlineStr">
        <is>
          <t>Monday</t>
        </is>
      </c>
      <c r="C732" s="2" t="inlineStr">
        <is>
          <t>MNQH3</t>
        </is>
      </c>
      <c r="D732" s="3" t="n">
        <v>11611</v>
      </c>
      <c r="E732" s="3" t="n">
        <v>11588.5</v>
      </c>
      <c r="F732" s="3">
        <f>D732-E732</f>
        <v/>
      </c>
      <c r="G732" s="2" t="inlineStr">
        <is>
          <t>Short</t>
        </is>
      </c>
      <c r="H732" s="3" t="n">
        <v>11588.5</v>
      </c>
      <c r="I732" s="3" t="n">
        <v>11566</v>
      </c>
      <c r="J732" s="3">
        <f>IF(G732="Long",I732-H732,IF(G732="Short",H732-I732,0))</f>
        <v/>
      </c>
      <c r="K732" s="4" t="n">
        <v>52.22</v>
      </c>
      <c r="L732" s="2" t="inlineStr">
        <is>
          <t>Win</t>
        </is>
      </c>
      <c r="M732" s="3">
        <f>M731+J732</f>
        <v/>
      </c>
    </row>
    <row r="733">
      <c r="A733" s="8" t="inlineStr">
        <is>
          <t>2023-01-17</t>
        </is>
      </c>
      <c r="B733" s="8" t="inlineStr">
        <is>
          <t>Tuesday</t>
        </is>
      </c>
      <c r="C733" s="8" t="inlineStr">
        <is>
          <t>MNQH3</t>
        </is>
      </c>
      <c r="D733" s="9" t="n">
        <v>11620.5</v>
      </c>
      <c r="E733" s="9" t="n">
        <v>11549.25</v>
      </c>
      <c r="F733" s="9">
        <f>D733-E733</f>
        <v/>
      </c>
      <c r="G733" s="8" t="inlineStr">
        <is>
          <t>Long</t>
        </is>
      </c>
      <c r="H733" s="9" t="n">
        <v>11620.5</v>
      </c>
      <c r="I733" s="9" t="n">
        <v>11627</v>
      </c>
      <c r="J733" s="9">
        <f>IF(G733="Long",I733-H733,IF(G733="Short",H733-I733,0))</f>
        <v/>
      </c>
      <c r="K733" s="10" t="n">
        <v>91.93000000000001</v>
      </c>
      <c r="L733" s="8" t="inlineStr">
        <is>
          <t>EOD-Close</t>
        </is>
      </c>
      <c r="M733" s="9">
        <f>M732+J733</f>
        <v/>
      </c>
    </row>
    <row r="734">
      <c r="A734" s="5" t="inlineStr">
        <is>
          <t>2023-01-18</t>
        </is>
      </c>
      <c r="B734" s="5" t="inlineStr">
        <is>
          <t>Wednesday</t>
        </is>
      </c>
      <c r="C734" s="5" t="inlineStr">
        <is>
          <t>MNQH3</t>
        </is>
      </c>
      <c r="D734" s="6" t="n">
        <v>11727</v>
      </c>
      <c r="E734" s="6" t="n">
        <v>11672.25</v>
      </c>
      <c r="F734" s="6">
        <f>D734-E734</f>
        <v/>
      </c>
      <c r="G734" s="5" t="inlineStr">
        <is>
          <t>Long</t>
        </is>
      </c>
      <c r="H734" s="6" t="n">
        <v>11727</v>
      </c>
      <c r="I734" s="6" t="n">
        <v>11672.25</v>
      </c>
      <c r="J734" s="6">
        <f>IF(G734="Long",I734-H734,IF(G734="Short",H734-I734,0))</f>
        <v/>
      </c>
      <c r="K734" s="7" t="n">
        <v>100</v>
      </c>
      <c r="L734" s="5" t="inlineStr">
        <is>
          <t>Loss</t>
        </is>
      </c>
      <c r="M734" s="6">
        <f>M733+J734</f>
        <v/>
      </c>
    </row>
    <row r="735">
      <c r="A735" s="2" t="inlineStr">
        <is>
          <t>2023-01-18</t>
        </is>
      </c>
      <c r="B735" s="2" t="inlineStr">
        <is>
          <t>Wednesday</t>
        </is>
      </c>
      <c r="C735" s="2" t="inlineStr">
        <is>
          <t>MNQH3</t>
        </is>
      </c>
      <c r="D735" s="3" t="n">
        <v>11727</v>
      </c>
      <c r="E735" s="3" t="n">
        <v>11672.25</v>
      </c>
      <c r="F735" s="3">
        <f>D735-E735</f>
        <v/>
      </c>
      <c r="G735" s="2" t="inlineStr">
        <is>
          <t>Short</t>
        </is>
      </c>
      <c r="H735" s="3" t="n">
        <v>11672.25</v>
      </c>
      <c r="I735" s="3" t="n">
        <v>11617.5</v>
      </c>
      <c r="J735" s="3">
        <f>IF(G735="Long",I735-H735,IF(G735="Short",H735-I735,0))</f>
        <v/>
      </c>
      <c r="K735" s="4" t="n">
        <v>0</v>
      </c>
      <c r="L735" s="2" t="inlineStr">
        <is>
          <t>Win</t>
        </is>
      </c>
      <c r="M735" s="3">
        <f>M734+J735</f>
        <v/>
      </c>
    </row>
    <row r="736">
      <c r="A736" s="2" t="inlineStr">
        <is>
          <t>2023-01-19</t>
        </is>
      </c>
      <c r="B736" s="2" t="inlineStr">
        <is>
          <t>Thursday</t>
        </is>
      </c>
      <c r="C736" s="2" t="inlineStr">
        <is>
          <t>MNQH3</t>
        </is>
      </c>
      <c r="D736" s="3" t="n">
        <v>11446.75</v>
      </c>
      <c r="E736" s="3" t="n">
        <v>11386.5</v>
      </c>
      <c r="F736" s="3">
        <f>D736-E736</f>
        <v/>
      </c>
      <c r="G736" s="2" t="inlineStr">
        <is>
          <t>Short</t>
        </is>
      </c>
      <c r="H736" s="3" t="n">
        <v>11386.5</v>
      </c>
      <c r="I736" s="3" t="n">
        <v>11326.25</v>
      </c>
      <c r="J736" s="3">
        <f>IF(G736="Long",I736-H736,IF(G736="Short",H736-I736,0))</f>
        <v/>
      </c>
      <c r="K736" s="4" t="n">
        <v>51.87</v>
      </c>
      <c r="L736" s="2" t="inlineStr">
        <is>
          <t>Win</t>
        </is>
      </c>
      <c r="M736" s="3">
        <f>M735+J736</f>
        <v/>
      </c>
    </row>
    <row r="737">
      <c r="A737" s="5" t="inlineStr">
        <is>
          <t>2023-01-19</t>
        </is>
      </c>
      <c r="B737" s="5" t="inlineStr">
        <is>
          <t>Thursday</t>
        </is>
      </c>
      <c r="C737" s="5" t="inlineStr">
        <is>
          <t>MNQH3</t>
        </is>
      </c>
      <c r="D737" s="6" t="n">
        <v>11446.75</v>
      </c>
      <c r="E737" s="6" t="n">
        <v>11386.5</v>
      </c>
      <c r="F737" s="6">
        <f>D737-E737</f>
        <v/>
      </c>
      <c r="G737" s="5" t="inlineStr">
        <is>
          <t>Short</t>
        </is>
      </c>
      <c r="H737" s="6" t="n">
        <v>11386.5</v>
      </c>
      <c r="I737" s="6" t="n">
        <v>11446.75</v>
      </c>
      <c r="J737" s="6">
        <f>IF(G737="Long",I737-H737,IF(G737="Short",H737-I737,0))</f>
        <v/>
      </c>
      <c r="K737" s="7" t="n">
        <v>100</v>
      </c>
      <c r="L737" s="5" t="inlineStr">
        <is>
          <t>Loss</t>
        </is>
      </c>
      <c r="M737" s="6">
        <f>M736+J737</f>
        <v/>
      </c>
    </row>
    <row r="738">
      <c r="A738" s="2" t="inlineStr">
        <is>
          <t>2023-01-20</t>
        </is>
      </c>
      <c r="B738" s="2" t="inlineStr">
        <is>
          <t>Friday</t>
        </is>
      </c>
      <c r="C738" s="2" t="inlineStr">
        <is>
          <t>MNQH3</t>
        </is>
      </c>
      <c r="D738" s="3" t="n">
        <v>11445.5</v>
      </c>
      <c r="E738" s="3" t="n">
        <v>11383</v>
      </c>
      <c r="F738" s="3">
        <f>D738-E738</f>
        <v/>
      </c>
      <c r="G738" s="2" t="inlineStr">
        <is>
          <t>Long</t>
        </is>
      </c>
      <c r="H738" s="3" t="n">
        <v>11445.5</v>
      </c>
      <c r="I738" s="3" t="n">
        <v>11508</v>
      </c>
      <c r="J738" s="3">
        <f>IF(G738="Long",I738-H738,IF(G738="Short",H738-I738,0))</f>
        <v/>
      </c>
      <c r="K738" s="4" t="n">
        <v>33.6</v>
      </c>
      <c r="L738" s="2" t="inlineStr">
        <is>
          <t>Win</t>
        </is>
      </c>
      <c r="M738" s="3">
        <f>M737+J738</f>
        <v/>
      </c>
    </row>
    <row r="739">
      <c r="A739" s="2" t="inlineStr">
        <is>
          <t>2023-01-23</t>
        </is>
      </c>
      <c r="B739" s="2" t="inlineStr">
        <is>
          <t>Monday</t>
        </is>
      </c>
      <c r="C739" s="2" t="inlineStr">
        <is>
          <t>MNQH3</t>
        </is>
      </c>
      <c r="D739" s="3" t="n">
        <v>11752</v>
      </c>
      <c r="E739" s="3" t="n">
        <v>11671.75</v>
      </c>
      <c r="F739" s="3">
        <f>D739-E739</f>
        <v/>
      </c>
      <c r="G739" s="2" t="inlineStr">
        <is>
          <t>Long</t>
        </is>
      </c>
      <c r="H739" s="3" t="n">
        <v>11752</v>
      </c>
      <c r="I739" s="3" t="n">
        <v>11832.25</v>
      </c>
      <c r="J739" s="3">
        <f>IF(G739="Long",I739-H739,IF(G739="Short",H739-I739,0))</f>
        <v/>
      </c>
      <c r="K739" s="4" t="n">
        <v>0</v>
      </c>
      <c r="L739" s="2" t="inlineStr">
        <is>
          <t>Win</t>
        </is>
      </c>
      <c r="M739" s="3">
        <f>M738+J739</f>
        <v/>
      </c>
    </row>
    <row r="740">
      <c r="A740" s="5" t="inlineStr">
        <is>
          <t>2023-01-24</t>
        </is>
      </c>
      <c r="B740" s="5" t="inlineStr">
        <is>
          <t>Tuesday</t>
        </is>
      </c>
      <c r="C740" s="5" t="inlineStr">
        <is>
          <t>MNQH3</t>
        </is>
      </c>
      <c r="D740" s="6" t="n">
        <v>11902.25</v>
      </c>
      <c r="E740" s="6" t="n">
        <v>11840</v>
      </c>
      <c r="F740" s="6">
        <f>D740-E740</f>
        <v/>
      </c>
      <c r="G740" s="5" t="inlineStr">
        <is>
          <t>Long</t>
        </is>
      </c>
      <c r="H740" s="6" t="n">
        <v>11902.25</v>
      </c>
      <c r="I740" s="6" t="n">
        <v>11840</v>
      </c>
      <c r="J740" s="6">
        <f>IF(G740="Long",I740-H740,IF(G740="Short",H740-I740,0))</f>
        <v/>
      </c>
      <c r="K740" s="7" t="n">
        <v>100</v>
      </c>
      <c r="L740" s="5" t="inlineStr">
        <is>
          <t>Loss</t>
        </is>
      </c>
      <c r="M740" s="6">
        <f>M739+J740</f>
        <v/>
      </c>
    </row>
    <row r="741">
      <c r="A741" s="8" t="inlineStr">
        <is>
          <t>2023-01-24</t>
        </is>
      </c>
      <c r="B741" s="8" t="inlineStr">
        <is>
          <t>Tuesday</t>
        </is>
      </c>
      <c r="C741" s="8" t="inlineStr">
        <is>
          <t>MNQH3</t>
        </is>
      </c>
      <c r="D741" s="9" t="n">
        <v>11902.25</v>
      </c>
      <c r="E741" s="9" t="n">
        <v>11840</v>
      </c>
      <c r="F741" s="9">
        <f>D741-E741</f>
        <v/>
      </c>
      <c r="G741" s="8" t="inlineStr">
        <is>
          <t>Long</t>
        </is>
      </c>
      <c r="H741" s="9" t="n">
        <v>11902.25</v>
      </c>
      <c r="I741" s="9" t="n">
        <v>11905.5</v>
      </c>
      <c r="J741" s="9">
        <f>IF(G741="Long",I741-H741,IF(G741="Short",H741-I741,0))</f>
        <v/>
      </c>
      <c r="K741" s="10" t="n">
        <v>72.29000000000001</v>
      </c>
      <c r="L741" s="8" t="inlineStr">
        <is>
          <t>EOD-Close</t>
        </is>
      </c>
      <c r="M741" s="9">
        <f>M740+J741</f>
        <v/>
      </c>
    </row>
    <row r="742">
      <c r="A742" s="5" t="inlineStr">
        <is>
          <t>2023-01-25</t>
        </is>
      </c>
      <c r="B742" s="5" t="inlineStr">
        <is>
          <t>Wednesday</t>
        </is>
      </c>
      <c r="C742" s="5" t="inlineStr">
        <is>
          <t>MNQH3</t>
        </is>
      </c>
      <c r="D742" s="6" t="n">
        <v>11723.75</v>
      </c>
      <c r="E742" s="6" t="n">
        <v>11658.75</v>
      </c>
      <c r="F742" s="6">
        <f>D742-E742</f>
        <v/>
      </c>
      <c r="G742" s="5" t="inlineStr">
        <is>
          <t>Short</t>
        </is>
      </c>
      <c r="H742" s="6" t="n">
        <v>11658.75</v>
      </c>
      <c r="I742" s="6" t="n">
        <v>11723.75</v>
      </c>
      <c r="J742" s="6">
        <f>IF(G742="Long",I742-H742,IF(G742="Short",H742-I742,0))</f>
        <v/>
      </c>
      <c r="K742" s="7" t="n">
        <v>100</v>
      </c>
      <c r="L742" s="5" t="inlineStr">
        <is>
          <t>Loss</t>
        </is>
      </c>
      <c r="M742" s="6">
        <f>M741+J742</f>
        <v/>
      </c>
    </row>
    <row r="743">
      <c r="A743" s="2" t="inlineStr">
        <is>
          <t>2023-01-25</t>
        </is>
      </c>
      <c r="B743" s="2" t="inlineStr">
        <is>
          <t>Wednesday</t>
        </is>
      </c>
      <c r="C743" s="2" t="inlineStr">
        <is>
          <t>MNQH3</t>
        </is>
      </c>
      <c r="D743" s="3" t="n">
        <v>11723.75</v>
      </c>
      <c r="E743" s="3" t="n">
        <v>11658.75</v>
      </c>
      <c r="F743" s="3">
        <f>D743-E743</f>
        <v/>
      </c>
      <c r="G743" s="2" t="inlineStr">
        <is>
          <t>Long</t>
        </is>
      </c>
      <c r="H743" s="3" t="n">
        <v>11723.75</v>
      </c>
      <c r="I743" s="3" t="n">
        <v>11788.75</v>
      </c>
      <c r="J743" s="3">
        <f>IF(G743="Long",I743-H743,IF(G743="Short",H743-I743,0))</f>
        <v/>
      </c>
      <c r="K743" s="4" t="n">
        <v>17.69</v>
      </c>
      <c r="L743" s="2" t="inlineStr">
        <is>
          <t>Win</t>
        </is>
      </c>
      <c r="M743" s="3">
        <f>M742+J743</f>
        <v/>
      </c>
    </row>
    <row r="744">
      <c r="A744" s="2" t="inlineStr">
        <is>
          <t>2023-01-26</t>
        </is>
      </c>
      <c r="B744" s="2" t="inlineStr">
        <is>
          <t>Thursday</t>
        </is>
      </c>
      <c r="C744" s="2" t="inlineStr">
        <is>
          <t>MNQH3</t>
        </is>
      </c>
      <c r="D744" s="3" t="n">
        <v>12075</v>
      </c>
      <c r="E744" s="3" t="n">
        <v>12002.25</v>
      </c>
      <c r="F744" s="3">
        <f>D744-E744</f>
        <v/>
      </c>
      <c r="G744" s="2" t="inlineStr">
        <is>
          <t>Short</t>
        </is>
      </c>
      <c r="H744" s="3" t="n">
        <v>12002.25</v>
      </c>
      <c r="I744" s="3" t="n">
        <v>11929.5</v>
      </c>
      <c r="J744" s="3">
        <f>IF(G744="Long",I744-H744,IF(G744="Short",H744-I744,0))</f>
        <v/>
      </c>
      <c r="K744" s="4" t="n">
        <v>64.26000000000001</v>
      </c>
      <c r="L744" s="2" t="inlineStr">
        <is>
          <t>Win</t>
        </is>
      </c>
      <c r="M744" s="3">
        <f>M743+J744</f>
        <v/>
      </c>
    </row>
    <row r="745">
      <c r="A745" s="5" t="inlineStr">
        <is>
          <t>2023-01-26</t>
        </is>
      </c>
      <c r="B745" s="5" t="inlineStr">
        <is>
          <t>Thursday</t>
        </is>
      </c>
      <c r="C745" s="5" t="inlineStr">
        <is>
          <t>MNQH3</t>
        </is>
      </c>
      <c r="D745" s="6" t="n">
        <v>12075</v>
      </c>
      <c r="E745" s="6" t="n">
        <v>12002.25</v>
      </c>
      <c r="F745" s="6">
        <f>D745-E745</f>
        <v/>
      </c>
      <c r="G745" s="5" t="inlineStr">
        <is>
          <t>Short</t>
        </is>
      </c>
      <c r="H745" s="6" t="n">
        <v>12002.25</v>
      </c>
      <c r="I745" s="6" t="n">
        <v>12075</v>
      </c>
      <c r="J745" s="6">
        <f>IF(G745="Long",I745-H745,IF(G745="Short",H745-I745,0))</f>
        <v/>
      </c>
      <c r="K745" s="7" t="n">
        <v>100</v>
      </c>
      <c r="L745" s="5" t="inlineStr">
        <is>
          <t>Loss</t>
        </is>
      </c>
      <c r="M745" s="6">
        <f>M744+J745</f>
        <v/>
      </c>
    </row>
    <row r="746">
      <c r="A746" s="2" t="inlineStr">
        <is>
          <t>2023-01-27</t>
        </is>
      </c>
      <c r="B746" s="2" t="inlineStr">
        <is>
          <t>Friday</t>
        </is>
      </c>
      <c r="C746" s="2" t="inlineStr">
        <is>
          <t>MNQH3</t>
        </is>
      </c>
      <c r="D746" s="3" t="n">
        <v>12104.25</v>
      </c>
      <c r="E746" s="3" t="n">
        <v>12041.75</v>
      </c>
      <c r="F746" s="3">
        <f>D746-E746</f>
        <v/>
      </c>
      <c r="G746" s="2" t="inlineStr">
        <is>
          <t>Long</t>
        </is>
      </c>
      <c r="H746" s="3" t="n">
        <v>12104.25</v>
      </c>
      <c r="I746" s="3" t="n">
        <v>12166.75</v>
      </c>
      <c r="J746" s="3">
        <f>IF(G746="Long",I746-H746,IF(G746="Short",H746-I746,0))</f>
        <v/>
      </c>
      <c r="K746" s="4" t="n">
        <v>0</v>
      </c>
      <c r="L746" s="2" t="inlineStr">
        <is>
          <t>Win</t>
        </is>
      </c>
      <c r="M746" s="3">
        <f>M745+J746</f>
        <v/>
      </c>
    </row>
    <row r="747">
      <c r="A747" s="2" t="inlineStr">
        <is>
          <t>2023-01-27</t>
        </is>
      </c>
      <c r="B747" s="2" t="inlineStr">
        <is>
          <t>Friday</t>
        </is>
      </c>
      <c r="C747" s="2" t="inlineStr">
        <is>
          <t>MNQH3</t>
        </is>
      </c>
      <c r="D747" s="3" t="n">
        <v>12104.25</v>
      </c>
      <c r="E747" s="3" t="n">
        <v>12041.75</v>
      </c>
      <c r="F747" s="3">
        <f>D747-E747</f>
        <v/>
      </c>
      <c r="G747" s="2" t="inlineStr">
        <is>
          <t>Long</t>
        </is>
      </c>
      <c r="H747" s="3" t="n">
        <v>12104.25</v>
      </c>
      <c r="I747" s="3" t="n">
        <v>12166.75</v>
      </c>
      <c r="J747" s="3">
        <f>IF(G747="Long",I747-H747,IF(G747="Short",H747-I747,0))</f>
        <v/>
      </c>
      <c r="K747" s="4" t="n">
        <v>18.8</v>
      </c>
      <c r="L747" s="2" t="inlineStr">
        <is>
          <t>Win</t>
        </is>
      </c>
      <c r="M747" s="3">
        <f>M746+J747</f>
        <v/>
      </c>
    </row>
    <row r="748">
      <c r="A748" s="5" t="inlineStr">
        <is>
          <t>2023-01-30</t>
        </is>
      </c>
      <c r="B748" s="5" t="inlineStr">
        <is>
          <t>Monday</t>
        </is>
      </c>
      <c r="C748" s="5" t="inlineStr">
        <is>
          <t>MNQH3</t>
        </is>
      </c>
      <c r="D748" s="6" t="n">
        <v>12110.5</v>
      </c>
      <c r="E748" s="6" t="n">
        <v>12059.25</v>
      </c>
      <c r="F748" s="6">
        <f>D748-E748</f>
        <v/>
      </c>
      <c r="G748" s="5" t="inlineStr">
        <is>
          <t>Long</t>
        </is>
      </c>
      <c r="H748" s="6" t="n">
        <v>12110.5</v>
      </c>
      <c r="I748" s="6" t="n">
        <v>12059.25</v>
      </c>
      <c r="J748" s="6">
        <f>IF(G748="Long",I748-H748,IF(G748="Short",H748-I748,0))</f>
        <v/>
      </c>
      <c r="K748" s="7" t="n">
        <v>100</v>
      </c>
      <c r="L748" s="5" t="inlineStr">
        <is>
          <t>Loss</t>
        </is>
      </c>
      <c r="M748" s="6">
        <f>M747+J748</f>
        <v/>
      </c>
    </row>
    <row r="749">
      <c r="A749" s="2" t="inlineStr">
        <is>
          <t>2023-01-30</t>
        </is>
      </c>
      <c r="B749" s="2" t="inlineStr">
        <is>
          <t>Monday</t>
        </is>
      </c>
      <c r="C749" s="2" t="inlineStr">
        <is>
          <t>MNQH3</t>
        </is>
      </c>
      <c r="D749" s="3" t="n">
        <v>12110.5</v>
      </c>
      <c r="E749" s="3" t="n">
        <v>12059.25</v>
      </c>
      <c r="F749" s="3">
        <f>D749-E749</f>
        <v/>
      </c>
      <c r="G749" s="2" t="inlineStr">
        <is>
          <t>Short</t>
        </is>
      </c>
      <c r="H749" s="3" t="n">
        <v>12059.25</v>
      </c>
      <c r="I749" s="3" t="n">
        <v>12008</v>
      </c>
      <c r="J749" s="3">
        <f>IF(G749="Long",I749-H749,IF(G749="Short",H749-I749,0))</f>
        <v/>
      </c>
      <c r="K749" s="4" t="n">
        <v>0</v>
      </c>
      <c r="L749" s="2" t="inlineStr">
        <is>
          <t>Win</t>
        </is>
      </c>
      <c r="M749" s="3">
        <f>M748+J749</f>
        <v/>
      </c>
    </row>
    <row r="750">
      <c r="A750" s="2" t="inlineStr">
        <is>
          <t>2023-01-31</t>
        </is>
      </c>
      <c r="B750" s="2" t="inlineStr">
        <is>
          <t>Tuesday</t>
        </is>
      </c>
      <c r="C750" s="2" t="inlineStr">
        <is>
          <t>MNQH3</t>
        </is>
      </c>
      <c r="D750" s="3" t="n">
        <v>12038</v>
      </c>
      <c r="E750" s="3" t="n">
        <v>11969.25</v>
      </c>
      <c r="F750" s="3">
        <f>D750-E750</f>
        <v/>
      </c>
      <c r="G750" s="2" t="inlineStr">
        <is>
          <t>Long</t>
        </is>
      </c>
      <c r="H750" s="3" t="n">
        <v>12038</v>
      </c>
      <c r="I750" s="3" t="n">
        <v>12106.75</v>
      </c>
      <c r="J750" s="3">
        <f>IF(G750="Long",I750-H750,IF(G750="Short",H750-I750,0))</f>
        <v/>
      </c>
      <c r="K750" s="4" t="n">
        <v>88.73</v>
      </c>
      <c r="L750" s="2" t="inlineStr">
        <is>
          <t>Win</t>
        </is>
      </c>
      <c r="M750" s="3">
        <f>M749+J750</f>
        <v/>
      </c>
    </row>
    <row r="751">
      <c r="A751" s="5" t="inlineStr">
        <is>
          <t>2023-02-01</t>
        </is>
      </c>
      <c r="B751" s="5" t="inlineStr">
        <is>
          <t>Wednesday</t>
        </is>
      </c>
      <c r="C751" s="5" t="inlineStr">
        <is>
          <t>MNQH3</t>
        </is>
      </c>
      <c r="D751" s="6" t="n">
        <v>12156</v>
      </c>
      <c r="E751" s="6" t="n">
        <v>12101.5</v>
      </c>
      <c r="F751" s="6">
        <f>D751-E751</f>
        <v/>
      </c>
      <c r="G751" s="5" t="inlineStr">
        <is>
          <t>Short</t>
        </is>
      </c>
      <c r="H751" s="6" t="n">
        <v>12101.5</v>
      </c>
      <c r="I751" s="6" t="n">
        <v>12156</v>
      </c>
      <c r="J751" s="6">
        <f>IF(G751="Long",I751-H751,IF(G751="Short",H751-I751,0))</f>
        <v/>
      </c>
      <c r="K751" s="7" t="n">
        <v>100</v>
      </c>
      <c r="L751" s="5" t="inlineStr">
        <is>
          <t>Loss</t>
        </is>
      </c>
      <c r="M751" s="6">
        <f>M750+J751</f>
        <v/>
      </c>
    </row>
    <row r="752">
      <c r="A752" s="5" t="inlineStr">
        <is>
          <t>2023-02-01</t>
        </is>
      </c>
      <c r="B752" s="5" t="inlineStr">
        <is>
          <t>Wednesday</t>
        </is>
      </c>
      <c r="C752" s="5" t="inlineStr">
        <is>
          <t>MNQH3</t>
        </is>
      </c>
      <c r="D752" s="6" t="n">
        <v>12156</v>
      </c>
      <c r="E752" s="6" t="n">
        <v>12101.5</v>
      </c>
      <c r="F752" s="6">
        <f>D752-E752</f>
        <v/>
      </c>
      <c r="G752" s="5" t="inlineStr">
        <is>
          <t>Long</t>
        </is>
      </c>
      <c r="H752" s="6" t="n">
        <v>12156</v>
      </c>
      <c r="I752" s="6" t="n">
        <v>12101.5</v>
      </c>
      <c r="J752" s="6">
        <f>IF(G752="Long",I752-H752,IF(G752="Short",H752-I752,0))</f>
        <v/>
      </c>
      <c r="K752" s="7" t="n">
        <v>100</v>
      </c>
      <c r="L752" s="5" t="inlineStr">
        <is>
          <t>Loss</t>
        </is>
      </c>
      <c r="M752" s="6">
        <f>M751+J752</f>
        <v/>
      </c>
    </row>
    <row r="753">
      <c r="A753" s="2" t="inlineStr">
        <is>
          <t>2023-02-02</t>
        </is>
      </c>
      <c r="B753" s="2" t="inlineStr">
        <is>
          <t>Thursday</t>
        </is>
      </c>
      <c r="C753" s="2" t="inlineStr">
        <is>
          <t>MNQH3</t>
        </is>
      </c>
      <c r="D753" s="3" t="n">
        <v>12736.5</v>
      </c>
      <c r="E753" s="3" t="n">
        <v>12671</v>
      </c>
      <c r="F753" s="3">
        <f>D753-E753</f>
        <v/>
      </c>
      <c r="G753" s="2" t="inlineStr">
        <is>
          <t>Long</t>
        </is>
      </c>
      <c r="H753" s="3" t="n">
        <v>12736.5</v>
      </c>
      <c r="I753" s="3" t="n">
        <v>12802</v>
      </c>
      <c r="J753" s="3">
        <f>IF(G753="Long",I753-H753,IF(G753="Short",H753-I753,0))</f>
        <v/>
      </c>
      <c r="K753" s="4" t="n">
        <v>0</v>
      </c>
      <c r="L753" s="2" t="inlineStr">
        <is>
          <t>Win</t>
        </is>
      </c>
      <c r="M753" s="3">
        <f>M752+J753</f>
        <v/>
      </c>
    </row>
    <row r="754">
      <c r="A754" s="2" t="inlineStr">
        <is>
          <t>2023-02-02</t>
        </is>
      </c>
      <c r="B754" s="2" t="inlineStr">
        <is>
          <t>Thursday</t>
        </is>
      </c>
      <c r="C754" s="2" t="inlineStr">
        <is>
          <t>MNQH3</t>
        </is>
      </c>
      <c r="D754" s="3" t="n">
        <v>12736.5</v>
      </c>
      <c r="E754" s="3" t="n">
        <v>12671</v>
      </c>
      <c r="F754" s="3">
        <f>D754-E754</f>
        <v/>
      </c>
      <c r="G754" s="2" t="inlineStr">
        <is>
          <t>Long</t>
        </is>
      </c>
      <c r="H754" s="3" t="n">
        <v>12736.5</v>
      </c>
      <c r="I754" s="3" t="n">
        <v>12802</v>
      </c>
      <c r="J754" s="3">
        <f>IF(G754="Long",I754-H754,IF(G754="Short",H754-I754,0))</f>
        <v/>
      </c>
      <c r="K754" s="4" t="n">
        <v>68.7</v>
      </c>
      <c r="L754" s="2" t="inlineStr">
        <is>
          <t>Win</t>
        </is>
      </c>
      <c r="M754" s="3">
        <f>M753+J754</f>
        <v/>
      </c>
    </row>
    <row r="755">
      <c r="A755" s="2" t="inlineStr">
        <is>
          <t>2023-02-03</t>
        </is>
      </c>
      <c r="B755" s="2" t="inlineStr">
        <is>
          <t>Friday</t>
        </is>
      </c>
      <c r="C755" s="2" t="inlineStr">
        <is>
          <t>MNQH3</t>
        </is>
      </c>
      <c r="D755" s="3" t="n">
        <v>12693.5</v>
      </c>
      <c r="E755" s="3" t="n">
        <v>12558.25</v>
      </c>
      <c r="F755" s="3">
        <f>D755-E755</f>
        <v/>
      </c>
      <c r="G755" s="2" t="inlineStr">
        <is>
          <t>Long</t>
        </is>
      </c>
      <c r="H755" s="3" t="n">
        <v>12693.5</v>
      </c>
      <c r="I755" s="3" t="n">
        <v>12828.75</v>
      </c>
      <c r="J755" s="3">
        <f>IF(G755="Long",I755-H755,IF(G755="Short",H755-I755,0))</f>
        <v/>
      </c>
      <c r="K755" s="4" t="n">
        <v>18.48</v>
      </c>
      <c r="L755" s="2" t="inlineStr">
        <is>
          <t>Win</t>
        </is>
      </c>
      <c r="M755" s="3">
        <f>M754+J755</f>
        <v/>
      </c>
    </row>
    <row r="756">
      <c r="A756" s="8" t="inlineStr">
        <is>
          <t>2023-02-03</t>
        </is>
      </c>
      <c r="B756" s="8" t="inlineStr">
        <is>
          <t>Friday</t>
        </is>
      </c>
      <c r="C756" s="8" t="inlineStr">
        <is>
          <t>MNQH3</t>
        </is>
      </c>
      <c r="D756" s="9" t="n">
        <v>12693.5</v>
      </c>
      <c r="E756" s="9" t="n">
        <v>12558.25</v>
      </c>
      <c r="F756" s="9">
        <f>D756-E756</f>
        <v/>
      </c>
      <c r="G756" s="8" t="inlineStr">
        <is>
          <t>Long</t>
        </is>
      </c>
      <c r="H756" s="9" t="n">
        <v>12693.5</v>
      </c>
      <c r="I756" s="9" t="n">
        <v>12623.5</v>
      </c>
      <c r="J756" s="9">
        <f>IF(G756="Long",I756-H756,IF(G756="Short",H756-I756,0))</f>
        <v/>
      </c>
      <c r="K756" s="10" t="n">
        <v>84.84</v>
      </c>
      <c r="L756" s="8" t="inlineStr">
        <is>
          <t>EOD-Close</t>
        </is>
      </c>
      <c r="M756" s="9">
        <f>M755+J756</f>
        <v/>
      </c>
    </row>
    <row r="757">
      <c r="A757" s="5" t="inlineStr">
        <is>
          <t>2023-02-06</t>
        </is>
      </c>
      <c r="B757" s="5" t="inlineStr">
        <is>
          <t>Monday</t>
        </is>
      </c>
      <c r="C757" s="5" t="inlineStr">
        <is>
          <t>MNQH3</t>
        </is>
      </c>
      <c r="D757" s="6" t="n">
        <v>12565.25</v>
      </c>
      <c r="E757" s="6" t="n">
        <v>12502</v>
      </c>
      <c r="F757" s="6">
        <f>D757-E757</f>
        <v/>
      </c>
      <c r="G757" s="5" t="inlineStr">
        <is>
          <t>Long</t>
        </is>
      </c>
      <c r="H757" s="6" t="n">
        <v>12565.25</v>
      </c>
      <c r="I757" s="6" t="n">
        <v>12502</v>
      </c>
      <c r="J757" s="6">
        <f>IF(G757="Long",I757-H757,IF(G757="Short",H757-I757,0))</f>
        <v/>
      </c>
      <c r="K757" s="7" t="n">
        <v>100</v>
      </c>
      <c r="L757" s="5" t="inlineStr">
        <is>
          <t>Loss</t>
        </is>
      </c>
      <c r="M757" s="6">
        <f>M756+J757</f>
        <v/>
      </c>
    </row>
    <row r="758">
      <c r="A758" s="5" t="inlineStr">
        <is>
          <t>2023-02-06</t>
        </is>
      </c>
      <c r="B758" s="5" t="inlineStr">
        <is>
          <t>Monday</t>
        </is>
      </c>
      <c r="C758" s="5" t="inlineStr">
        <is>
          <t>MNQH3</t>
        </is>
      </c>
      <c r="D758" s="6" t="n">
        <v>12565.25</v>
      </c>
      <c r="E758" s="6" t="n">
        <v>12502</v>
      </c>
      <c r="F758" s="6">
        <f>D758-E758</f>
        <v/>
      </c>
      <c r="G758" s="5" t="inlineStr">
        <is>
          <t>Short</t>
        </is>
      </c>
      <c r="H758" s="6" t="n">
        <v>12502</v>
      </c>
      <c r="I758" s="6" t="n">
        <v>12565.25</v>
      </c>
      <c r="J758" s="6">
        <f>IF(G758="Long",I758-H758,IF(G758="Short",H758-I758,0))</f>
        <v/>
      </c>
      <c r="K758" s="7" t="n">
        <v>100</v>
      </c>
      <c r="L758" s="5" t="inlineStr">
        <is>
          <t>Loss</t>
        </is>
      </c>
      <c r="M758" s="6">
        <f>M757+J758</f>
        <v/>
      </c>
    </row>
    <row r="759">
      <c r="A759" s="5" t="inlineStr">
        <is>
          <t>2023-02-07</t>
        </is>
      </c>
      <c r="B759" s="5" t="inlineStr">
        <is>
          <t>Tuesday</t>
        </is>
      </c>
      <c r="C759" s="5" t="inlineStr">
        <is>
          <t>MNQH3</t>
        </is>
      </c>
      <c r="D759" s="6" t="n">
        <v>12540.75</v>
      </c>
      <c r="E759" s="6" t="n">
        <v>12488.5</v>
      </c>
      <c r="F759" s="6">
        <f>D759-E759</f>
        <v/>
      </c>
      <c r="G759" s="5" t="inlineStr">
        <is>
          <t>Short</t>
        </is>
      </c>
      <c r="H759" s="6" t="n">
        <v>12488.5</v>
      </c>
      <c r="I759" s="6" t="n">
        <v>12540.75</v>
      </c>
      <c r="J759" s="6">
        <f>IF(G759="Long",I759-H759,IF(G759="Short",H759-I759,0))</f>
        <v/>
      </c>
      <c r="K759" s="7" t="n">
        <v>100</v>
      </c>
      <c r="L759" s="5" t="inlineStr">
        <is>
          <t>Loss</t>
        </is>
      </c>
      <c r="M759" s="6">
        <f>M758+J759</f>
        <v/>
      </c>
    </row>
    <row r="760">
      <c r="A760" s="2" t="inlineStr">
        <is>
          <t>2023-02-07</t>
        </is>
      </c>
      <c r="B760" s="2" t="inlineStr">
        <is>
          <t>Tuesday</t>
        </is>
      </c>
      <c r="C760" s="2" t="inlineStr">
        <is>
          <t>MNQH3</t>
        </is>
      </c>
      <c r="D760" s="3" t="n">
        <v>12540.75</v>
      </c>
      <c r="E760" s="3" t="n">
        <v>12488.5</v>
      </c>
      <c r="F760" s="3">
        <f>D760-E760</f>
        <v/>
      </c>
      <c r="G760" s="2" t="inlineStr">
        <is>
          <t>Long</t>
        </is>
      </c>
      <c r="H760" s="3" t="n">
        <v>12540.75</v>
      </c>
      <c r="I760" s="3" t="n">
        <v>12593</v>
      </c>
      <c r="J760" s="3">
        <f>IF(G760="Long",I760-H760,IF(G760="Short",H760-I760,0))</f>
        <v/>
      </c>
      <c r="K760" s="4" t="n">
        <v>0</v>
      </c>
      <c r="L760" s="2" t="inlineStr">
        <is>
          <t>Win</t>
        </is>
      </c>
      <c r="M760" s="3">
        <f>M759+J760</f>
        <v/>
      </c>
    </row>
    <row r="761">
      <c r="A761" s="2" t="inlineStr">
        <is>
          <t>2023-02-08</t>
        </is>
      </c>
      <c r="B761" s="2" t="inlineStr">
        <is>
          <t>Wednesday</t>
        </is>
      </c>
      <c r="C761" s="2" t="inlineStr">
        <is>
          <t>MNQH3</t>
        </is>
      </c>
      <c r="D761" s="3" t="n">
        <v>12752.25</v>
      </c>
      <c r="E761" s="3" t="n">
        <v>12683.75</v>
      </c>
      <c r="F761" s="3">
        <f>D761-E761</f>
        <v/>
      </c>
      <c r="G761" s="2" t="inlineStr">
        <is>
          <t>Short</t>
        </is>
      </c>
      <c r="H761" s="3" t="n">
        <v>12683.75</v>
      </c>
      <c r="I761" s="3" t="n">
        <v>12615.25</v>
      </c>
      <c r="J761" s="3">
        <f>IF(G761="Long",I761-H761,IF(G761="Short",H761-I761,0))</f>
        <v/>
      </c>
      <c r="K761" s="4" t="n">
        <v>73.36</v>
      </c>
      <c r="L761" s="2" t="inlineStr">
        <is>
          <t>Win</t>
        </is>
      </c>
      <c r="M761" s="3">
        <f>M760+J761</f>
        <v/>
      </c>
    </row>
    <row r="762">
      <c r="A762" s="2" t="inlineStr">
        <is>
          <t>2023-02-09</t>
        </is>
      </c>
      <c r="B762" s="2" t="inlineStr">
        <is>
          <t>Thursday</t>
        </is>
      </c>
      <c r="C762" s="2" t="inlineStr">
        <is>
          <t>MNQH3</t>
        </is>
      </c>
      <c r="D762" s="3" t="n">
        <v>12729.5</v>
      </c>
      <c r="E762" s="3" t="n">
        <v>12638</v>
      </c>
      <c r="F762" s="3">
        <f>D762-E762</f>
        <v/>
      </c>
      <c r="G762" s="2" t="inlineStr">
        <is>
          <t>Short</t>
        </is>
      </c>
      <c r="H762" s="3" t="n">
        <v>12638</v>
      </c>
      <c r="I762" s="3" t="n">
        <v>12546.5</v>
      </c>
      <c r="J762" s="3">
        <f>IF(G762="Long",I762-H762,IF(G762="Short",H762-I762,0))</f>
        <v/>
      </c>
      <c r="K762" s="4" t="n">
        <v>28.14</v>
      </c>
      <c r="L762" s="2" t="inlineStr">
        <is>
          <t>Win</t>
        </is>
      </c>
      <c r="M762" s="3">
        <f>M761+J762</f>
        <v/>
      </c>
    </row>
    <row r="763">
      <c r="A763" s="5" t="inlineStr">
        <is>
          <t>2023-02-10</t>
        </is>
      </c>
      <c r="B763" s="5" t="inlineStr">
        <is>
          <t>Friday</t>
        </is>
      </c>
      <c r="C763" s="5" t="inlineStr">
        <is>
          <t>MNQH3</t>
        </is>
      </c>
      <c r="D763" s="6" t="n">
        <v>12394</v>
      </c>
      <c r="E763" s="6" t="n">
        <v>12311.75</v>
      </c>
      <c r="F763" s="6">
        <f>D763-E763</f>
        <v/>
      </c>
      <c r="G763" s="5" t="inlineStr">
        <is>
          <t>Short</t>
        </is>
      </c>
      <c r="H763" s="6" t="n">
        <v>12311.75</v>
      </c>
      <c r="I763" s="6" t="n">
        <v>12394</v>
      </c>
      <c r="J763" s="6">
        <f>IF(G763="Long",I763-H763,IF(G763="Short",H763-I763,0))</f>
        <v/>
      </c>
      <c r="K763" s="7" t="n">
        <v>100</v>
      </c>
      <c r="L763" s="5" t="inlineStr">
        <is>
          <t>Loss</t>
        </is>
      </c>
      <c r="M763" s="6">
        <f>M762+J763</f>
        <v/>
      </c>
    </row>
    <row r="764">
      <c r="A764" s="5" t="inlineStr">
        <is>
          <t>2023-02-10</t>
        </is>
      </c>
      <c r="B764" s="5" t="inlineStr">
        <is>
          <t>Friday</t>
        </is>
      </c>
      <c r="C764" s="5" t="inlineStr">
        <is>
          <t>MNQH3</t>
        </is>
      </c>
      <c r="D764" s="6" t="n">
        <v>12394</v>
      </c>
      <c r="E764" s="6" t="n">
        <v>12311.75</v>
      </c>
      <c r="F764" s="6">
        <f>D764-E764</f>
        <v/>
      </c>
      <c r="G764" s="5" t="inlineStr">
        <is>
          <t>Long</t>
        </is>
      </c>
      <c r="H764" s="6" t="n">
        <v>12394</v>
      </c>
      <c r="I764" s="6" t="n">
        <v>12311.75</v>
      </c>
      <c r="J764" s="6">
        <f>IF(G764="Long",I764-H764,IF(G764="Short",H764-I764,0))</f>
        <v/>
      </c>
      <c r="K764" s="7" t="n">
        <v>100</v>
      </c>
      <c r="L764" s="5" t="inlineStr">
        <is>
          <t>Loss</t>
        </is>
      </c>
      <c r="M764" s="6">
        <f>M763+J764</f>
        <v/>
      </c>
    </row>
    <row r="765">
      <c r="A765" s="2" t="inlineStr">
        <is>
          <t>2023-02-13</t>
        </is>
      </c>
      <c r="B765" s="2" t="inlineStr">
        <is>
          <t>Monday</t>
        </is>
      </c>
      <c r="C765" s="2" t="inlineStr">
        <is>
          <t>MNQH3</t>
        </is>
      </c>
      <c r="D765" s="3" t="n">
        <v>12428.75</v>
      </c>
      <c r="E765" s="3" t="n">
        <v>12352</v>
      </c>
      <c r="F765" s="3">
        <f>D765-E765</f>
        <v/>
      </c>
      <c r="G765" s="2" t="inlineStr">
        <is>
          <t>Long</t>
        </is>
      </c>
      <c r="H765" s="3" t="n">
        <v>12428.75</v>
      </c>
      <c r="I765" s="3" t="n">
        <v>12505.5</v>
      </c>
      <c r="J765" s="3">
        <f>IF(G765="Long",I765-H765,IF(G765="Short",H765-I765,0))</f>
        <v/>
      </c>
      <c r="K765" s="4" t="n">
        <v>16.61</v>
      </c>
      <c r="L765" s="2" t="inlineStr">
        <is>
          <t>Win</t>
        </is>
      </c>
      <c r="M765" s="3">
        <f>M764+J765</f>
        <v/>
      </c>
    </row>
    <row r="766">
      <c r="A766" s="2" t="inlineStr">
        <is>
          <t>2023-02-14</t>
        </is>
      </c>
      <c r="B766" s="2" t="inlineStr">
        <is>
          <t>Tuesday</t>
        </is>
      </c>
      <c r="C766" s="2" t="inlineStr">
        <is>
          <t>MNQH3</t>
        </is>
      </c>
      <c r="D766" s="3" t="n">
        <v>12511.5</v>
      </c>
      <c r="E766" s="3" t="n">
        <v>12390.5</v>
      </c>
      <c r="F766" s="3">
        <f>D766-E766</f>
        <v/>
      </c>
      <c r="G766" s="2" t="inlineStr">
        <is>
          <t>Long</t>
        </is>
      </c>
      <c r="H766" s="3" t="n">
        <v>12511.5</v>
      </c>
      <c r="I766" s="3" t="n">
        <v>12632.5</v>
      </c>
      <c r="J766" s="3">
        <f>IF(G766="Long",I766-H766,IF(G766="Short",H766-I766,0))</f>
        <v/>
      </c>
      <c r="K766" s="4" t="n">
        <v>0</v>
      </c>
      <c r="L766" s="2" t="inlineStr">
        <is>
          <t>Win</t>
        </is>
      </c>
      <c r="M766" s="3">
        <f>M765+J766</f>
        <v/>
      </c>
    </row>
    <row r="767">
      <c r="A767" s="2" t="inlineStr">
        <is>
          <t>2023-02-14</t>
        </is>
      </c>
      <c r="B767" s="2" t="inlineStr">
        <is>
          <t>Tuesday</t>
        </is>
      </c>
      <c r="C767" s="2" t="inlineStr">
        <is>
          <t>MNQH3</t>
        </is>
      </c>
      <c r="D767" s="3" t="n">
        <v>12511.5</v>
      </c>
      <c r="E767" s="3" t="n">
        <v>12390.5</v>
      </c>
      <c r="F767" s="3">
        <f>D767-E767</f>
        <v/>
      </c>
      <c r="G767" s="2" t="inlineStr">
        <is>
          <t>Long</t>
        </is>
      </c>
      <c r="H767" s="3" t="n">
        <v>12511.5</v>
      </c>
      <c r="I767" s="3" t="n">
        <v>12632.5</v>
      </c>
      <c r="J767" s="3">
        <f>IF(G767="Long",I767-H767,IF(G767="Short",H767-I767,0))</f>
        <v/>
      </c>
      <c r="K767" s="4" t="n">
        <v>77.69</v>
      </c>
      <c r="L767" s="2" t="inlineStr">
        <is>
          <t>Win</t>
        </is>
      </c>
      <c r="M767" s="3">
        <f>M766+J767</f>
        <v/>
      </c>
    </row>
    <row r="768">
      <c r="A768" s="5" t="inlineStr">
        <is>
          <t>2023-02-15</t>
        </is>
      </c>
      <c r="B768" s="5" t="inlineStr">
        <is>
          <t>Wednesday</t>
        </is>
      </c>
      <c r="C768" s="5" t="inlineStr">
        <is>
          <t>MNQH3</t>
        </is>
      </c>
      <c r="D768" s="6" t="n">
        <v>12617.25</v>
      </c>
      <c r="E768" s="6" t="n">
        <v>12552.5</v>
      </c>
      <c r="F768" s="6">
        <f>D768-E768</f>
        <v/>
      </c>
      <c r="G768" s="5" t="inlineStr">
        <is>
          <t>Long</t>
        </is>
      </c>
      <c r="H768" s="6" t="n">
        <v>12617.25</v>
      </c>
      <c r="I768" s="6" t="n">
        <v>12552.5</v>
      </c>
      <c r="J768" s="6">
        <f>IF(G768="Long",I768-H768,IF(G768="Short",H768-I768,0))</f>
        <v/>
      </c>
      <c r="K768" s="7" t="n">
        <v>100</v>
      </c>
      <c r="L768" s="5" t="inlineStr">
        <is>
          <t>Loss</t>
        </is>
      </c>
      <c r="M768" s="6">
        <f>M767+J768</f>
        <v/>
      </c>
    </row>
    <row r="769">
      <c r="A769" s="5" t="inlineStr">
        <is>
          <t>2023-02-15</t>
        </is>
      </c>
      <c r="B769" s="5" t="inlineStr">
        <is>
          <t>Wednesday</t>
        </is>
      </c>
      <c r="C769" s="5" t="inlineStr">
        <is>
          <t>MNQH3</t>
        </is>
      </c>
      <c r="D769" s="6" t="n">
        <v>12617.25</v>
      </c>
      <c r="E769" s="6" t="n">
        <v>12552.5</v>
      </c>
      <c r="F769" s="6">
        <f>D769-E769</f>
        <v/>
      </c>
      <c r="G769" s="5" t="inlineStr">
        <is>
          <t>Short</t>
        </is>
      </c>
      <c r="H769" s="6" t="n">
        <v>12552.5</v>
      </c>
      <c r="I769" s="6" t="n">
        <v>12617.25</v>
      </c>
      <c r="J769" s="6">
        <f>IF(G769="Long",I769-H769,IF(G769="Short",H769-I769,0))</f>
        <v/>
      </c>
      <c r="K769" s="7" t="n">
        <v>100</v>
      </c>
      <c r="L769" s="5" t="inlineStr">
        <is>
          <t>Loss</t>
        </is>
      </c>
      <c r="M769" s="6">
        <f>M768+J769</f>
        <v/>
      </c>
    </row>
    <row r="770">
      <c r="A770" s="2" t="inlineStr">
        <is>
          <t>2023-02-16</t>
        </is>
      </c>
      <c r="B770" s="2" t="inlineStr">
        <is>
          <t>Thursday</t>
        </is>
      </c>
      <c r="C770" s="2" t="inlineStr">
        <is>
          <t>MNQH3</t>
        </is>
      </c>
      <c r="D770" s="3" t="n">
        <v>12567.75</v>
      </c>
      <c r="E770" s="3" t="n">
        <v>12496.5</v>
      </c>
      <c r="F770" s="3">
        <f>D770-E770</f>
        <v/>
      </c>
      <c r="G770" s="2" t="inlineStr">
        <is>
          <t>Long</t>
        </is>
      </c>
      <c r="H770" s="3" t="n">
        <v>12567.75</v>
      </c>
      <c r="I770" s="3" t="n">
        <v>12639</v>
      </c>
      <c r="J770" s="3">
        <f>IF(G770="Long",I770-H770,IF(G770="Short",H770-I770,0))</f>
        <v/>
      </c>
      <c r="K770" s="4" t="n">
        <v>45.26</v>
      </c>
      <c r="L770" s="2" t="inlineStr">
        <is>
          <t>Win</t>
        </is>
      </c>
      <c r="M770" s="3">
        <f>M769+J770</f>
        <v/>
      </c>
    </row>
    <row r="771">
      <c r="A771" s="5" t="inlineStr">
        <is>
          <t>2023-02-16</t>
        </is>
      </c>
      <c r="B771" s="5" t="inlineStr">
        <is>
          <t>Thursday</t>
        </is>
      </c>
      <c r="C771" s="5" t="inlineStr">
        <is>
          <t>MNQH3</t>
        </is>
      </c>
      <c r="D771" s="6" t="n">
        <v>12567.75</v>
      </c>
      <c r="E771" s="6" t="n">
        <v>12496.5</v>
      </c>
      <c r="F771" s="6">
        <f>D771-E771</f>
        <v/>
      </c>
      <c r="G771" s="5" t="inlineStr">
        <is>
          <t>Long</t>
        </is>
      </c>
      <c r="H771" s="6" t="n">
        <v>12567.75</v>
      </c>
      <c r="I771" s="6" t="n">
        <v>12496.5</v>
      </c>
      <c r="J771" s="6">
        <f>IF(G771="Long",I771-H771,IF(G771="Short",H771-I771,0))</f>
        <v/>
      </c>
      <c r="K771" s="7" t="n">
        <v>100</v>
      </c>
      <c r="L771" s="5" t="inlineStr">
        <is>
          <t>Loss</t>
        </is>
      </c>
      <c r="M771" s="6">
        <f>M770+J771</f>
        <v/>
      </c>
    </row>
    <row r="772">
      <c r="A772" s="2" t="inlineStr">
        <is>
          <t>2023-02-17</t>
        </is>
      </c>
      <c r="B772" s="2" t="inlineStr">
        <is>
          <t>Friday</t>
        </is>
      </c>
      <c r="C772" s="2" t="inlineStr">
        <is>
          <t>MNQH3</t>
        </is>
      </c>
      <c r="D772" s="3" t="n">
        <v>12423.5</v>
      </c>
      <c r="E772" s="3" t="n">
        <v>12346.5</v>
      </c>
      <c r="F772" s="3">
        <f>D772-E772</f>
        <v/>
      </c>
      <c r="G772" s="2" t="inlineStr">
        <is>
          <t>Short</t>
        </is>
      </c>
      <c r="H772" s="3" t="n">
        <v>12346.5</v>
      </c>
      <c r="I772" s="3" t="n">
        <v>12269.5</v>
      </c>
      <c r="J772" s="3">
        <f>IF(G772="Long",I772-H772,IF(G772="Short",H772-I772,0))</f>
        <v/>
      </c>
      <c r="K772" s="4" t="n">
        <v>80.84</v>
      </c>
      <c r="L772" s="2" t="inlineStr">
        <is>
          <t>Win</t>
        </is>
      </c>
      <c r="M772" s="3">
        <f>M771+J772</f>
        <v/>
      </c>
    </row>
    <row r="773">
      <c r="A773" s="8" t="inlineStr">
        <is>
          <t>2023-02-17</t>
        </is>
      </c>
      <c r="B773" s="8" t="inlineStr">
        <is>
          <t>Friday</t>
        </is>
      </c>
      <c r="C773" s="8" t="inlineStr">
        <is>
          <t>MNQH3</t>
        </is>
      </c>
      <c r="D773" s="9" t="n">
        <v>12423.5</v>
      </c>
      <c r="E773" s="9" t="n">
        <v>12346.5</v>
      </c>
      <c r="F773" s="9">
        <f>D773-E773</f>
        <v/>
      </c>
      <c r="G773" s="8" t="inlineStr">
        <is>
          <t>Short</t>
        </is>
      </c>
      <c r="H773" s="9" t="n">
        <v>12346.5</v>
      </c>
      <c r="I773" s="9" t="n">
        <v>12391.75</v>
      </c>
      <c r="J773" s="9">
        <f>IF(G773="Long",I773-H773,IF(G773="Short",H773-I773,0))</f>
        <v/>
      </c>
      <c r="K773" s="10" t="n">
        <v>79.22</v>
      </c>
      <c r="L773" s="8" t="inlineStr">
        <is>
          <t>EOD-Close</t>
        </is>
      </c>
      <c r="M773" s="9">
        <f>M772+J773</f>
        <v/>
      </c>
    </row>
    <row r="774">
      <c r="A774" s="2" t="inlineStr">
        <is>
          <t>2023-02-20</t>
        </is>
      </c>
      <c r="B774" s="2" t="inlineStr">
        <is>
          <t>Monday</t>
        </is>
      </c>
      <c r="C774" s="2" t="inlineStr">
        <is>
          <t>MNQH3</t>
        </is>
      </c>
      <c r="D774" s="3" t="n">
        <v>12396.5</v>
      </c>
      <c r="E774" s="3" t="n">
        <v>12383</v>
      </c>
      <c r="F774" s="3">
        <f>D774-E774</f>
        <v/>
      </c>
      <c r="G774" s="2" t="inlineStr">
        <is>
          <t>Short</t>
        </is>
      </c>
      <c r="H774" s="3" t="n">
        <v>12383</v>
      </c>
      <c r="I774" s="3" t="n">
        <v>12369.5</v>
      </c>
      <c r="J774" s="3">
        <f>IF(G774="Long",I774-H774,IF(G774="Short",H774-I774,0))</f>
        <v/>
      </c>
      <c r="K774" s="4" t="n">
        <v>35.19</v>
      </c>
      <c r="L774" s="2" t="inlineStr">
        <is>
          <t>Win</t>
        </is>
      </c>
      <c r="M774" s="3">
        <f>M773+J774</f>
        <v/>
      </c>
    </row>
    <row r="775">
      <c r="A775" s="2" t="inlineStr">
        <is>
          <t>2023-02-21</t>
        </is>
      </c>
      <c r="B775" s="2" t="inlineStr">
        <is>
          <t>Tuesday</t>
        </is>
      </c>
      <c r="C775" s="2" t="inlineStr">
        <is>
          <t>MNQH3</t>
        </is>
      </c>
      <c r="D775" s="3" t="n">
        <v>12288.75</v>
      </c>
      <c r="E775" s="3" t="n">
        <v>12220.25</v>
      </c>
      <c r="F775" s="3">
        <f>D775-E775</f>
        <v/>
      </c>
      <c r="G775" s="2" t="inlineStr">
        <is>
          <t>Short</t>
        </is>
      </c>
      <c r="H775" s="3" t="n">
        <v>12220.25</v>
      </c>
      <c r="I775" s="3" t="n">
        <v>12151.75</v>
      </c>
      <c r="J775" s="3">
        <f>IF(G775="Long",I775-H775,IF(G775="Short",H775-I775,0))</f>
        <v/>
      </c>
      <c r="K775" s="4" t="n">
        <v>11.31</v>
      </c>
      <c r="L775" s="2" t="inlineStr">
        <is>
          <t>Win</t>
        </is>
      </c>
      <c r="M775" s="3">
        <f>M774+J775</f>
        <v/>
      </c>
    </row>
    <row r="776">
      <c r="A776" s="5" t="inlineStr">
        <is>
          <t>2023-02-22</t>
        </is>
      </c>
      <c r="B776" s="5" t="inlineStr">
        <is>
          <t>Wednesday</t>
        </is>
      </c>
      <c r="C776" s="5" t="inlineStr">
        <is>
          <t>MNQH3</t>
        </is>
      </c>
      <c r="D776" s="6" t="n">
        <v>12163</v>
      </c>
      <c r="E776" s="6" t="n">
        <v>12114.25</v>
      </c>
      <c r="F776" s="6">
        <f>D776-E776</f>
        <v/>
      </c>
      <c r="G776" s="5" t="inlineStr">
        <is>
          <t>Long</t>
        </is>
      </c>
      <c r="H776" s="6" t="n">
        <v>12163</v>
      </c>
      <c r="I776" s="6" t="n">
        <v>12114.25</v>
      </c>
      <c r="J776" s="6">
        <f>IF(G776="Long",I776-H776,IF(G776="Short",H776-I776,0))</f>
        <v/>
      </c>
      <c r="K776" s="7" t="n">
        <v>100</v>
      </c>
      <c r="L776" s="5" t="inlineStr">
        <is>
          <t>Loss</t>
        </is>
      </c>
      <c r="M776" s="6">
        <f>M775+J776</f>
        <v/>
      </c>
    </row>
    <row r="777">
      <c r="A777" s="2" t="inlineStr">
        <is>
          <t>2023-02-22</t>
        </is>
      </c>
      <c r="B777" s="2" t="inlineStr">
        <is>
          <t>Wednesday</t>
        </is>
      </c>
      <c r="C777" s="2" t="inlineStr">
        <is>
          <t>MNQH3</t>
        </is>
      </c>
      <c r="D777" s="3" t="n">
        <v>12163</v>
      </c>
      <c r="E777" s="3" t="n">
        <v>12114.25</v>
      </c>
      <c r="F777" s="3">
        <f>D777-E777</f>
        <v/>
      </c>
      <c r="G777" s="2" t="inlineStr">
        <is>
          <t>Short</t>
        </is>
      </c>
      <c r="H777" s="3" t="n">
        <v>12114.25</v>
      </c>
      <c r="I777" s="3" t="n">
        <v>12065.5</v>
      </c>
      <c r="J777" s="3">
        <f>IF(G777="Long",I777-H777,IF(G777="Short",H777-I777,0))</f>
        <v/>
      </c>
      <c r="K777" s="4" t="n">
        <v>0</v>
      </c>
      <c r="L777" s="2" t="inlineStr">
        <is>
          <t>Win</t>
        </is>
      </c>
      <c r="M777" s="3">
        <f>M776+J777</f>
        <v/>
      </c>
    </row>
    <row r="778">
      <c r="A778" s="2" t="inlineStr">
        <is>
          <t>2023-02-23</t>
        </is>
      </c>
      <c r="B778" s="2" t="inlineStr">
        <is>
          <t>Thursday</t>
        </is>
      </c>
      <c r="C778" s="2" t="inlineStr">
        <is>
          <t>MNQH3</t>
        </is>
      </c>
      <c r="D778" s="3" t="n">
        <v>12260.25</v>
      </c>
      <c r="E778" s="3" t="n">
        <v>12197.25</v>
      </c>
      <c r="F778" s="3">
        <f>D778-E778</f>
        <v/>
      </c>
      <c r="G778" s="2" t="inlineStr">
        <is>
          <t>Short</t>
        </is>
      </c>
      <c r="H778" s="3" t="n">
        <v>12197.25</v>
      </c>
      <c r="I778" s="3" t="n">
        <v>12134.25</v>
      </c>
      <c r="J778" s="3">
        <f>IF(G778="Long",I778-H778,IF(G778="Short",H778-I778,0))</f>
        <v/>
      </c>
      <c r="K778" s="4" t="n">
        <v>12.3</v>
      </c>
      <c r="L778" s="2" t="inlineStr">
        <is>
          <t>Win</t>
        </is>
      </c>
      <c r="M778" s="3">
        <f>M777+J778</f>
        <v/>
      </c>
    </row>
    <row r="779">
      <c r="A779" s="8" t="inlineStr">
        <is>
          <t>2023-02-23</t>
        </is>
      </c>
      <c r="B779" s="8" t="inlineStr">
        <is>
          <t>Thursday</t>
        </is>
      </c>
      <c r="C779" s="8" t="inlineStr">
        <is>
          <t>MNQH3</t>
        </is>
      </c>
      <c r="D779" s="9" t="n">
        <v>12260.25</v>
      </c>
      <c r="E779" s="9" t="n">
        <v>12197.25</v>
      </c>
      <c r="F779" s="9">
        <f>D779-E779</f>
        <v/>
      </c>
      <c r="G779" s="8" t="inlineStr">
        <is>
          <t>Short</t>
        </is>
      </c>
      <c r="H779" s="9" t="n">
        <v>12197.25</v>
      </c>
      <c r="I779" s="9" t="n">
        <v>12206</v>
      </c>
      <c r="J779" s="9">
        <f>IF(G779="Long",I779-H779,IF(G779="Short",H779-I779,0))</f>
        <v/>
      </c>
      <c r="K779" s="10" t="n">
        <v>81.75</v>
      </c>
      <c r="L779" s="8" t="inlineStr">
        <is>
          <t>EOD-Close</t>
        </is>
      </c>
      <c r="M779" s="9">
        <f>M778+J779</f>
        <v/>
      </c>
    </row>
    <row r="780">
      <c r="A780" s="8" t="inlineStr">
        <is>
          <t>2023-02-24</t>
        </is>
      </c>
      <c r="B780" s="8" t="inlineStr">
        <is>
          <t>Friday</t>
        </is>
      </c>
      <c r="C780" s="8" t="inlineStr">
        <is>
          <t>MNQH3</t>
        </is>
      </c>
      <c r="D780" s="9" t="n">
        <v>12043</v>
      </c>
      <c r="E780" s="9" t="n">
        <v>11980.75</v>
      </c>
      <c r="F780" s="9">
        <f>D780-E780</f>
        <v/>
      </c>
      <c r="G780" s="8" t="inlineStr">
        <is>
          <t>Short</t>
        </is>
      </c>
      <c r="H780" s="9" t="n">
        <v>11980.75</v>
      </c>
      <c r="I780" s="9" t="n">
        <v>11997.75</v>
      </c>
      <c r="J780" s="9">
        <f>IF(G780="Long",I780-H780,IF(G780="Short",H780-I780,0))</f>
        <v/>
      </c>
      <c r="K780" s="10" t="n">
        <v>65.45999999999999</v>
      </c>
      <c r="L780" s="8" t="inlineStr">
        <is>
          <t>EOD-Close</t>
        </is>
      </c>
      <c r="M780" s="9">
        <f>M779+J780</f>
        <v/>
      </c>
    </row>
    <row r="781">
      <c r="A781" s="2" t="inlineStr">
        <is>
          <t>2023-02-27</t>
        </is>
      </c>
      <c r="B781" s="2" t="inlineStr">
        <is>
          <t>Monday</t>
        </is>
      </c>
      <c r="C781" s="2" t="inlineStr">
        <is>
          <t>MNQH3</t>
        </is>
      </c>
      <c r="D781" s="3" t="n">
        <v>12143.5</v>
      </c>
      <c r="E781" s="3" t="n">
        <v>12109.5</v>
      </c>
      <c r="F781" s="3">
        <f>D781-E781</f>
        <v/>
      </c>
      <c r="G781" s="2" t="inlineStr">
        <is>
          <t>Long</t>
        </is>
      </c>
      <c r="H781" s="3" t="n">
        <v>12143.5</v>
      </c>
      <c r="I781" s="3" t="n">
        <v>12177.5</v>
      </c>
      <c r="J781" s="3">
        <f>IF(G781="Long",I781-H781,IF(G781="Short",H781-I781,0))</f>
        <v/>
      </c>
      <c r="K781" s="4" t="n">
        <v>27.94</v>
      </c>
      <c r="L781" s="2" t="inlineStr">
        <is>
          <t>Win</t>
        </is>
      </c>
      <c r="M781" s="3">
        <f>M780+J781</f>
        <v/>
      </c>
    </row>
    <row r="782">
      <c r="A782" s="5" t="inlineStr">
        <is>
          <t>2023-02-27</t>
        </is>
      </c>
      <c r="B782" s="5" t="inlineStr">
        <is>
          <t>Monday</t>
        </is>
      </c>
      <c r="C782" s="5" t="inlineStr">
        <is>
          <t>MNQH3</t>
        </is>
      </c>
      <c r="D782" s="6" t="n">
        <v>12143.5</v>
      </c>
      <c r="E782" s="6" t="n">
        <v>12109.5</v>
      </c>
      <c r="F782" s="6">
        <f>D782-E782</f>
        <v/>
      </c>
      <c r="G782" s="5" t="inlineStr">
        <is>
          <t>Long</t>
        </is>
      </c>
      <c r="H782" s="6" t="n">
        <v>12143.5</v>
      </c>
      <c r="I782" s="6" t="n">
        <v>12109.5</v>
      </c>
      <c r="J782" s="6">
        <f>IF(G782="Long",I782-H782,IF(G782="Short",H782-I782,0))</f>
        <v/>
      </c>
      <c r="K782" s="7" t="n">
        <v>100</v>
      </c>
      <c r="L782" s="5" t="inlineStr">
        <is>
          <t>Loss</t>
        </is>
      </c>
      <c r="M782" s="6">
        <f>M781+J782</f>
        <v/>
      </c>
    </row>
    <row r="783">
      <c r="A783" s="2" t="inlineStr">
        <is>
          <t>2023-02-28</t>
        </is>
      </c>
      <c r="B783" s="2" t="inlineStr">
        <is>
          <t>Tuesday</t>
        </is>
      </c>
      <c r="C783" s="2" t="inlineStr">
        <is>
          <t>MNQH3</t>
        </is>
      </c>
      <c r="D783" s="3" t="n">
        <v>12099</v>
      </c>
      <c r="E783" s="3" t="n">
        <v>12041.25</v>
      </c>
      <c r="F783" s="3">
        <f>D783-E783</f>
        <v/>
      </c>
      <c r="G783" s="2" t="inlineStr">
        <is>
          <t>Long</t>
        </is>
      </c>
      <c r="H783" s="3" t="n">
        <v>12099</v>
      </c>
      <c r="I783" s="3" t="n">
        <v>12156.75</v>
      </c>
      <c r="J783" s="3">
        <f>IF(G783="Long",I783-H783,IF(G783="Short",H783-I783,0))</f>
        <v/>
      </c>
      <c r="K783" s="4" t="n">
        <v>92.20999999999999</v>
      </c>
      <c r="L783" s="2" t="inlineStr">
        <is>
          <t>Win</t>
        </is>
      </c>
      <c r="M783" s="3">
        <f>M782+J783</f>
        <v/>
      </c>
    </row>
    <row r="784">
      <c r="A784" s="8" t="inlineStr">
        <is>
          <t>2023-02-28</t>
        </is>
      </c>
      <c r="B784" s="8" t="inlineStr">
        <is>
          <t>Tuesday</t>
        </is>
      </c>
      <c r="C784" s="8" t="inlineStr">
        <is>
          <t>MNQH3</t>
        </is>
      </c>
      <c r="D784" s="9" t="n">
        <v>12099</v>
      </c>
      <c r="E784" s="9" t="n">
        <v>12041.25</v>
      </c>
      <c r="F784" s="9">
        <f>D784-E784</f>
        <v/>
      </c>
      <c r="G784" s="8" t="inlineStr">
        <is>
          <t>Long</t>
        </is>
      </c>
      <c r="H784" s="9" t="n">
        <v>12099</v>
      </c>
      <c r="I784" s="9" t="n">
        <v>12064.5</v>
      </c>
      <c r="J784" s="9">
        <f>IF(G784="Long",I784-H784,IF(G784="Short",H784-I784,0))</f>
        <v/>
      </c>
      <c r="K784" s="10" t="n">
        <v>61.04</v>
      </c>
      <c r="L784" s="8" t="inlineStr">
        <is>
          <t>EOD-Close</t>
        </is>
      </c>
      <c r="M784" s="9">
        <f>M783+J784</f>
        <v/>
      </c>
    </row>
    <row r="785">
      <c r="A785" s="5" t="inlineStr">
        <is>
          <t>2023-03-01</t>
        </is>
      </c>
      <c r="B785" s="5" t="inlineStr">
        <is>
          <t>Wednesday</t>
        </is>
      </c>
      <c r="C785" s="5" t="inlineStr">
        <is>
          <t>MNQH3</t>
        </is>
      </c>
      <c r="D785" s="6" t="n">
        <v>12060</v>
      </c>
      <c r="E785" s="6" t="n">
        <v>12004</v>
      </c>
      <c r="F785" s="6">
        <f>D785-E785</f>
        <v/>
      </c>
      <c r="G785" s="5" t="inlineStr">
        <is>
          <t>Long</t>
        </is>
      </c>
      <c r="H785" s="6" t="n">
        <v>12060</v>
      </c>
      <c r="I785" s="6" t="n">
        <v>12004</v>
      </c>
      <c r="J785" s="6">
        <f>IF(G785="Long",I785-H785,IF(G785="Short",H785-I785,0))</f>
        <v/>
      </c>
      <c r="K785" s="7" t="n">
        <v>100</v>
      </c>
      <c r="L785" s="5" t="inlineStr">
        <is>
          <t>Loss</t>
        </is>
      </c>
      <c r="M785" s="6">
        <f>M784+J785</f>
        <v/>
      </c>
    </row>
    <row r="786">
      <c r="A786" s="2" t="inlineStr">
        <is>
          <t>2023-03-01</t>
        </is>
      </c>
      <c r="B786" s="2" t="inlineStr">
        <is>
          <t>Wednesday</t>
        </is>
      </c>
      <c r="C786" s="2" t="inlineStr">
        <is>
          <t>MNQH3</t>
        </is>
      </c>
      <c r="D786" s="3" t="n">
        <v>12060</v>
      </c>
      <c r="E786" s="3" t="n">
        <v>12004</v>
      </c>
      <c r="F786" s="3">
        <f>D786-E786</f>
        <v/>
      </c>
      <c r="G786" s="2" t="inlineStr">
        <is>
          <t>Short</t>
        </is>
      </c>
      <c r="H786" s="3" t="n">
        <v>12004</v>
      </c>
      <c r="I786" s="3" t="n">
        <v>11948</v>
      </c>
      <c r="J786" s="3">
        <f>IF(G786="Long",I786-H786,IF(G786="Short",H786-I786,0))</f>
        <v/>
      </c>
      <c r="K786" s="4" t="n">
        <v>60.71</v>
      </c>
      <c r="L786" s="2" t="inlineStr">
        <is>
          <t>Win</t>
        </is>
      </c>
      <c r="M786" s="3">
        <f>M785+J786</f>
        <v/>
      </c>
    </row>
    <row r="787">
      <c r="A787" s="2" t="inlineStr">
        <is>
          <t>2023-03-02</t>
        </is>
      </c>
      <c r="B787" s="2" t="inlineStr">
        <is>
          <t>Thursday</t>
        </is>
      </c>
      <c r="C787" s="2" t="inlineStr">
        <is>
          <t>MNQH3</t>
        </is>
      </c>
      <c r="D787" s="3" t="n">
        <v>11882.75</v>
      </c>
      <c r="E787" s="3" t="n">
        <v>11846.25</v>
      </c>
      <c r="F787" s="3">
        <f>D787-E787</f>
        <v/>
      </c>
      <c r="G787" s="2" t="inlineStr">
        <is>
          <t>Long</t>
        </is>
      </c>
      <c r="H787" s="3" t="n">
        <v>11882.75</v>
      </c>
      <c r="I787" s="3" t="n">
        <v>11919.25</v>
      </c>
      <c r="J787" s="3">
        <f>IF(G787="Long",I787-H787,IF(G787="Short",H787-I787,0))</f>
        <v/>
      </c>
      <c r="K787" s="4" t="n">
        <v>10.96</v>
      </c>
      <c r="L787" s="2" t="inlineStr">
        <is>
          <t>Win</t>
        </is>
      </c>
      <c r="M787" s="3">
        <f>M786+J787</f>
        <v/>
      </c>
    </row>
    <row r="788">
      <c r="A788" s="2" t="inlineStr">
        <is>
          <t>2023-03-02</t>
        </is>
      </c>
      <c r="B788" s="2" t="inlineStr">
        <is>
          <t>Thursday</t>
        </is>
      </c>
      <c r="C788" s="2" t="inlineStr">
        <is>
          <t>MNQH3</t>
        </is>
      </c>
      <c r="D788" s="3" t="n">
        <v>11882.75</v>
      </c>
      <c r="E788" s="3" t="n">
        <v>11846.25</v>
      </c>
      <c r="F788" s="3">
        <f>D788-E788</f>
        <v/>
      </c>
      <c r="G788" s="2" t="inlineStr">
        <is>
          <t>Long</t>
        </is>
      </c>
      <c r="H788" s="3" t="n">
        <v>11882.75</v>
      </c>
      <c r="I788" s="3" t="n">
        <v>11919.25</v>
      </c>
      <c r="J788" s="3">
        <f>IF(G788="Long",I788-H788,IF(G788="Short",H788-I788,0))</f>
        <v/>
      </c>
      <c r="K788" s="4" t="n">
        <v>28.77</v>
      </c>
      <c r="L788" s="2" t="inlineStr">
        <is>
          <t>Win</t>
        </is>
      </c>
      <c r="M788" s="3">
        <f>M787+J788</f>
        <v/>
      </c>
    </row>
    <row r="789">
      <c r="A789" s="2" t="inlineStr">
        <is>
          <t>2023-03-03</t>
        </is>
      </c>
      <c r="B789" s="2" t="inlineStr">
        <is>
          <t>Friday</t>
        </is>
      </c>
      <c r="C789" s="2" t="inlineStr">
        <is>
          <t>MNQH3</t>
        </is>
      </c>
      <c r="D789" s="3" t="n">
        <v>12146.25</v>
      </c>
      <c r="E789" s="3" t="n">
        <v>12111</v>
      </c>
      <c r="F789" s="3">
        <f>D789-E789</f>
        <v/>
      </c>
      <c r="G789" s="2" t="inlineStr">
        <is>
          <t>Long</t>
        </is>
      </c>
      <c r="H789" s="3" t="n">
        <v>12146.25</v>
      </c>
      <c r="I789" s="3" t="n">
        <v>12181.5</v>
      </c>
      <c r="J789" s="3">
        <f>IF(G789="Long",I789-H789,IF(G789="Short",H789-I789,0))</f>
        <v/>
      </c>
      <c r="K789" s="4" t="n">
        <v>0</v>
      </c>
      <c r="L789" s="2" t="inlineStr">
        <is>
          <t>Win</t>
        </is>
      </c>
      <c r="M789" s="3">
        <f>M788+J789</f>
        <v/>
      </c>
    </row>
    <row r="790">
      <c r="A790" s="2" t="inlineStr">
        <is>
          <t>2023-03-03</t>
        </is>
      </c>
      <c r="B790" s="2" t="inlineStr">
        <is>
          <t>Friday</t>
        </is>
      </c>
      <c r="C790" s="2" t="inlineStr">
        <is>
          <t>MNQH3</t>
        </is>
      </c>
      <c r="D790" s="3" t="n">
        <v>12146.25</v>
      </c>
      <c r="E790" s="3" t="n">
        <v>12111</v>
      </c>
      <c r="F790" s="3">
        <f>D790-E790</f>
        <v/>
      </c>
      <c r="G790" s="2" t="inlineStr">
        <is>
          <t>Long</t>
        </is>
      </c>
      <c r="H790" s="3" t="n">
        <v>12146.25</v>
      </c>
      <c r="I790" s="3" t="n">
        <v>12181.5</v>
      </c>
      <c r="J790" s="3">
        <f>IF(G790="Long",I790-H790,IF(G790="Short",H790-I790,0))</f>
        <v/>
      </c>
      <c r="K790" s="4" t="n">
        <v>43.97</v>
      </c>
      <c r="L790" s="2" t="inlineStr">
        <is>
          <t>Win</t>
        </is>
      </c>
      <c r="M790" s="3">
        <f>M789+J790</f>
        <v/>
      </c>
    </row>
    <row r="791">
      <c r="A791" s="2" t="inlineStr">
        <is>
          <t>2023-03-06</t>
        </is>
      </c>
      <c r="B791" s="2" t="inlineStr">
        <is>
          <t>Monday</t>
        </is>
      </c>
      <c r="C791" s="2" t="inlineStr">
        <is>
          <t>MNQH3</t>
        </is>
      </c>
      <c r="D791" s="3" t="n">
        <v>12397</v>
      </c>
      <c r="E791" s="3" t="n">
        <v>12352.25</v>
      </c>
      <c r="F791" s="3">
        <f>D791-E791</f>
        <v/>
      </c>
      <c r="G791" s="2" t="inlineStr">
        <is>
          <t>Long</t>
        </is>
      </c>
      <c r="H791" s="3" t="n">
        <v>12397</v>
      </c>
      <c r="I791" s="3" t="n">
        <v>12441.75</v>
      </c>
      <c r="J791" s="3">
        <f>IF(G791="Long",I791-H791,IF(G791="Short",H791-I791,0))</f>
        <v/>
      </c>
      <c r="K791" s="4" t="n">
        <v>0</v>
      </c>
      <c r="L791" s="2" t="inlineStr">
        <is>
          <t>Win</t>
        </is>
      </c>
      <c r="M791" s="3">
        <f>M790+J791</f>
        <v/>
      </c>
    </row>
    <row r="792">
      <c r="A792" s="5" t="inlineStr">
        <is>
          <t>2023-03-06</t>
        </is>
      </c>
      <c r="B792" s="5" t="inlineStr">
        <is>
          <t>Monday</t>
        </is>
      </c>
      <c r="C792" s="5" t="inlineStr">
        <is>
          <t>MNQH3</t>
        </is>
      </c>
      <c r="D792" s="6" t="n">
        <v>12397</v>
      </c>
      <c r="E792" s="6" t="n">
        <v>12352.25</v>
      </c>
      <c r="F792" s="6">
        <f>D792-E792</f>
        <v/>
      </c>
      <c r="G792" s="5" t="inlineStr">
        <is>
          <t>Long</t>
        </is>
      </c>
      <c r="H792" s="6" t="n">
        <v>12397</v>
      </c>
      <c r="I792" s="6" t="n">
        <v>12352.25</v>
      </c>
      <c r="J792" s="6">
        <f>IF(G792="Long",I792-H792,IF(G792="Short",H792-I792,0))</f>
        <v/>
      </c>
      <c r="K792" s="7" t="n">
        <v>100</v>
      </c>
      <c r="L792" s="5" t="inlineStr">
        <is>
          <t>Loss</t>
        </is>
      </c>
      <c r="M792" s="6">
        <f>M791+J792</f>
        <v/>
      </c>
    </row>
    <row r="793">
      <c r="A793" s="2" t="inlineStr">
        <is>
          <t>2023-03-07</t>
        </is>
      </c>
      <c r="B793" s="2" t="inlineStr">
        <is>
          <t>Tuesday</t>
        </is>
      </c>
      <c r="C793" s="2" t="inlineStr">
        <is>
          <t>MNQH3</t>
        </is>
      </c>
      <c r="D793" s="3" t="n">
        <v>12361</v>
      </c>
      <c r="E793" s="3" t="n">
        <v>12313</v>
      </c>
      <c r="F793" s="3">
        <f>D793-E793</f>
        <v/>
      </c>
      <c r="G793" s="2" t="inlineStr">
        <is>
          <t>Short</t>
        </is>
      </c>
      <c r="H793" s="3" t="n">
        <v>12313</v>
      </c>
      <c r="I793" s="3" t="n">
        <v>12265</v>
      </c>
      <c r="J793" s="3">
        <f>IF(G793="Long",I793-H793,IF(G793="Short",H793-I793,0))</f>
        <v/>
      </c>
      <c r="K793" s="4" t="n">
        <v>0</v>
      </c>
      <c r="L793" s="2" t="inlineStr">
        <is>
          <t>Win</t>
        </is>
      </c>
      <c r="M793" s="3">
        <f>M792+J793</f>
        <v/>
      </c>
    </row>
    <row r="794">
      <c r="A794" s="2" t="inlineStr">
        <is>
          <t>2023-03-07</t>
        </is>
      </c>
      <c r="B794" s="2" t="inlineStr">
        <is>
          <t>Tuesday</t>
        </is>
      </c>
      <c r="C794" s="2" t="inlineStr">
        <is>
          <t>MNQH3</t>
        </is>
      </c>
      <c r="D794" s="3" t="n">
        <v>12361</v>
      </c>
      <c r="E794" s="3" t="n">
        <v>12313</v>
      </c>
      <c r="F794" s="3">
        <f>D794-E794</f>
        <v/>
      </c>
      <c r="G794" s="2" t="inlineStr">
        <is>
          <t>Short</t>
        </is>
      </c>
      <c r="H794" s="3" t="n">
        <v>12313</v>
      </c>
      <c r="I794" s="3" t="n">
        <v>12265</v>
      </c>
      <c r="J794" s="3">
        <f>IF(G794="Long",I794-H794,IF(G794="Short",H794-I794,0))</f>
        <v/>
      </c>
      <c r="K794" s="4" t="n">
        <v>12.5</v>
      </c>
      <c r="L794" s="2" t="inlineStr">
        <is>
          <t>Win</t>
        </is>
      </c>
      <c r="M794" s="3">
        <f>M793+J794</f>
        <v/>
      </c>
    </row>
    <row r="795">
      <c r="A795" s="5" t="inlineStr">
        <is>
          <t>2023-03-08</t>
        </is>
      </c>
      <c r="B795" s="5" t="inlineStr">
        <is>
          <t>Wednesday</t>
        </is>
      </c>
      <c r="C795" s="5" t="inlineStr">
        <is>
          <t>MNQH3</t>
        </is>
      </c>
      <c r="D795" s="6" t="n">
        <v>12216</v>
      </c>
      <c r="E795" s="6" t="n">
        <v>12156.5</v>
      </c>
      <c r="F795" s="6">
        <f>D795-E795</f>
        <v/>
      </c>
      <c r="G795" s="5" t="inlineStr">
        <is>
          <t>Short</t>
        </is>
      </c>
      <c r="H795" s="6" t="n">
        <v>12156.5</v>
      </c>
      <c r="I795" s="6" t="n">
        <v>12216</v>
      </c>
      <c r="J795" s="6">
        <f>IF(G795="Long",I795-H795,IF(G795="Short",H795-I795,0))</f>
        <v/>
      </c>
      <c r="K795" s="7" t="n">
        <v>100</v>
      </c>
      <c r="L795" s="5" t="inlineStr">
        <is>
          <t>Loss</t>
        </is>
      </c>
      <c r="M795" s="6">
        <f>M794+J795</f>
        <v/>
      </c>
    </row>
    <row r="796">
      <c r="A796" s="5" t="inlineStr">
        <is>
          <t>2023-03-08</t>
        </is>
      </c>
      <c r="B796" s="5" t="inlineStr">
        <is>
          <t>Wednesday</t>
        </is>
      </c>
      <c r="C796" s="5" t="inlineStr">
        <is>
          <t>MNQH3</t>
        </is>
      </c>
      <c r="D796" s="6" t="n">
        <v>12216</v>
      </c>
      <c r="E796" s="6" t="n">
        <v>12156.5</v>
      </c>
      <c r="F796" s="6">
        <f>D796-E796</f>
        <v/>
      </c>
      <c r="G796" s="5" t="inlineStr">
        <is>
          <t>Long</t>
        </is>
      </c>
      <c r="H796" s="6" t="n">
        <v>12216</v>
      </c>
      <c r="I796" s="6" t="n">
        <v>12156.5</v>
      </c>
      <c r="J796" s="6">
        <f>IF(G796="Long",I796-H796,IF(G796="Short",H796-I796,0))</f>
        <v/>
      </c>
      <c r="K796" s="7" t="n">
        <v>100</v>
      </c>
      <c r="L796" s="5" t="inlineStr">
        <is>
          <t>Loss</t>
        </is>
      </c>
      <c r="M796" s="6">
        <f>M795+J796</f>
        <v/>
      </c>
    </row>
    <row r="797">
      <c r="A797" s="2" t="inlineStr">
        <is>
          <t>2023-03-09</t>
        </is>
      </c>
      <c r="B797" s="2" t="inlineStr">
        <is>
          <t>Thursday</t>
        </is>
      </c>
      <c r="C797" s="2" t="inlineStr">
        <is>
          <t>MNQH3</t>
        </is>
      </c>
      <c r="D797" s="3" t="n">
        <v>12291.25</v>
      </c>
      <c r="E797" s="3" t="n">
        <v>12230.25</v>
      </c>
      <c r="F797" s="3">
        <f>D797-E797</f>
        <v/>
      </c>
      <c r="G797" s="2" t="inlineStr">
        <is>
          <t>Long</t>
        </is>
      </c>
      <c r="H797" s="3" t="n">
        <v>12291.25</v>
      </c>
      <c r="I797" s="3" t="n">
        <v>12352.25</v>
      </c>
      <c r="J797" s="3">
        <f>IF(G797="Long",I797-H797,IF(G797="Short",H797-I797,0))</f>
        <v/>
      </c>
      <c r="K797" s="4" t="n">
        <v>0</v>
      </c>
      <c r="L797" s="2" t="inlineStr">
        <is>
          <t>Win</t>
        </is>
      </c>
      <c r="M797" s="3">
        <f>M796+J797</f>
        <v/>
      </c>
    </row>
    <row r="798">
      <c r="A798" s="5" t="inlineStr">
        <is>
          <t>2023-03-09</t>
        </is>
      </c>
      <c r="B798" s="5" t="inlineStr">
        <is>
          <t>Thursday</t>
        </is>
      </c>
      <c r="C798" s="5" t="inlineStr">
        <is>
          <t>MNQH3</t>
        </is>
      </c>
      <c r="D798" s="6" t="n">
        <v>12291.25</v>
      </c>
      <c r="E798" s="6" t="n">
        <v>12230.25</v>
      </c>
      <c r="F798" s="6">
        <f>D798-E798</f>
        <v/>
      </c>
      <c r="G798" s="5" t="inlineStr">
        <is>
          <t>Long</t>
        </is>
      </c>
      <c r="H798" s="6" t="n">
        <v>12291.25</v>
      </c>
      <c r="I798" s="6" t="n">
        <v>12230.25</v>
      </c>
      <c r="J798" s="6">
        <f>IF(G798="Long",I798-H798,IF(G798="Short",H798-I798,0))</f>
        <v/>
      </c>
      <c r="K798" s="7" t="n">
        <v>100</v>
      </c>
      <c r="L798" s="5" t="inlineStr">
        <is>
          <t>Loss</t>
        </is>
      </c>
      <c r="M798" s="6">
        <f>M797+J798</f>
        <v/>
      </c>
    </row>
    <row r="799">
      <c r="A799" s="5" t="inlineStr">
        <is>
          <t>2023-03-10</t>
        </is>
      </c>
      <c r="B799" s="5" t="inlineStr">
        <is>
          <t>Friday</t>
        </is>
      </c>
      <c r="C799" s="5" t="inlineStr">
        <is>
          <t>MNQH3</t>
        </is>
      </c>
      <c r="D799" s="6" t="n">
        <v>12027.5</v>
      </c>
      <c r="E799" s="6" t="n">
        <v>11895.5</v>
      </c>
      <c r="F799" s="6">
        <f>D799-E799</f>
        <v/>
      </c>
      <c r="G799" s="5" t="inlineStr">
        <is>
          <t>Short</t>
        </is>
      </c>
      <c r="H799" s="6" t="n">
        <v>11895.5</v>
      </c>
      <c r="I799" s="6" t="n">
        <v>12027.5</v>
      </c>
      <c r="J799" s="6">
        <f>IF(G799="Long",I799-H799,IF(G799="Short",H799-I799,0))</f>
        <v/>
      </c>
      <c r="K799" s="7" t="n">
        <v>100</v>
      </c>
      <c r="L799" s="5" t="inlineStr">
        <is>
          <t>Loss</t>
        </is>
      </c>
      <c r="M799" s="6">
        <f>M798+J799</f>
        <v/>
      </c>
    </row>
    <row r="800">
      <c r="A800" s="5" t="inlineStr">
        <is>
          <t>2023-03-10</t>
        </is>
      </c>
      <c r="B800" s="5" t="inlineStr">
        <is>
          <t>Friday</t>
        </is>
      </c>
      <c r="C800" s="5" t="inlineStr">
        <is>
          <t>MNQH3</t>
        </is>
      </c>
      <c r="D800" s="6" t="n">
        <v>12027.5</v>
      </c>
      <c r="E800" s="6" t="n">
        <v>11895.5</v>
      </c>
      <c r="F800" s="6">
        <f>D800-E800</f>
        <v/>
      </c>
      <c r="G800" s="5" t="inlineStr">
        <is>
          <t>Long</t>
        </is>
      </c>
      <c r="H800" s="6" t="n">
        <v>12027.5</v>
      </c>
      <c r="I800" s="6" t="n">
        <v>11895.5</v>
      </c>
      <c r="J800" s="6">
        <f>IF(G800="Long",I800-H800,IF(G800="Short",H800-I800,0))</f>
        <v/>
      </c>
      <c r="K800" s="7" t="n">
        <v>100</v>
      </c>
      <c r="L800" s="5" t="inlineStr">
        <is>
          <t>Loss</t>
        </is>
      </c>
      <c r="M800" s="6">
        <f>M799+J800</f>
        <v/>
      </c>
    </row>
    <row r="801">
      <c r="A801" s="2" t="inlineStr">
        <is>
          <t>2023-03-13</t>
        </is>
      </c>
      <c r="B801" s="2" t="inlineStr">
        <is>
          <t>Monday</t>
        </is>
      </c>
      <c r="C801" s="2" t="inlineStr">
        <is>
          <t>MNQM3</t>
        </is>
      </c>
      <c r="D801" s="3" t="n">
        <v>11933.5</v>
      </c>
      <c r="E801" s="3" t="n">
        <v>11821.25</v>
      </c>
      <c r="F801" s="3">
        <f>D801-E801</f>
        <v/>
      </c>
      <c r="G801" s="2" t="inlineStr">
        <is>
          <t>Long</t>
        </is>
      </c>
      <c r="H801" s="3" t="n">
        <v>11933.5</v>
      </c>
      <c r="I801" s="3" t="n">
        <v>12045.75</v>
      </c>
      <c r="J801" s="3">
        <f>IF(G801="Long",I801-H801,IF(G801="Short",H801-I801,0))</f>
        <v/>
      </c>
      <c r="K801" s="4" t="n">
        <v>0</v>
      </c>
      <c r="L801" s="2" t="inlineStr">
        <is>
          <t>Win</t>
        </is>
      </c>
      <c r="M801" s="3">
        <f>M800+J801</f>
        <v/>
      </c>
    </row>
    <row r="802">
      <c r="A802" s="5" t="inlineStr">
        <is>
          <t>2023-03-14</t>
        </is>
      </c>
      <c r="B802" s="5" t="inlineStr">
        <is>
          <t>Tuesday</t>
        </is>
      </c>
      <c r="C802" s="5" t="inlineStr">
        <is>
          <t>MNQM3</t>
        </is>
      </c>
      <c r="D802" s="6" t="n">
        <v>12282.25</v>
      </c>
      <c r="E802" s="6" t="n">
        <v>12202</v>
      </c>
      <c r="F802" s="6">
        <f>D802-E802</f>
        <v/>
      </c>
      <c r="G802" s="5" t="inlineStr">
        <is>
          <t>Long</t>
        </is>
      </c>
      <c r="H802" s="6" t="n">
        <v>12282.25</v>
      </c>
      <c r="I802" s="6" t="n">
        <v>12202</v>
      </c>
      <c r="J802" s="6">
        <f>IF(G802="Long",I802-H802,IF(G802="Short",H802-I802,0))</f>
        <v/>
      </c>
      <c r="K802" s="7" t="n">
        <v>100</v>
      </c>
      <c r="L802" s="5" t="inlineStr">
        <is>
          <t>Loss</t>
        </is>
      </c>
      <c r="M802" s="6">
        <f>M801+J802</f>
        <v/>
      </c>
    </row>
    <row r="803">
      <c r="A803" s="5" t="inlineStr">
        <is>
          <t>2023-03-14</t>
        </is>
      </c>
      <c r="B803" s="5" t="inlineStr">
        <is>
          <t>Tuesday</t>
        </is>
      </c>
      <c r="C803" s="5" t="inlineStr">
        <is>
          <t>MNQM3</t>
        </is>
      </c>
      <c r="D803" s="6" t="n">
        <v>12282.25</v>
      </c>
      <c r="E803" s="6" t="n">
        <v>12202</v>
      </c>
      <c r="F803" s="6">
        <f>D803-E803</f>
        <v/>
      </c>
      <c r="G803" s="5" t="inlineStr">
        <is>
          <t>Short</t>
        </is>
      </c>
      <c r="H803" s="6" t="n">
        <v>12202</v>
      </c>
      <c r="I803" s="6" t="n">
        <v>12282.25</v>
      </c>
      <c r="J803" s="6">
        <f>IF(G803="Long",I803-H803,IF(G803="Short",H803-I803,0))</f>
        <v/>
      </c>
      <c r="K803" s="7" t="n">
        <v>100</v>
      </c>
      <c r="L803" s="5" t="inlineStr">
        <is>
          <t>Loss</t>
        </is>
      </c>
      <c r="M803" s="6">
        <f>M802+J803</f>
        <v/>
      </c>
    </row>
    <row r="804">
      <c r="A804" s="5" t="inlineStr">
        <is>
          <t>2023-03-15</t>
        </is>
      </c>
      <c r="B804" s="5" t="inlineStr">
        <is>
          <t>Wednesday</t>
        </is>
      </c>
      <c r="C804" s="5" t="inlineStr">
        <is>
          <t>MNQM3</t>
        </is>
      </c>
      <c r="D804" s="6" t="n">
        <v>12274.5</v>
      </c>
      <c r="E804" s="6" t="n">
        <v>12193.75</v>
      </c>
      <c r="F804" s="6">
        <f>D804-E804</f>
        <v/>
      </c>
      <c r="G804" s="5" t="inlineStr">
        <is>
          <t>Short</t>
        </is>
      </c>
      <c r="H804" s="6" t="n">
        <v>12193.75</v>
      </c>
      <c r="I804" s="6" t="n">
        <v>12274.5</v>
      </c>
      <c r="J804" s="6">
        <f>IF(G804="Long",I804-H804,IF(G804="Short",H804-I804,0))</f>
        <v/>
      </c>
      <c r="K804" s="7" t="n">
        <v>100</v>
      </c>
      <c r="L804" s="5" t="inlineStr">
        <is>
          <t>Loss</t>
        </is>
      </c>
      <c r="M804" s="6">
        <f>M803+J804</f>
        <v/>
      </c>
    </row>
    <row r="805">
      <c r="A805" s="5" t="inlineStr">
        <is>
          <t>2023-03-15</t>
        </is>
      </c>
      <c r="B805" s="5" t="inlineStr">
        <is>
          <t>Wednesday</t>
        </is>
      </c>
      <c r="C805" s="5" t="inlineStr">
        <is>
          <t>MNQM3</t>
        </is>
      </c>
      <c r="D805" s="6" t="n">
        <v>12274.5</v>
      </c>
      <c r="E805" s="6" t="n">
        <v>12193.75</v>
      </c>
      <c r="F805" s="6">
        <f>D805-E805</f>
        <v/>
      </c>
      <c r="G805" s="5" t="inlineStr">
        <is>
          <t>Long</t>
        </is>
      </c>
      <c r="H805" s="6" t="n">
        <v>12274.5</v>
      </c>
      <c r="I805" s="6" t="n">
        <v>12193.75</v>
      </c>
      <c r="J805" s="6">
        <f>IF(G805="Long",I805-H805,IF(G805="Short",H805-I805,0))</f>
        <v/>
      </c>
      <c r="K805" s="7" t="n">
        <v>100</v>
      </c>
      <c r="L805" s="5" t="inlineStr">
        <is>
          <t>Loss</t>
        </is>
      </c>
      <c r="M805" s="6">
        <f>M804+J805</f>
        <v/>
      </c>
    </row>
    <row r="806">
      <c r="A806" s="2" t="inlineStr">
        <is>
          <t>2023-03-16</t>
        </is>
      </c>
      <c r="B806" s="2" t="inlineStr">
        <is>
          <t>Thursday</t>
        </is>
      </c>
      <c r="C806" s="2" t="inlineStr">
        <is>
          <t>MNQM3</t>
        </is>
      </c>
      <c r="D806" s="3" t="n">
        <v>12381</v>
      </c>
      <c r="E806" s="3" t="n">
        <v>12314</v>
      </c>
      <c r="F806" s="3">
        <f>D806-E806</f>
        <v/>
      </c>
      <c r="G806" s="2" t="inlineStr">
        <is>
          <t>Long</t>
        </is>
      </c>
      <c r="H806" s="3" t="n">
        <v>12381</v>
      </c>
      <c r="I806" s="3" t="n">
        <v>12448</v>
      </c>
      <c r="J806" s="3">
        <f>IF(G806="Long",I806-H806,IF(G806="Short",H806-I806,0))</f>
        <v/>
      </c>
      <c r="K806" s="4" t="n">
        <v>26.87</v>
      </c>
      <c r="L806" s="2" t="inlineStr">
        <is>
          <t>Win</t>
        </is>
      </c>
      <c r="M806" s="3">
        <f>M805+J806</f>
        <v/>
      </c>
    </row>
    <row r="807">
      <c r="A807" s="5" t="inlineStr">
        <is>
          <t>2023-03-17</t>
        </is>
      </c>
      <c r="B807" s="5" t="inlineStr">
        <is>
          <t>Friday</t>
        </is>
      </c>
      <c r="C807" s="5" t="inlineStr">
        <is>
          <t>MNQM3</t>
        </is>
      </c>
      <c r="D807" s="6" t="n">
        <v>12763.75</v>
      </c>
      <c r="E807" s="6" t="n">
        <v>12691</v>
      </c>
      <c r="F807" s="6">
        <f>D807-E807</f>
        <v/>
      </c>
      <c r="G807" s="5" t="inlineStr">
        <is>
          <t>Long</t>
        </is>
      </c>
      <c r="H807" s="6" t="n">
        <v>12763.75</v>
      </c>
      <c r="I807" s="6" t="n">
        <v>12691</v>
      </c>
      <c r="J807" s="6">
        <f>IF(G807="Long",I807-H807,IF(G807="Short",H807-I807,0))</f>
        <v/>
      </c>
      <c r="K807" s="7" t="n">
        <v>100</v>
      </c>
      <c r="L807" s="5" t="inlineStr">
        <is>
          <t>Loss</t>
        </is>
      </c>
      <c r="M807" s="6">
        <f>M806+J807</f>
        <v/>
      </c>
    </row>
    <row r="808">
      <c r="A808" s="2" t="inlineStr">
        <is>
          <t>2023-03-17</t>
        </is>
      </c>
      <c r="B808" s="2" t="inlineStr">
        <is>
          <t>Friday</t>
        </is>
      </c>
      <c r="C808" s="2" t="inlineStr">
        <is>
          <t>MNQM3</t>
        </is>
      </c>
      <c r="D808" s="3" t="n">
        <v>12763.75</v>
      </c>
      <c r="E808" s="3" t="n">
        <v>12691</v>
      </c>
      <c r="F808" s="3">
        <f>D808-E808</f>
        <v/>
      </c>
      <c r="G808" s="2" t="inlineStr">
        <is>
          <t>Short</t>
        </is>
      </c>
      <c r="H808" s="3" t="n">
        <v>12691</v>
      </c>
      <c r="I808" s="3" t="n">
        <v>12618.25</v>
      </c>
      <c r="J808" s="3">
        <f>IF(G808="Long",I808-H808,IF(G808="Short",H808-I808,0))</f>
        <v/>
      </c>
      <c r="K808" s="4" t="n">
        <v>17.18</v>
      </c>
      <c r="L808" s="2" t="inlineStr">
        <is>
          <t>Win</t>
        </is>
      </c>
      <c r="M808" s="3">
        <f>M807+J808</f>
        <v/>
      </c>
    </row>
    <row r="809">
      <c r="A809" s="8" t="inlineStr">
        <is>
          <t>2023-03-20</t>
        </is>
      </c>
      <c r="B809" s="8" t="inlineStr">
        <is>
          <t>Monday</t>
        </is>
      </c>
      <c r="C809" s="8" t="inlineStr">
        <is>
          <t>MNQM3</t>
        </is>
      </c>
      <c r="D809" s="9" t="n">
        <v>12633</v>
      </c>
      <c r="E809" s="9" t="n">
        <v>12552</v>
      </c>
      <c r="F809" s="9">
        <f>D809-E809</f>
        <v/>
      </c>
      <c r="G809" s="8" t="inlineStr">
        <is>
          <t>Long</t>
        </is>
      </c>
      <c r="H809" s="9" t="n">
        <v>12633</v>
      </c>
      <c r="I809" s="9" t="n">
        <v>12693</v>
      </c>
      <c r="J809" s="9">
        <f>IF(G809="Long",I809-H809,IF(G809="Short",H809-I809,0))</f>
        <v/>
      </c>
      <c r="K809" s="10" t="n">
        <v>83.33</v>
      </c>
      <c r="L809" s="8" t="inlineStr">
        <is>
          <t>EOD-Close</t>
        </is>
      </c>
      <c r="M809" s="9">
        <f>M808+J809</f>
        <v/>
      </c>
    </row>
    <row r="810">
      <c r="A810" s="2" t="inlineStr">
        <is>
          <t>2023-03-21</t>
        </is>
      </c>
      <c r="B810" s="2" t="inlineStr">
        <is>
          <t>Tuesday</t>
        </is>
      </c>
      <c r="C810" s="2" t="inlineStr">
        <is>
          <t>MNQM3</t>
        </is>
      </c>
      <c r="D810" s="3" t="n">
        <v>12814.75</v>
      </c>
      <c r="E810" s="3" t="n">
        <v>12774.25</v>
      </c>
      <c r="F810" s="3">
        <f>D810-E810</f>
        <v/>
      </c>
      <c r="G810" s="2" t="inlineStr">
        <is>
          <t>Short</t>
        </is>
      </c>
      <c r="H810" s="3" t="n">
        <v>12774.25</v>
      </c>
      <c r="I810" s="3" t="n">
        <v>12733.75</v>
      </c>
      <c r="J810" s="3">
        <f>IF(G810="Long",I810-H810,IF(G810="Short",H810-I810,0))</f>
        <v/>
      </c>
      <c r="K810" s="4" t="n">
        <v>10.49</v>
      </c>
      <c r="L810" s="2" t="inlineStr">
        <is>
          <t>Win</t>
        </is>
      </c>
      <c r="M810" s="3">
        <f>M809+J810</f>
        <v/>
      </c>
    </row>
    <row r="811">
      <c r="A811" s="2" t="inlineStr">
        <is>
          <t>2023-03-21</t>
        </is>
      </c>
      <c r="B811" s="2" t="inlineStr">
        <is>
          <t>Tuesday</t>
        </is>
      </c>
      <c r="C811" s="2" t="inlineStr">
        <is>
          <t>MNQM3</t>
        </is>
      </c>
      <c r="D811" s="3" t="n">
        <v>12814.75</v>
      </c>
      <c r="E811" s="3" t="n">
        <v>12774.25</v>
      </c>
      <c r="F811" s="3">
        <f>D811-E811</f>
        <v/>
      </c>
      <c r="G811" s="2" t="inlineStr">
        <is>
          <t>Short</t>
        </is>
      </c>
      <c r="H811" s="3" t="n">
        <v>12774.25</v>
      </c>
      <c r="I811" s="3" t="n">
        <v>12733.75</v>
      </c>
      <c r="J811" s="3">
        <f>IF(G811="Long",I811-H811,IF(G811="Short",H811-I811,0))</f>
        <v/>
      </c>
      <c r="K811" s="4" t="n">
        <v>9.880000000000001</v>
      </c>
      <c r="L811" s="2" t="inlineStr">
        <is>
          <t>Win</t>
        </is>
      </c>
      <c r="M811" s="3">
        <f>M810+J811</f>
        <v/>
      </c>
    </row>
    <row r="812">
      <c r="A812" s="2" t="inlineStr">
        <is>
          <t>2023-03-22</t>
        </is>
      </c>
      <c r="B812" s="2" t="inlineStr">
        <is>
          <t>Wednesday</t>
        </is>
      </c>
      <c r="C812" s="2" t="inlineStr">
        <is>
          <t>MNQM3</t>
        </is>
      </c>
      <c r="D812" s="3" t="n">
        <v>12880.5</v>
      </c>
      <c r="E812" s="3" t="n">
        <v>12851</v>
      </c>
      <c r="F812" s="3">
        <f>D812-E812</f>
        <v/>
      </c>
      <c r="G812" s="2" t="inlineStr">
        <is>
          <t>Long</t>
        </is>
      </c>
      <c r="H812" s="3" t="n">
        <v>12880.5</v>
      </c>
      <c r="I812" s="3" t="n">
        <v>12910</v>
      </c>
      <c r="J812" s="3">
        <f>IF(G812="Long",I812-H812,IF(G812="Short",H812-I812,0))</f>
        <v/>
      </c>
      <c r="K812" s="4" t="n">
        <v>55.93</v>
      </c>
      <c r="L812" s="2" t="inlineStr">
        <is>
          <t>Win</t>
        </is>
      </c>
      <c r="M812" s="3">
        <f>M811+J812</f>
        <v/>
      </c>
    </row>
    <row r="813">
      <c r="A813" s="2" t="inlineStr">
        <is>
          <t>2023-03-22</t>
        </is>
      </c>
      <c r="B813" s="2" t="inlineStr">
        <is>
          <t>Wednesday</t>
        </is>
      </c>
      <c r="C813" s="2" t="inlineStr">
        <is>
          <t>MNQM3</t>
        </is>
      </c>
      <c r="D813" s="3" t="n">
        <v>12880.5</v>
      </c>
      <c r="E813" s="3" t="n">
        <v>12851</v>
      </c>
      <c r="F813" s="3">
        <f>D813-E813</f>
        <v/>
      </c>
      <c r="G813" s="2" t="inlineStr">
        <is>
          <t>Long</t>
        </is>
      </c>
      <c r="H813" s="3" t="n">
        <v>12880.5</v>
      </c>
      <c r="I813" s="3" t="n">
        <v>12910</v>
      </c>
      <c r="J813" s="3">
        <f>IF(G813="Long",I813-H813,IF(G813="Short",H813-I813,0))</f>
        <v/>
      </c>
      <c r="K813" s="4" t="n">
        <v>31.36</v>
      </c>
      <c r="L813" s="2" t="inlineStr">
        <is>
          <t>Win</t>
        </is>
      </c>
      <c r="M813" s="3">
        <f>M812+J813</f>
        <v/>
      </c>
    </row>
    <row r="814">
      <c r="A814" s="2" t="inlineStr">
        <is>
          <t>2023-03-23</t>
        </is>
      </c>
      <c r="B814" s="2" t="inlineStr">
        <is>
          <t>Thursday</t>
        </is>
      </c>
      <c r="C814" s="2" t="inlineStr">
        <is>
          <t>MNQM3</t>
        </is>
      </c>
      <c r="D814" s="3" t="n">
        <v>12892.5</v>
      </c>
      <c r="E814" s="3" t="n">
        <v>12847</v>
      </c>
      <c r="F814" s="3">
        <f>D814-E814</f>
        <v/>
      </c>
      <c r="G814" s="2" t="inlineStr">
        <is>
          <t>Long</t>
        </is>
      </c>
      <c r="H814" s="3" t="n">
        <v>12892.5</v>
      </c>
      <c r="I814" s="3" t="n">
        <v>12938</v>
      </c>
      <c r="J814" s="3">
        <f>IF(G814="Long",I814-H814,IF(G814="Short",H814-I814,0))</f>
        <v/>
      </c>
      <c r="K814" s="4" t="n">
        <v>9.890000000000001</v>
      </c>
      <c r="L814" s="2" t="inlineStr">
        <is>
          <t>Win</t>
        </is>
      </c>
      <c r="M814" s="3">
        <f>M813+J814</f>
        <v/>
      </c>
    </row>
    <row r="815">
      <c r="A815" s="5" t="inlineStr">
        <is>
          <t>2023-03-23</t>
        </is>
      </c>
      <c r="B815" s="5" t="inlineStr">
        <is>
          <t>Thursday</t>
        </is>
      </c>
      <c r="C815" s="5" t="inlineStr">
        <is>
          <t>MNQM3</t>
        </is>
      </c>
      <c r="D815" s="6" t="n">
        <v>12892.5</v>
      </c>
      <c r="E815" s="6" t="n">
        <v>12847</v>
      </c>
      <c r="F815" s="6">
        <f>D815-E815</f>
        <v/>
      </c>
      <c r="G815" s="5" t="inlineStr">
        <is>
          <t>Long</t>
        </is>
      </c>
      <c r="H815" s="6" t="n">
        <v>12892.5</v>
      </c>
      <c r="I815" s="6" t="n">
        <v>12847</v>
      </c>
      <c r="J815" s="6">
        <f>IF(G815="Long",I815-H815,IF(G815="Short",H815-I815,0))</f>
        <v/>
      </c>
      <c r="K815" s="7" t="n">
        <v>100</v>
      </c>
      <c r="L815" s="5" t="inlineStr">
        <is>
          <t>Loss</t>
        </is>
      </c>
      <c r="M815" s="6">
        <f>M814+J815</f>
        <v/>
      </c>
    </row>
    <row r="816">
      <c r="A816" s="5" t="inlineStr">
        <is>
          <t>2023-03-24</t>
        </is>
      </c>
      <c r="B816" s="5" t="inlineStr">
        <is>
          <t>Friday</t>
        </is>
      </c>
      <c r="C816" s="5" t="inlineStr">
        <is>
          <t>MNQM3</t>
        </is>
      </c>
      <c r="D816" s="6" t="n">
        <v>12844.75</v>
      </c>
      <c r="E816" s="6" t="n">
        <v>12743.5</v>
      </c>
      <c r="F816" s="6">
        <f>D816-E816</f>
        <v/>
      </c>
      <c r="G816" s="5" t="inlineStr">
        <is>
          <t>Short</t>
        </is>
      </c>
      <c r="H816" s="6" t="n">
        <v>12743.5</v>
      </c>
      <c r="I816" s="6" t="n">
        <v>12844.75</v>
      </c>
      <c r="J816" s="6">
        <f>IF(G816="Long",I816-H816,IF(G816="Short",H816-I816,0))</f>
        <v/>
      </c>
      <c r="K816" s="7" t="n">
        <v>100</v>
      </c>
      <c r="L816" s="5" t="inlineStr">
        <is>
          <t>Loss</t>
        </is>
      </c>
      <c r="M816" s="6">
        <f>M815+J816</f>
        <v/>
      </c>
    </row>
    <row r="817">
      <c r="A817" s="8" t="inlineStr">
        <is>
          <t>2023-03-24</t>
        </is>
      </c>
      <c r="B817" s="8" t="inlineStr">
        <is>
          <t>Friday</t>
        </is>
      </c>
      <c r="C817" s="8" t="inlineStr">
        <is>
          <t>MNQM3</t>
        </is>
      </c>
      <c r="D817" s="9" t="n">
        <v>12844.75</v>
      </c>
      <c r="E817" s="9" t="n">
        <v>12743.5</v>
      </c>
      <c r="F817" s="9">
        <f>D817-E817</f>
        <v/>
      </c>
      <c r="G817" s="8" t="inlineStr">
        <is>
          <t>Long</t>
        </is>
      </c>
      <c r="H817" s="9" t="n">
        <v>12844.75</v>
      </c>
      <c r="I817" s="9" t="n">
        <v>12894.25</v>
      </c>
      <c r="J817" s="9">
        <f>IF(G817="Long",I817-H817,IF(G817="Short",H817-I817,0))</f>
        <v/>
      </c>
      <c r="K817" s="10" t="n">
        <v>12.84</v>
      </c>
      <c r="L817" s="8" t="inlineStr">
        <is>
          <t>EOD-Close</t>
        </is>
      </c>
      <c r="M817" s="9">
        <f>M816+J817</f>
        <v/>
      </c>
    </row>
    <row r="818">
      <c r="A818" s="5" t="inlineStr">
        <is>
          <t>2023-03-27</t>
        </is>
      </c>
      <c r="B818" s="5" t="inlineStr">
        <is>
          <t>Monday</t>
        </is>
      </c>
      <c r="C818" s="5" t="inlineStr">
        <is>
          <t>MNQM3</t>
        </is>
      </c>
      <c r="D818" s="6" t="n">
        <v>12940.75</v>
      </c>
      <c r="E818" s="6" t="n">
        <v>12881.75</v>
      </c>
      <c r="F818" s="6">
        <f>D818-E818</f>
        <v/>
      </c>
      <c r="G818" s="5" t="inlineStr">
        <is>
          <t>Long</t>
        </is>
      </c>
      <c r="H818" s="6" t="n">
        <v>12940.75</v>
      </c>
      <c r="I818" s="6" t="n">
        <v>12881.75</v>
      </c>
      <c r="J818" s="6">
        <f>IF(G818="Long",I818-H818,IF(G818="Short",H818-I818,0))</f>
        <v/>
      </c>
      <c r="K818" s="7" t="n">
        <v>100</v>
      </c>
      <c r="L818" s="5" t="inlineStr">
        <is>
          <t>Loss</t>
        </is>
      </c>
      <c r="M818" s="6">
        <f>M817+J818</f>
        <v/>
      </c>
    </row>
    <row r="819">
      <c r="A819" s="2" t="inlineStr">
        <is>
          <t>2023-03-27</t>
        </is>
      </c>
      <c r="B819" s="2" t="inlineStr">
        <is>
          <t>Monday</t>
        </is>
      </c>
      <c r="C819" s="2" t="inlineStr">
        <is>
          <t>MNQM3</t>
        </is>
      </c>
      <c r="D819" s="3" t="n">
        <v>12940.75</v>
      </c>
      <c r="E819" s="3" t="n">
        <v>12881.75</v>
      </c>
      <c r="F819" s="3">
        <f>D819-E819</f>
        <v/>
      </c>
      <c r="G819" s="2" t="inlineStr">
        <is>
          <t>Short</t>
        </is>
      </c>
      <c r="H819" s="3" t="n">
        <v>12881.75</v>
      </c>
      <c r="I819" s="3" t="n">
        <v>12822.75</v>
      </c>
      <c r="J819" s="3">
        <f>IF(G819="Long",I819-H819,IF(G819="Short",H819-I819,0))</f>
        <v/>
      </c>
      <c r="K819" s="4" t="n">
        <v>28.39</v>
      </c>
      <c r="L819" s="2" t="inlineStr">
        <is>
          <t>Win</t>
        </is>
      </c>
      <c r="M819" s="3">
        <f>M818+J819</f>
        <v/>
      </c>
    </row>
    <row r="820">
      <c r="A820" s="8" t="inlineStr">
        <is>
          <t>2023-03-28</t>
        </is>
      </c>
      <c r="B820" s="8" t="inlineStr">
        <is>
          <t>Tuesday</t>
        </is>
      </c>
      <c r="C820" s="8" t="inlineStr">
        <is>
          <t>MNQM3</t>
        </is>
      </c>
      <c r="D820" s="9" t="n">
        <v>12777</v>
      </c>
      <c r="E820" s="9" t="n">
        <v>12682.75</v>
      </c>
      <c r="F820" s="9">
        <f>D820-E820</f>
        <v/>
      </c>
      <c r="G820" s="8" t="inlineStr">
        <is>
          <t>Short</t>
        </is>
      </c>
      <c r="H820" s="9" t="n">
        <v>12682.75</v>
      </c>
      <c r="I820" s="9" t="n">
        <v>12732.75</v>
      </c>
      <c r="J820" s="9">
        <f>IF(G820="Long",I820-H820,IF(G820="Short",H820-I820,0))</f>
        <v/>
      </c>
      <c r="K820" s="10" t="n">
        <v>55.17</v>
      </c>
      <c r="L820" s="8" t="inlineStr">
        <is>
          <t>EOD-Close</t>
        </is>
      </c>
      <c r="M820" s="9">
        <f>M819+J820</f>
        <v/>
      </c>
    </row>
    <row r="821">
      <c r="A821" s="5" t="inlineStr">
        <is>
          <t>2023-03-29</t>
        </is>
      </c>
      <c r="B821" s="5" t="inlineStr">
        <is>
          <t>Wednesday</t>
        </is>
      </c>
      <c r="C821" s="5" t="inlineStr">
        <is>
          <t>MNQM3</t>
        </is>
      </c>
      <c r="D821" s="6" t="n">
        <v>12919.5</v>
      </c>
      <c r="E821" s="6" t="n">
        <v>12881.25</v>
      </c>
      <c r="F821" s="6">
        <f>D821-E821</f>
        <v/>
      </c>
      <c r="G821" s="5" t="inlineStr">
        <is>
          <t>Long</t>
        </is>
      </c>
      <c r="H821" s="6" t="n">
        <v>12919.5</v>
      </c>
      <c r="I821" s="6" t="n">
        <v>12881.25</v>
      </c>
      <c r="J821" s="6">
        <f>IF(G821="Long",I821-H821,IF(G821="Short",H821-I821,0))</f>
        <v/>
      </c>
      <c r="K821" s="7" t="n">
        <v>100</v>
      </c>
      <c r="L821" s="5" t="inlineStr">
        <is>
          <t>Loss</t>
        </is>
      </c>
      <c r="M821" s="6">
        <f>M820+J821</f>
        <v/>
      </c>
    </row>
    <row r="822">
      <c r="A822" s="5" t="inlineStr">
        <is>
          <t>2023-03-29</t>
        </is>
      </c>
      <c r="B822" s="5" t="inlineStr">
        <is>
          <t>Wednesday</t>
        </is>
      </c>
      <c r="C822" s="5" t="inlineStr">
        <is>
          <t>MNQM3</t>
        </is>
      </c>
      <c r="D822" s="6" t="n">
        <v>12919.5</v>
      </c>
      <c r="E822" s="6" t="n">
        <v>12881.25</v>
      </c>
      <c r="F822" s="6">
        <f>D822-E822</f>
        <v/>
      </c>
      <c r="G822" s="5" t="inlineStr">
        <is>
          <t>Short</t>
        </is>
      </c>
      <c r="H822" s="6" t="n">
        <v>12881.25</v>
      </c>
      <c r="I822" s="6" t="n">
        <v>12919.5</v>
      </c>
      <c r="J822" s="6">
        <f>IF(G822="Long",I822-H822,IF(G822="Short",H822-I822,0))</f>
        <v/>
      </c>
      <c r="K822" s="7" t="n">
        <v>100</v>
      </c>
      <c r="L822" s="5" t="inlineStr">
        <is>
          <t>Loss</t>
        </is>
      </c>
      <c r="M822" s="6">
        <f>M821+J822</f>
        <v/>
      </c>
    </row>
    <row r="823">
      <c r="A823" s="5" t="inlineStr">
        <is>
          <t>2023-03-30</t>
        </is>
      </c>
      <c r="B823" s="5" t="inlineStr">
        <is>
          <t>Thursday</t>
        </is>
      </c>
      <c r="C823" s="5" t="inlineStr">
        <is>
          <t>MNQM3</t>
        </is>
      </c>
      <c r="D823" s="6" t="n">
        <v>13078</v>
      </c>
      <c r="E823" s="6" t="n">
        <v>13037</v>
      </c>
      <c r="F823" s="6">
        <f>D823-E823</f>
        <v/>
      </c>
      <c r="G823" s="5" t="inlineStr">
        <is>
          <t>Long</t>
        </is>
      </c>
      <c r="H823" s="6" t="n">
        <v>13078</v>
      </c>
      <c r="I823" s="6" t="n">
        <v>13037</v>
      </c>
      <c r="J823" s="6">
        <f>IF(G823="Long",I823-H823,IF(G823="Short",H823-I823,0))</f>
        <v/>
      </c>
      <c r="K823" s="7" t="n">
        <v>100</v>
      </c>
      <c r="L823" s="5" t="inlineStr">
        <is>
          <t>Loss</t>
        </is>
      </c>
      <c r="M823" s="6">
        <f>M822+J823</f>
        <v/>
      </c>
    </row>
    <row r="824">
      <c r="A824" s="5" t="inlineStr">
        <is>
          <t>2023-03-30</t>
        </is>
      </c>
      <c r="B824" s="5" t="inlineStr">
        <is>
          <t>Thursday</t>
        </is>
      </c>
      <c r="C824" s="5" t="inlineStr">
        <is>
          <t>MNQM3</t>
        </is>
      </c>
      <c r="D824" s="6" t="n">
        <v>13078</v>
      </c>
      <c r="E824" s="6" t="n">
        <v>13037</v>
      </c>
      <c r="F824" s="6">
        <f>D824-E824</f>
        <v/>
      </c>
      <c r="G824" s="5" t="inlineStr">
        <is>
          <t>Long</t>
        </is>
      </c>
      <c r="H824" s="6" t="n">
        <v>13078</v>
      </c>
      <c r="I824" s="6" t="n">
        <v>13037</v>
      </c>
      <c r="J824" s="6">
        <f>IF(G824="Long",I824-H824,IF(G824="Short",H824-I824,0))</f>
        <v/>
      </c>
      <c r="K824" s="7" t="n">
        <v>100</v>
      </c>
      <c r="L824" s="5" t="inlineStr">
        <is>
          <t>Loss</t>
        </is>
      </c>
      <c r="M824" s="6">
        <f>M823+J824</f>
        <v/>
      </c>
    </row>
    <row r="825">
      <c r="A825" s="2" t="inlineStr">
        <is>
          <t>2023-03-31</t>
        </is>
      </c>
      <c r="B825" s="2" t="inlineStr">
        <is>
          <t>Friday</t>
        </is>
      </c>
      <c r="C825" s="2" t="inlineStr">
        <is>
          <t>MNQM3</t>
        </is>
      </c>
      <c r="D825" s="3" t="n">
        <v>13140.5</v>
      </c>
      <c r="E825" s="3" t="n">
        <v>13078</v>
      </c>
      <c r="F825" s="3">
        <f>D825-E825</f>
        <v/>
      </c>
      <c r="G825" s="2" t="inlineStr">
        <is>
          <t>Long</t>
        </is>
      </c>
      <c r="H825" s="3" t="n">
        <v>13140.5</v>
      </c>
      <c r="I825" s="3" t="n">
        <v>13203</v>
      </c>
      <c r="J825" s="3">
        <f>IF(G825="Long",I825-H825,IF(G825="Short",H825-I825,0))</f>
        <v/>
      </c>
      <c r="K825" s="4" t="n">
        <v>16.4</v>
      </c>
      <c r="L825" s="2" t="inlineStr">
        <is>
          <t>Win</t>
        </is>
      </c>
      <c r="M825" s="3">
        <f>M824+J825</f>
        <v/>
      </c>
    </row>
    <row r="826">
      <c r="A826" s="5" t="inlineStr">
        <is>
          <t>2023-04-03</t>
        </is>
      </c>
      <c r="B826" s="5" t="inlineStr">
        <is>
          <t>Monday</t>
        </is>
      </c>
      <c r="C826" s="5" t="inlineStr">
        <is>
          <t>MNQM3</t>
        </is>
      </c>
      <c r="D826" s="6" t="n">
        <v>13248</v>
      </c>
      <c r="E826" s="6" t="n">
        <v>13197.75</v>
      </c>
      <c r="F826" s="6">
        <f>D826-E826</f>
        <v/>
      </c>
      <c r="G826" s="5" t="inlineStr">
        <is>
          <t>Long</t>
        </is>
      </c>
      <c r="H826" s="6" t="n">
        <v>13248</v>
      </c>
      <c r="I826" s="6" t="n">
        <v>13197.75</v>
      </c>
      <c r="J826" s="6">
        <f>IF(G826="Long",I826-H826,IF(G826="Short",H826-I826,0))</f>
        <v/>
      </c>
      <c r="K826" s="7" t="n">
        <v>100</v>
      </c>
      <c r="L826" s="5" t="inlineStr">
        <is>
          <t>Loss</t>
        </is>
      </c>
      <c r="M826" s="6">
        <f>M825+J826</f>
        <v/>
      </c>
    </row>
    <row r="827">
      <c r="A827" s="5" t="inlineStr">
        <is>
          <t>2023-04-03</t>
        </is>
      </c>
      <c r="B827" s="5" t="inlineStr">
        <is>
          <t>Monday</t>
        </is>
      </c>
      <c r="C827" s="5" t="inlineStr">
        <is>
          <t>MNQM3</t>
        </is>
      </c>
      <c r="D827" s="6" t="n">
        <v>13248</v>
      </c>
      <c r="E827" s="6" t="n">
        <v>13197.75</v>
      </c>
      <c r="F827" s="6">
        <f>D827-E827</f>
        <v/>
      </c>
      <c r="G827" s="5" t="inlineStr">
        <is>
          <t>Short</t>
        </is>
      </c>
      <c r="H827" s="6" t="n">
        <v>13197.75</v>
      </c>
      <c r="I827" s="6" t="n">
        <v>13248</v>
      </c>
      <c r="J827" s="6">
        <f>IF(G827="Long",I827-H827,IF(G827="Short",H827-I827,0))</f>
        <v/>
      </c>
      <c r="K827" s="7" t="n">
        <v>100</v>
      </c>
      <c r="L827" s="5" t="inlineStr">
        <is>
          <t>Loss</t>
        </is>
      </c>
      <c r="M827" s="6">
        <f>M826+J827</f>
        <v/>
      </c>
    </row>
    <row r="828">
      <c r="A828" s="5" t="inlineStr">
        <is>
          <t>2023-04-04</t>
        </is>
      </c>
      <c r="B828" s="5" t="inlineStr">
        <is>
          <t>Tuesday</t>
        </is>
      </c>
      <c r="C828" s="5" t="inlineStr">
        <is>
          <t>MNQM3</t>
        </is>
      </c>
      <c r="D828" s="6" t="n">
        <v>13296.25</v>
      </c>
      <c r="E828" s="6" t="n">
        <v>13232</v>
      </c>
      <c r="F828" s="6">
        <f>D828-E828</f>
        <v/>
      </c>
      <c r="G828" s="5" t="inlineStr">
        <is>
          <t>Long</t>
        </is>
      </c>
      <c r="H828" s="6" t="n">
        <v>13296.25</v>
      </c>
      <c r="I828" s="6" t="n">
        <v>13232</v>
      </c>
      <c r="J828" s="6">
        <f>IF(G828="Long",I828-H828,IF(G828="Short",H828-I828,0))</f>
        <v/>
      </c>
      <c r="K828" s="7" t="n">
        <v>100</v>
      </c>
      <c r="L828" s="5" t="inlineStr">
        <is>
          <t>Loss</t>
        </is>
      </c>
      <c r="M828" s="6">
        <f>M827+J828</f>
        <v/>
      </c>
    </row>
    <row r="829">
      <c r="A829" s="8" t="inlineStr">
        <is>
          <t>2023-04-04</t>
        </is>
      </c>
      <c r="B829" s="8" t="inlineStr">
        <is>
          <t>Tuesday</t>
        </is>
      </c>
      <c r="C829" s="8" t="inlineStr">
        <is>
          <t>MNQM3</t>
        </is>
      </c>
      <c r="D829" s="9" t="n">
        <v>13296.25</v>
      </c>
      <c r="E829" s="9" t="n">
        <v>13232</v>
      </c>
      <c r="F829" s="9">
        <f>D829-E829</f>
        <v/>
      </c>
      <c r="G829" s="8" t="inlineStr">
        <is>
          <t>Short</t>
        </is>
      </c>
      <c r="H829" s="9" t="n">
        <v>13232</v>
      </c>
      <c r="I829" s="9" t="n">
        <v>13223.25</v>
      </c>
      <c r="J829" s="9">
        <f>IF(G829="Long",I829-H829,IF(G829="Short",H829-I829,0))</f>
        <v/>
      </c>
      <c r="K829" s="10" t="n">
        <v>30.35</v>
      </c>
      <c r="L829" s="8" t="inlineStr">
        <is>
          <t>EOD-Close</t>
        </is>
      </c>
      <c r="M829" s="9">
        <f>M828+J829</f>
        <v/>
      </c>
    </row>
    <row r="830">
      <c r="A830" s="2" t="inlineStr">
        <is>
          <t>2023-04-05</t>
        </is>
      </c>
      <c r="B830" s="2" t="inlineStr">
        <is>
          <t>Wednesday</t>
        </is>
      </c>
      <c r="C830" s="2" t="inlineStr">
        <is>
          <t>MNQM3</t>
        </is>
      </c>
      <c r="D830" s="3" t="n">
        <v>13182.5</v>
      </c>
      <c r="E830" s="3" t="n">
        <v>13140.25</v>
      </c>
      <c r="F830" s="3">
        <f>D830-E830</f>
        <v/>
      </c>
      <c r="G830" s="2" t="inlineStr">
        <is>
          <t>Short</t>
        </is>
      </c>
      <c r="H830" s="3" t="n">
        <v>13140.25</v>
      </c>
      <c r="I830" s="3" t="n">
        <v>13098</v>
      </c>
      <c r="J830" s="3">
        <f>IF(G830="Long",I830-H830,IF(G830="Short",H830-I830,0))</f>
        <v/>
      </c>
      <c r="K830" s="4" t="n">
        <v>57.99</v>
      </c>
      <c r="L830" s="2" t="inlineStr">
        <is>
          <t>Win</t>
        </is>
      </c>
      <c r="M830" s="3">
        <f>M829+J830</f>
        <v/>
      </c>
    </row>
    <row r="831">
      <c r="A831" s="2" t="inlineStr">
        <is>
          <t>2023-04-06</t>
        </is>
      </c>
      <c r="B831" s="2" t="inlineStr">
        <is>
          <t>Thursday</t>
        </is>
      </c>
      <c r="C831" s="2" t="inlineStr">
        <is>
          <t>MNQM3</t>
        </is>
      </c>
      <c r="D831" s="3" t="n">
        <v>13013.5</v>
      </c>
      <c r="E831" s="3" t="n">
        <v>12957.5</v>
      </c>
      <c r="F831" s="3">
        <f>D831-E831</f>
        <v/>
      </c>
      <c r="G831" s="2" t="inlineStr">
        <is>
          <t>Long</t>
        </is>
      </c>
      <c r="H831" s="3" t="n">
        <v>13013.5</v>
      </c>
      <c r="I831" s="3" t="n">
        <v>13069.5</v>
      </c>
      <c r="J831" s="3">
        <f>IF(G831="Long",I831-H831,IF(G831="Short",H831-I831,0))</f>
        <v/>
      </c>
      <c r="K831" s="4" t="n">
        <v>10.71</v>
      </c>
      <c r="L831" s="2" t="inlineStr">
        <is>
          <t>Win</t>
        </is>
      </c>
      <c r="M831" s="3">
        <f>M830+J831</f>
        <v/>
      </c>
    </row>
    <row r="832">
      <c r="A832" s="5" t="inlineStr">
        <is>
          <t>2023-04-10</t>
        </is>
      </c>
      <c r="B832" s="5" t="inlineStr">
        <is>
          <t>Monday</t>
        </is>
      </c>
      <c r="C832" s="5" t="inlineStr">
        <is>
          <t>MNQM3</t>
        </is>
      </c>
      <c r="D832" s="6" t="n">
        <v>13050.5</v>
      </c>
      <c r="E832" s="6" t="n">
        <v>12992.25</v>
      </c>
      <c r="F832" s="6">
        <f>D832-E832</f>
        <v/>
      </c>
      <c r="G832" s="5" t="inlineStr">
        <is>
          <t>Short</t>
        </is>
      </c>
      <c r="H832" s="6" t="n">
        <v>12992.25</v>
      </c>
      <c r="I832" s="6" t="n">
        <v>13050.5</v>
      </c>
      <c r="J832" s="6">
        <f>IF(G832="Long",I832-H832,IF(G832="Short",H832-I832,0))</f>
        <v/>
      </c>
      <c r="K832" s="7" t="n">
        <v>100</v>
      </c>
      <c r="L832" s="5" t="inlineStr">
        <is>
          <t>Loss</t>
        </is>
      </c>
      <c r="M832" s="6">
        <f>M831+J832</f>
        <v/>
      </c>
    </row>
    <row r="833">
      <c r="A833" s="2" t="inlineStr">
        <is>
          <t>2023-04-10</t>
        </is>
      </c>
      <c r="B833" s="2" t="inlineStr">
        <is>
          <t>Monday</t>
        </is>
      </c>
      <c r="C833" s="2" t="inlineStr">
        <is>
          <t>MNQM3</t>
        </is>
      </c>
      <c r="D833" s="3" t="n">
        <v>13050.5</v>
      </c>
      <c r="E833" s="3" t="n">
        <v>12992.25</v>
      </c>
      <c r="F833" s="3">
        <f>D833-E833</f>
        <v/>
      </c>
      <c r="G833" s="2" t="inlineStr">
        <is>
          <t>Long</t>
        </is>
      </c>
      <c r="H833" s="3" t="n">
        <v>13050.5</v>
      </c>
      <c r="I833" s="3" t="n">
        <v>13108.75</v>
      </c>
      <c r="J833" s="3">
        <f>IF(G833="Long",I833-H833,IF(G833="Short",H833-I833,0))</f>
        <v/>
      </c>
      <c r="K833" s="4" t="n">
        <v>62.66</v>
      </c>
      <c r="L833" s="2" t="inlineStr">
        <is>
          <t>Win</t>
        </is>
      </c>
      <c r="M833" s="3">
        <f>M832+J833</f>
        <v/>
      </c>
    </row>
    <row r="834">
      <c r="A834" s="8" t="inlineStr">
        <is>
          <t>2023-04-11</t>
        </is>
      </c>
      <c r="B834" s="8" t="inlineStr">
        <is>
          <t>Tuesday</t>
        </is>
      </c>
      <c r="C834" s="8" t="inlineStr">
        <is>
          <t>MNQM3</t>
        </is>
      </c>
      <c r="D834" s="9" t="n">
        <v>13160.75</v>
      </c>
      <c r="E834" s="9" t="n">
        <v>13099.5</v>
      </c>
      <c r="F834" s="9">
        <f>D834-E834</f>
        <v/>
      </c>
      <c r="G834" s="8" t="inlineStr">
        <is>
          <t>Short</t>
        </is>
      </c>
      <c r="H834" s="9" t="n">
        <v>13099.5</v>
      </c>
      <c r="I834" s="9" t="n">
        <v>13077</v>
      </c>
      <c r="J834" s="9">
        <f>IF(G834="Long",I834-H834,IF(G834="Short",H834-I834,0))</f>
        <v/>
      </c>
      <c r="K834" s="10" t="n">
        <v>55.51</v>
      </c>
      <c r="L834" s="8" t="inlineStr">
        <is>
          <t>EOD-Close</t>
        </is>
      </c>
      <c r="M834" s="9">
        <f>M833+J834</f>
        <v/>
      </c>
    </row>
    <row r="835">
      <c r="A835" s="2" t="inlineStr">
        <is>
          <t>2023-04-12</t>
        </is>
      </c>
      <c r="B835" s="2" t="inlineStr">
        <is>
          <t>Wednesday</t>
        </is>
      </c>
      <c r="C835" s="2" t="inlineStr">
        <is>
          <t>MNQM3</t>
        </is>
      </c>
      <c r="D835" s="3" t="n">
        <v>13181</v>
      </c>
      <c r="E835" s="3" t="n">
        <v>13083.75</v>
      </c>
      <c r="F835" s="3">
        <f>D835-E835</f>
        <v/>
      </c>
      <c r="G835" s="2" t="inlineStr">
        <is>
          <t>Short</t>
        </is>
      </c>
      <c r="H835" s="3" t="n">
        <v>13083.75</v>
      </c>
      <c r="I835" s="3" t="n">
        <v>12986.5</v>
      </c>
      <c r="J835" s="3">
        <f>IF(G835="Long",I835-H835,IF(G835="Short",H835-I835,0))</f>
        <v/>
      </c>
      <c r="K835" s="4" t="n">
        <v>46.53</v>
      </c>
      <c r="L835" s="2" t="inlineStr">
        <is>
          <t>Win</t>
        </is>
      </c>
      <c r="M835" s="3">
        <f>M834+J835</f>
        <v/>
      </c>
    </row>
    <row r="836">
      <c r="A836" s="2" t="inlineStr">
        <is>
          <t>2023-04-12</t>
        </is>
      </c>
      <c r="B836" s="2" t="inlineStr">
        <is>
          <t>Wednesday</t>
        </is>
      </c>
      <c r="C836" s="2" t="inlineStr">
        <is>
          <t>MNQM3</t>
        </is>
      </c>
      <c r="D836" s="3" t="n">
        <v>13181</v>
      </c>
      <c r="E836" s="3" t="n">
        <v>13083.75</v>
      </c>
      <c r="F836" s="3">
        <f>D836-E836</f>
        <v/>
      </c>
      <c r="G836" s="2" t="inlineStr">
        <is>
          <t>Short</t>
        </is>
      </c>
      <c r="H836" s="3" t="n">
        <v>13083.75</v>
      </c>
      <c r="I836" s="3" t="n">
        <v>12986.5</v>
      </c>
      <c r="J836" s="3">
        <f>IF(G836="Long",I836-H836,IF(G836="Short",H836-I836,0))</f>
        <v/>
      </c>
      <c r="K836" s="4" t="n">
        <v>25.96</v>
      </c>
      <c r="L836" s="2" t="inlineStr">
        <is>
          <t>Win</t>
        </is>
      </c>
      <c r="M836" s="3">
        <f>M835+J836</f>
        <v/>
      </c>
    </row>
    <row r="837">
      <c r="A837" s="2" t="inlineStr">
        <is>
          <t>2023-04-13</t>
        </is>
      </c>
      <c r="B837" s="2" t="inlineStr">
        <is>
          <t>Thursday</t>
        </is>
      </c>
      <c r="C837" s="2" t="inlineStr">
        <is>
          <t>MNQM3</t>
        </is>
      </c>
      <c r="D837" s="3" t="n">
        <v>13080.5</v>
      </c>
      <c r="E837" s="3" t="n">
        <v>13019.75</v>
      </c>
      <c r="F837" s="3">
        <f>D837-E837</f>
        <v/>
      </c>
      <c r="G837" s="2" t="inlineStr">
        <is>
          <t>Long</t>
        </is>
      </c>
      <c r="H837" s="3" t="n">
        <v>13080.5</v>
      </c>
      <c r="I837" s="3" t="n">
        <v>13141.25</v>
      </c>
      <c r="J837" s="3">
        <f>IF(G837="Long",I837-H837,IF(G837="Short",H837-I837,0))</f>
        <v/>
      </c>
      <c r="K837" s="4" t="n">
        <v>0</v>
      </c>
      <c r="L837" s="2" t="inlineStr">
        <is>
          <t>Win</t>
        </is>
      </c>
      <c r="M837" s="3">
        <f>M836+J837</f>
        <v/>
      </c>
    </row>
    <row r="838">
      <c r="A838" s="5" t="inlineStr">
        <is>
          <t>2023-04-14</t>
        </is>
      </c>
      <c r="B838" s="5" t="inlineStr">
        <is>
          <t>Friday</t>
        </is>
      </c>
      <c r="C838" s="5" t="inlineStr">
        <is>
          <t>MNQM3</t>
        </is>
      </c>
      <c r="D838" s="6" t="n">
        <v>13216</v>
      </c>
      <c r="E838" s="6" t="n">
        <v>13133.25</v>
      </c>
      <c r="F838" s="6">
        <f>D838-E838</f>
        <v/>
      </c>
      <c r="G838" s="5" t="inlineStr">
        <is>
          <t>Long</t>
        </is>
      </c>
      <c r="H838" s="6" t="n">
        <v>13216</v>
      </c>
      <c r="I838" s="6" t="n">
        <v>13133.25</v>
      </c>
      <c r="J838" s="6">
        <f>IF(G838="Long",I838-H838,IF(G838="Short",H838-I838,0))</f>
        <v/>
      </c>
      <c r="K838" s="7" t="n">
        <v>100</v>
      </c>
      <c r="L838" s="5" t="inlineStr">
        <is>
          <t>Loss</t>
        </is>
      </c>
      <c r="M838" s="6">
        <f>M837+J838</f>
        <v/>
      </c>
    </row>
    <row r="839">
      <c r="A839" s="8" t="inlineStr">
        <is>
          <t>2023-04-14</t>
        </is>
      </c>
      <c r="B839" s="8" t="inlineStr">
        <is>
          <t>Friday</t>
        </is>
      </c>
      <c r="C839" s="8" t="inlineStr">
        <is>
          <t>MNQM3</t>
        </is>
      </c>
      <c r="D839" s="9" t="n">
        <v>13216</v>
      </c>
      <c r="E839" s="9" t="n">
        <v>13133.25</v>
      </c>
      <c r="F839" s="9">
        <f>D839-E839</f>
        <v/>
      </c>
      <c r="G839" s="8" t="inlineStr">
        <is>
          <t>Short</t>
        </is>
      </c>
      <c r="H839" s="9" t="n">
        <v>13133.25</v>
      </c>
      <c r="I839" s="9" t="n">
        <v>13180.75</v>
      </c>
      <c r="J839" s="9">
        <f>IF(G839="Long",I839-H839,IF(G839="Short",H839-I839,0))</f>
        <v/>
      </c>
      <c r="K839" s="10" t="n">
        <v>69.48999999999999</v>
      </c>
      <c r="L839" s="8" t="inlineStr">
        <is>
          <t>EOD-Close</t>
        </is>
      </c>
      <c r="M839" s="9">
        <f>M838+J839</f>
        <v/>
      </c>
    </row>
    <row r="840">
      <c r="A840" s="2" t="inlineStr">
        <is>
          <t>2023-04-17</t>
        </is>
      </c>
      <c r="B840" s="2" t="inlineStr">
        <is>
          <t>Monday</t>
        </is>
      </c>
      <c r="C840" s="2" t="inlineStr">
        <is>
          <t>MNQM3</t>
        </is>
      </c>
      <c r="D840" s="3" t="n">
        <v>13206</v>
      </c>
      <c r="E840" s="3" t="n">
        <v>13145.5</v>
      </c>
      <c r="F840" s="3">
        <f>D840-E840</f>
        <v/>
      </c>
      <c r="G840" s="2" t="inlineStr">
        <is>
          <t>Short</t>
        </is>
      </c>
      <c r="H840" s="3" t="n">
        <v>13145.5</v>
      </c>
      <c r="I840" s="3" t="n">
        <v>13085</v>
      </c>
      <c r="J840" s="3">
        <f>IF(G840="Long",I840-H840,IF(G840="Short",H840-I840,0))</f>
        <v/>
      </c>
      <c r="K840" s="4" t="n">
        <v>12.4</v>
      </c>
      <c r="L840" s="2" t="inlineStr">
        <is>
          <t>Win</t>
        </is>
      </c>
      <c r="M840" s="3">
        <f>M839+J840</f>
        <v/>
      </c>
    </row>
    <row r="841">
      <c r="A841" s="8" t="inlineStr">
        <is>
          <t>2023-04-17</t>
        </is>
      </c>
      <c r="B841" s="8" t="inlineStr">
        <is>
          <t>Monday</t>
        </is>
      </c>
      <c r="C841" s="8" t="inlineStr">
        <is>
          <t>MNQM3</t>
        </is>
      </c>
      <c r="D841" s="9" t="n">
        <v>13206</v>
      </c>
      <c r="E841" s="9" t="n">
        <v>13145.5</v>
      </c>
      <c r="F841" s="9">
        <f>D841-E841</f>
        <v/>
      </c>
      <c r="G841" s="8" t="inlineStr">
        <is>
          <t>Short</t>
        </is>
      </c>
      <c r="H841" s="9" t="n">
        <v>13145.5</v>
      </c>
      <c r="I841" s="9" t="n">
        <v>13189.5</v>
      </c>
      <c r="J841" s="9">
        <f>IF(G841="Long",I841-H841,IF(G841="Short",H841-I841,0))</f>
        <v/>
      </c>
      <c r="K841" s="10" t="n">
        <v>76.45</v>
      </c>
      <c r="L841" s="8" t="inlineStr">
        <is>
          <t>EOD-Close</t>
        </is>
      </c>
      <c r="M841" s="9">
        <f>M840+J841</f>
        <v/>
      </c>
    </row>
    <row r="842">
      <c r="A842" s="5" t="inlineStr">
        <is>
          <t>2023-04-18</t>
        </is>
      </c>
      <c r="B842" s="5" t="inlineStr">
        <is>
          <t>Tuesday</t>
        </is>
      </c>
      <c r="C842" s="5" t="inlineStr">
        <is>
          <t>MNQM3</t>
        </is>
      </c>
      <c r="D842" s="6" t="n">
        <v>13284.5</v>
      </c>
      <c r="E842" s="6" t="n">
        <v>13259</v>
      </c>
      <c r="F842" s="6">
        <f>D842-E842</f>
        <v/>
      </c>
      <c r="G842" s="5" t="inlineStr">
        <is>
          <t>Long</t>
        </is>
      </c>
      <c r="H842" s="6" t="n">
        <v>13284.5</v>
      </c>
      <c r="I842" s="6" t="n">
        <v>13259</v>
      </c>
      <c r="J842" s="6">
        <f>IF(G842="Long",I842-H842,IF(G842="Short",H842-I842,0))</f>
        <v/>
      </c>
      <c r="K842" s="7" t="n">
        <v>100</v>
      </c>
      <c r="L842" s="5" t="inlineStr">
        <is>
          <t>Loss</t>
        </is>
      </c>
      <c r="M842" s="6">
        <f>M841+J842</f>
        <v/>
      </c>
    </row>
    <row r="843">
      <c r="A843" s="2" t="inlineStr">
        <is>
          <t>2023-04-18</t>
        </is>
      </c>
      <c r="B843" s="2" t="inlineStr">
        <is>
          <t>Tuesday</t>
        </is>
      </c>
      <c r="C843" s="2" t="inlineStr">
        <is>
          <t>MNQM3</t>
        </is>
      </c>
      <c r="D843" s="3" t="n">
        <v>13284.5</v>
      </c>
      <c r="E843" s="3" t="n">
        <v>13259</v>
      </c>
      <c r="F843" s="3">
        <f>D843-E843</f>
        <v/>
      </c>
      <c r="G843" s="2" t="inlineStr">
        <is>
          <t>Short</t>
        </is>
      </c>
      <c r="H843" s="3" t="n">
        <v>13259</v>
      </c>
      <c r="I843" s="3" t="n">
        <v>13233.5</v>
      </c>
      <c r="J843" s="3">
        <f>IF(G843="Long",I843-H843,IF(G843="Short",H843-I843,0))</f>
        <v/>
      </c>
      <c r="K843" s="4" t="n">
        <v>0</v>
      </c>
      <c r="L843" s="2" t="inlineStr">
        <is>
          <t>Win</t>
        </is>
      </c>
      <c r="M843" s="3">
        <f>M842+J843</f>
        <v/>
      </c>
    </row>
    <row r="844">
      <c r="A844" s="2" t="inlineStr">
        <is>
          <t>2023-04-19</t>
        </is>
      </c>
      <c r="B844" s="2" t="inlineStr">
        <is>
          <t>Wednesday</t>
        </is>
      </c>
      <c r="C844" s="2" t="inlineStr">
        <is>
          <t>MNQM3</t>
        </is>
      </c>
      <c r="D844" s="3" t="n">
        <v>13132.5</v>
      </c>
      <c r="E844" s="3" t="n">
        <v>13078.25</v>
      </c>
      <c r="F844" s="3">
        <f>D844-E844</f>
        <v/>
      </c>
      <c r="G844" s="2" t="inlineStr">
        <is>
          <t>Long</t>
        </is>
      </c>
      <c r="H844" s="3" t="n">
        <v>13132.5</v>
      </c>
      <c r="I844" s="3" t="n">
        <v>13186.75</v>
      </c>
      <c r="J844" s="3">
        <f>IF(G844="Long",I844-H844,IF(G844="Short",H844-I844,0))</f>
        <v/>
      </c>
      <c r="K844" s="4" t="n">
        <v>15.67</v>
      </c>
      <c r="L844" s="2" t="inlineStr">
        <is>
          <t>Win</t>
        </is>
      </c>
      <c r="M844" s="3">
        <f>M843+J844</f>
        <v/>
      </c>
    </row>
    <row r="845">
      <c r="A845" s="2" t="inlineStr">
        <is>
          <t>2023-04-20</t>
        </is>
      </c>
      <c r="B845" s="2" t="inlineStr">
        <is>
          <t>Thursday</t>
        </is>
      </c>
      <c r="C845" s="2" t="inlineStr">
        <is>
          <t>MNQM3</t>
        </is>
      </c>
      <c r="D845" s="3" t="n">
        <v>13111.5</v>
      </c>
      <c r="E845" s="3" t="n">
        <v>13045.75</v>
      </c>
      <c r="F845" s="3">
        <f>D845-E845</f>
        <v/>
      </c>
      <c r="G845" s="2" t="inlineStr">
        <is>
          <t>Long</t>
        </is>
      </c>
      <c r="H845" s="3" t="n">
        <v>13111.5</v>
      </c>
      <c r="I845" s="3" t="n">
        <v>13177.25</v>
      </c>
      <c r="J845" s="3">
        <f>IF(G845="Long",I845-H845,IF(G845="Short",H845-I845,0))</f>
        <v/>
      </c>
      <c r="K845" s="4" t="n">
        <v>30.04</v>
      </c>
      <c r="L845" s="2" t="inlineStr">
        <is>
          <t>Win</t>
        </is>
      </c>
      <c r="M845" s="3">
        <f>M844+J845</f>
        <v/>
      </c>
    </row>
    <row r="846">
      <c r="A846" s="5" t="inlineStr">
        <is>
          <t>2023-04-20</t>
        </is>
      </c>
      <c r="B846" s="5" t="inlineStr">
        <is>
          <t>Thursday</t>
        </is>
      </c>
      <c r="C846" s="5" t="inlineStr">
        <is>
          <t>MNQM3</t>
        </is>
      </c>
      <c r="D846" s="6" t="n">
        <v>13111.5</v>
      </c>
      <c r="E846" s="6" t="n">
        <v>13045.75</v>
      </c>
      <c r="F846" s="6">
        <f>D846-E846</f>
        <v/>
      </c>
      <c r="G846" s="5" t="inlineStr">
        <is>
          <t>Long</t>
        </is>
      </c>
      <c r="H846" s="6" t="n">
        <v>13111.5</v>
      </c>
      <c r="I846" s="6" t="n">
        <v>13045.75</v>
      </c>
      <c r="J846" s="6">
        <f>IF(G846="Long",I846-H846,IF(G846="Short",H846-I846,0))</f>
        <v/>
      </c>
      <c r="K846" s="7" t="n">
        <v>100</v>
      </c>
      <c r="L846" s="5" t="inlineStr">
        <is>
          <t>Loss</t>
        </is>
      </c>
      <c r="M846" s="6">
        <f>M845+J846</f>
        <v/>
      </c>
    </row>
    <row r="847">
      <c r="A847" s="2" t="inlineStr">
        <is>
          <t>2023-04-21</t>
        </is>
      </c>
      <c r="B847" s="2" t="inlineStr">
        <is>
          <t>Friday</t>
        </is>
      </c>
      <c r="C847" s="2" t="inlineStr">
        <is>
          <t>MNQM3</t>
        </is>
      </c>
      <c r="D847" s="3" t="n">
        <v>13074</v>
      </c>
      <c r="E847" s="3" t="n">
        <v>13038.25</v>
      </c>
      <c r="F847" s="3">
        <f>D847-E847</f>
        <v/>
      </c>
      <c r="G847" s="2" t="inlineStr">
        <is>
          <t>Short</t>
        </is>
      </c>
      <c r="H847" s="3" t="n">
        <v>13038.25</v>
      </c>
      <c r="I847" s="3" t="n">
        <v>13002.5</v>
      </c>
      <c r="J847" s="3">
        <f>IF(G847="Long",I847-H847,IF(G847="Short",H847-I847,0))</f>
        <v/>
      </c>
      <c r="K847" s="4" t="n">
        <v>0</v>
      </c>
      <c r="L847" s="2" t="inlineStr">
        <is>
          <t>Win</t>
        </is>
      </c>
      <c r="M847" s="3">
        <f>M846+J847</f>
        <v/>
      </c>
    </row>
    <row r="848">
      <c r="A848" s="5" t="inlineStr">
        <is>
          <t>2023-04-21</t>
        </is>
      </c>
      <c r="B848" s="5" t="inlineStr">
        <is>
          <t>Friday</t>
        </is>
      </c>
      <c r="C848" s="5" t="inlineStr">
        <is>
          <t>MNQM3</t>
        </is>
      </c>
      <c r="D848" s="6" t="n">
        <v>13074</v>
      </c>
      <c r="E848" s="6" t="n">
        <v>13038.25</v>
      </c>
      <c r="F848" s="6">
        <f>D848-E848</f>
        <v/>
      </c>
      <c r="G848" s="5" t="inlineStr">
        <is>
          <t>Short</t>
        </is>
      </c>
      <c r="H848" s="6" t="n">
        <v>13038.25</v>
      </c>
      <c r="I848" s="6" t="n">
        <v>13074</v>
      </c>
      <c r="J848" s="6">
        <f>IF(G848="Long",I848-H848,IF(G848="Short",H848-I848,0))</f>
        <v/>
      </c>
      <c r="K848" s="7" t="n">
        <v>100</v>
      </c>
      <c r="L848" s="5" t="inlineStr">
        <is>
          <t>Loss</t>
        </is>
      </c>
      <c r="M848" s="6">
        <f>M847+J848</f>
        <v/>
      </c>
    </row>
    <row r="849">
      <c r="A849" s="2" t="inlineStr">
        <is>
          <t>2023-04-24</t>
        </is>
      </c>
      <c r="B849" s="2" t="inlineStr">
        <is>
          <t>Monday</t>
        </is>
      </c>
      <c r="C849" s="2" t="inlineStr">
        <is>
          <t>MNQM3</t>
        </is>
      </c>
      <c r="D849" s="3" t="n">
        <v>13134</v>
      </c>
      <c r="E849" s="3" t="n">
        <v>13054</v>
      </c>
      <c r="F849" s="3">
        <f>D849-E849</f>
        <v/>
      </c>
      <c r="G849" s="2" t="inlineStr">
        <is>
          <t>Short</t>
        </is>
      </c>
      <c r="H849" s="3" t="n">
        <v>13054</v>
      </c>
      <c r="I849" s="3" t="n">
        <v>12974</v>
      </c>
      <c r="J849" s="3">
        <f>IF(G849="Long",I849-H849,IF(G849="Short",H849-I849,0))</f>
        <v/>
      </c>
      <c r="K849" s="4" t="n">
        <v>0</v>
      </c>
      <c r="L849" s="2" t="inlineStr">
        <is>
          <t>Win</t>
        </is>
      </c>
      <c r="M849" s="3">
        <f>M848+J849</f>
        <v/>
      </c>
    </row>
    <row r="850">
      <c r="A850" s="8" t="inlineStr">
        <is>
          <t>2023-04-24</t>
        </is>
      </c>
      <c r="B850" s="8" t="inlineStr">
        <is>
          <t>Monday</t>
        </is>
      </c>
      <c r="C850" s="8" t="inlineStr">
        <is>
          <t>MNQM3</t>
        </is>
      </c>
      <c r="D850" s="9" t="n">
        <v>13134</v>
      </c>
      <c r="E850" s="9" t="n">
        <v>13054</v>
      </c>
      <c r="F850" s="9">
        <f>D850-E850</f>
        <v/>
      </c>
      <c r="G850" s="8" t="inlineStr">
        <is>
          <t>Short</t>
        </is>
      </c>
      <c r="H850" s="9" t="n">
        <v>13054</v>
      </c>
      <c r="I850" s="9" t="n">
        <v>13059.5</v>
      </c>
      <c r="J850" s="9">
        <f>IF(G850="Long",I850-H850,IF(G850="Short",H850-I850,0))</f>
        <v/>
      </c>
      <c r="K850" s="10" t="n">
        <v>17.5</v>
      </c>
      <c r="L850" s="8" t="inlineStr">
        <is>
          <t>EOD-Close</t>
        </is>
      </c>
      <c r="M850" s="9">
        <f>M849+J850</f>
        <v/>
      </c>
    </row>
    <row r="851">
      <c r="A851" s="2" t="inlineStr">
        <is>
          <t>2023-04-25</t>
        </is>
      </c>
      <c r="B851" s="2" t="inlineStr">
        <is>
          <t>Tuesday</t>
        </is>
      </c>
      <c r="C851" s="2" t="inlineStr">
        <is>
          <t>MNQM3</t>
        </is>
      </c>
      <c r="D851" s="3" t="n">
        <v>13015</v>
      </c>
      <c r="E851" s="3" t="n">
        <v>12978.75</v>
      </c>
      <c r="F851" s="3">
        <f>D851-E851</f>
        <v/>
      </c>
      <c r="G851" s="2" t="inlineStr">
        <is>
          <t>Short</t>
        </is>
      </c>
      <c r="H851" s="3" t="n">
        <v>12978.75</v>
      </c>
      <c r="I851" s="3" t="n">
        <v>12942.5</v>
      </c>
      <c r="J851" s="3">
        <f>IF(G851="Long",I851-H851,IF(G851="Short",H851-I851,0))</f>
        <v/>
      </c>
      <c r="K851" s="4" t="n">
        <v>64.83</v>
      </c>
      <c r="L851" s="2" t="inlineStr">
        <is>
          <t>Win</t>
        </is>
      </c>
      <c r="M851" s="3">
        <f>M850+J851</f>
        <v/>
      </c>
    </row>
    <row r="852">
      <c r="A852" s="5" t="inlineStr">
        <is>
          <t>2023-04-26</t>
        </is>
      </c>
      <c r="B852" s="5" t="inlineStr">
        <is>
          <t>Wednesday</t>
        </is>
      </c>
      <c r="C852" s="5" t="inlineStr">
        <is>
          <t>MNQM3</t>
        </is>
      </c>
      <c r="D852" s="6" t="n">
        <v>12958.25</v>
      </c>
      <c r="E852" s="6" t="n">
        <v>12899</v>
      </c>
      <c r="F852" s="6">
        <f>D852-E852</f>
        <v/>
      </c>
      <c r="G852" s="5" t="inlineStr">
        <is>
          <t>Long</t>
        </is>
      </c>
      <c r="H852" s="6" t="n">
        <v>12958.25</v>
      </c>
      <c r="I852" s="6" t="n">
        <v>12899</v>
      </c>
      <c r="J852" s="6">
        <f>IF(G852="Long",I852-H852,IF(G852="Short",H852-I852,0))</f>
        <v/>
      </c>
      <c r="K852" s="7" t="n">
        <v>100</v>
      </c>
      <c r="L852" s="5" t="inlineStr">
        <is>
          <t>Loss</t>
        </is>
      </c>
      <c r="M852" s="6">
        <f>M851+J852</f>
        <v/>
      </c>
    </row>
    <row r="853">
      <c r="A853" s="5" t="inlineStr">
        <is>
          <t>2023-04-26</t>
        </is>
      </c>
      <c r="B853" s="5" t="inlineStr">
        <is>
          <t>Wednesday</t>
        </is>
      </c>
      <c r="C853" s="5" t="inlineStr">
        <is>
          <t>MNQM3</t>
        </is>
      </c>
      <c r="D853" s="6" t="n">
        <v>12958.25</v>
      </c>
      <c r="E853" s="6" t="n">
        <v>12899</v>
      </c>
      <c r="F853" s="6">
        <f>D853-E853</f>
        <v/>
      </c>
      <c r="G853" s="5" t="inlineStr">
        <is>
          <t>Long</t>
        </is>
      </c>
      <c r="H853" s="6" t="n">
        <v>12958.25</v>
      </c>
      <c r="I853" s="6" t="n">
        <v>12899</v>
      </c>
      <c r="J853" s="6">
        <f>IF(G853="Long",I853-H853,IF(G853="Short",H853-I853,0))</f>
        <v/>
      </c>
      <c r="K853" s="7" t="n">
        <v>100</v>
      </c>
      <c r="L853" s="5" t="inlineStr">
        <is>
          <t>Loss</t>
        </is>
      </c>
      <c r="M853" s="6">
        <f>M852+J853</f>
        <v/>
      </c>
    </row>
    <row r="854">
      <c r="A854" s="2" t="inlineStr">
        <is>
          <t>2023-04-27</t>
        </is>
      </c>
      <c r="B854" s="2" t="inlineStr">
        <is>
          <t>Thursday</t>
        </is>
      </c>
      <c r="C854" s="2" t="inlineStr">
        <is>
          <t>MNQM3</t>
        </is>
      </c>
      <c r="D854" s="3" t="n">
        <v>13052.75</v>
      </c>
      <c r="E854" s="3" t="n">
        <v>13013.25</v>
      </c>
      <c r="F854" s="3">
        <f>D854-E854</f>
        <v/>
      </c>
      <c r="G854" s="2" t="inlineStr">
        <is>
          <t>Long</t>
        </is>
      </c>
      <c r="H854" s="3" t="n">
        <v>13052.75</v>
      </c>
      <c r="I854" s="3" t="n">
        <v>13092.25</v>
      </c>
      <c r="J854" s="3">
        <f>IF(G854="Long",I854-H854,IF(G854="Short",H854-I854,0))</f>
        <v/>
      </c>
      <c r="K854" s="4" t="n">
        <v>10.13</v>
      </c>
      <c r="L854" s="2" t="inlineStr">
        <is>
          <t>Win</t>
        </is>
      </c>
      <c r="M854" s="3">
        <f>M853+J854</f>
        <v/>
      </c>
    </row>
    <row r="855">
      <c r="A855" s="2" t="inlineStr">
        <is>
          <t>2023-04-28</t>
        </is>
      </c>
      <c r="B855" s="2" t="inlineStr">
        <is>
          <t>Friday</t>
        </is>
      </c>
      <c r="C855" s="2" t="inlineStr">
        <is>
          <t>MNQM3</t>
        </is>
      </c>
      <c r="D855" s="3" t="n">
        <v>13244</v>
      </c>
      <c r="E855" s="3" t="n">
        <v>13172.5</v>
      </c>
      <c r="F855" s="3">
        <f>D855-E855</f>
        <v/>
      </c>
      <c r="G855" s="2" t="inlineStr">
        <is>
          <t>Long</t>
        </is>
      </c>
      <c r="H855" s="3" t="n">
        <v>13244</v>
      </c>
      <c r="I855" s="3" t="n">
        <v>13315.5</v>
      </c>
      <c r="J855" s="3">
        <f>IF(G855="Long",I855-H855,IF(G855="Short",H855-I855,0))</f>
        <v/>
      </c>
      <c r="K855" s="4" t="n">
        <v>84.27</v>
      </c>
      <c r="L855" s="2" t="inlineStr">
        <is>
          <t>Win</t>
        </is>
      </c>
      <c r="M855" s="3">
        <f>M854+J855</f>
        <v/>
      </c>
    </row>
    <row r="856">
      <c r="A856" s="5" t="inlineStr">
        <is>
          <t>2023-05-01</t>
        </is>
      </c>
      <c r="B856" s="5" t="inlineStr">
        <is>
          <t>Monday</t>
        </is>
      </c>
      <c r="C856" s="5" t="inlineStr">
        <is>
          <t>MNQM3</t>
        </is>
      </c>
      <c r="D856" s="6" t="n">
        <v>13316.25</v>
      </c>
      <c r="E856" s="6" t="n">
        <v>13286</v>
      </c>
      <c r="F856" s="6">
        <f>D856-E856</f>
        <v/>
      </c>
      <c r="G856" s="5" t="inlineStr">
        <is>
          <t>Long</t>
        </is>
      </c>
      <c r="H856" s="6" t="n">
        <v>13316.25</v>
      </c>
      <c r="I856" s="6" t="n">
        <v>13286</v>
      </c>
      <c r="J856" s="6">
        <f>IF(G856="Long",I856-H856,IF(G856="Short",H856-I856,0))</f>
        <v/>
      </c>
      <c r="K856" s="7" t="n">
        <v>100</v>
      </c>
      <c r="L856" s="5" t="inlineStr">
        <is>
          <t>Loss</t>
        </is>
      </c>
      <c r="M856" s="6">
        <f>M855+J856</f>
        <v/>
      </c>
    </row>
    <row r="857">
      <c r="A857" s="5" t="inlineStr">
        <is>
          <t>2023-05-01</t>
        </is>
      </c>
      <c r="B857" s="5" t="inlineStr">
        <is>
          <t>Monday</t>
        </is>
      </c>
      <c r="C857" s="5" t="inlineStr">
        <is>
          <t>MNQM3</t>
        </is>
      </c>
      <c r="D857" s="6" t="n">
        <v>13316.25</v>
      </c>
      <c r="E857" s="6" t="n">
        <v>13286</v>
      </c>
      <c r="F857" s="6">
        <f>D857-E857</f>
        <v/>
      </c>
      <c r="G857" s="5" t="inlineStr">
        <is>
          <t>Long</t>
        </is>
      </c>
      <c r="H857" s="6" t="n">
        <v>13316.25</v>
      </c>
      <c r="I857" s="6" t="n">
        <v>13286</v>
      </c>
      <c r="J857" s="6">
        <f>IF(G857="Long",I857-H857,IF(G857="Short",H857-I857,0))</f>
        <v/>
      </c>
      <c r="K857" s="7" t="n">
        <v>100</v>
      </c>
      <c r="L857" s="5" t="inlineStr">
        <is>
          <t>Loss</t>
        </is>
      </c>
      <c r="M857" s="6">
        <f>M856+J857</f>
        <v/>
      </c>
    </row>
    <row r="858">
      <c r="A858" s="2" t="inlineStr">
        <is>
          <t>2023-05-02</t>
        </is>
      </c>
      <c r="B858" s="2" t="inlineStr">
        <is>
          <t>Tuesday</t>
        </is>
      </c>
      <c r="C858" s="2" t="inlineStr">
        <is>
          <t>MNQM3</t>
        </is>
      </c>
      <c r="D858" s="3" t="n">
        <v>13313.25</v>
      </c>
      <c r="E858" s="3" t="n">
        <v>13265.75</v>
      </c>
      <c r="F858" s="3">
        <f>D858-E858</f>
        <v/>
      </c>
      <c r="G858" s="2" t="inlineStr">
        <is>
          <t>Short</t>
        </is>
      </c>
      <c r="H858" s="3" t="n">
        <v>13265.75</v>
      </c>
      <c r="I858" s="3" t="n">
        <v>13218.25</v>
      </c>
      <c r="J858" s="3">
        <f>IF(G858="Long",I858-H858,IF(G858="Short",H858-I858,0))</f>
        <v/>
      </c>
      <c r="K858" s="4" t="n">
        <v>3.68</v>
      </c>
      <c r="L858" s="2" t="inlineStr">
        <is>
          <t>Win</t>
        </is>
      </c>
      <c r="M858" s="3">
        <f>M857+J858</f>
        <v/>
      </c>
    </row>
    <row r="859">
      <c r="A859" s="5" t="inlineStr">
        <is>
          <t>2023-05-03</t>
        </is>
      </c>
      <c r="B859" s="5" t="inlineStr">
        <is>
          <t>Wednesday</t>
        </is>
      </c>
      <c r="C859" s="5" t="inlineStr">
        <is>
          <t>MNQM3</t>
        </is>
      </c>
      <c r="D859" s="6" t="n">
        <v>13222</v>
      </c>
      <c r="E859" s="6" t="n">
        <v>13187.5</v>
      </c>
      <c r="F859" s="6">
        <f>D859-E859</f>
        <v/>
      </c>
      <c r="G859" s="5" t="inlineStr">
        <is>
          <t>Long</t>
        </is>
      </c>
      <c r="H859" s="6" t="n">
        <v>13222</v>
      </c>
      <c r="I859" s="6" t="n">
        <v>13187.5</v>
      </c>
      <c r="J859" s="6">
        <f>IF(G859="Long",I859-H859,IF(G859="Short",H859-I859,0))</f>
        <v/>
      </c>
      <c r="K859" s="7" t="n">
        <v>100</v>
      </c>
      <c r="L859" s="5" t="inlineStr">
        <is>
          <t>Loss</t>
        </is>
      </c>
      <c r="M859" s="6">
        <f>M858+J859</f>
        <v/>
      </c>
    </row>
    <row r="860">
      <c r="A860" s="5" t="inlineStr">
        <is>
          <t>2023-05-03</t>
        </is>
      </c>
      <c r="B860" s="5" t="inlineStr">
        <is>
          <t>Wednesday</t>
        </is>
      </c>
      <c r="C860" s="5" t="inlineStr">
        <is>
          <t>MNQM3</t>
        </is>
      </c>
      <c r="D860" s="6" t="n">
        <v>13222</v>
      </c>
      <c r="E860" s="6" t="n">
        <v>13187.5</v>
      </c>
      <c r="F860" s="6">
        <f>D860-E860</f>
        <v/>
      </c>
      <c r="G860" s="5" t="inlineStr">
        <is>
          <t>Short</t>
        </is>
      </c>
      <c r="H860" s="6" t="n">
        <v>13187.5</v>
      </c>
      <c r="I860" s="6" t="n">
        <v>13222</v>
      </c>
      <c r="J860" s="6">
        <f>IF(G860="Long",I860-H860,IF(G860="Short",H860-I860,0))</f>
        <v/>
      </c>
      <c r="K860" s="7" t="n">
        <v>100</v>
      </c>
      <c r="L860" s="5" t="inlineStr">
        <is>
          <t>Loss</t>
        </is>
      </c>
      <c r="M860" s="6">
        <f>M859+J860</f>
        <v/>
      </c>
    </row>
    <row r="861">
      <c r="A861" s="5" t="inlineStr">
        <is>
          <t>2023-05-04</t>
        </is>
      </c>
      <c r="B861" s="5" t="inlineStr">
        <is>
          <t>Thursday</t>
        </is>
      </c>
      <c r="C861" s="5" t="inlineStr">
        <is>
          <t>MNQM3</t>
        </is>
      </c>
      <c r="D861" s="6" t="n">
        <v>13086.5</v>
      </c>
      <c r="E861" s="6" t="n">
        <v>13034.5</v>
      </c>
      <c r="F861" s="6">
        <f>D861-E861</f>
        <v/>
      </c>
      <c r="G861" s="5" t="inlineStr">
        <is>
          <t>Short</t>
        </is>
      </c>
      <c r="H861" s="6" t="n">
        <v>13034.5</v>
      </c>
      <c r="I861" s="6" t="n">
        <v>13086.5</v>
      </c>
      <c r="J861" s="6">
        <f>IF(G861="Long",I861-H861,IF(G861="Short",H861-I861,0))</f>
        <v/>
      </c>
      <c r="K861" s="7" t="n">
        <v>100</v>
      </c>
      <c r="L861" s="5" t="inlineStr">
        <is>
          <t>Loss</t>
        </is>
      </c>
      <c r="M861" s="6">
        <f>M860+J861</f>
        <v/>
      </c>
    </row>
    <row r="862">
      <c r="A862" s="5" t="inlineStr">
        <is>
          <t>2023-05-04</t>
        </is>
      </c>
      <c r="B862" s="5" t="inlineStr">
        <is>
          <t>Thursday</t>
        </is>
      </c>
      <c r="C862" s="5" t="inlineStr">
        <is>
          <t>MNQM3</t>
        </is>
      </c>
      <c r="D862" s="6" t="n">
        <v>13086.5</v>
      </c>
      <c r="E862" s="6" t="n">
        <v>13034.5</v>
      </c>
      <c r="F862" s="6">
        <f>D862-E862</f>
        <v/>
      </c>
      <c r="G862" s="5" t="inlineStr">
        <is>
          <t>Long</t>
        </is>
      </c>
      <c r="H862" s="6" t="n">
        <v>13086.5</v>
      </c>
      <c r="I862" s="6" t="n">
        <v>13034.5</v>
      </c>
      <c r="J862" s="6">
        <f>IF(G862="Long",I862-H862,IF(G862="Short",H862-I862,0))</f>
        <v/>
      </c>
      <c r="K862" s="7" t="n">
        <v>100</v>
      </c>
      <c r="L862" s="5" t="inlineStr">
        <is>
          <t>Loss</t>
        </is>
      </c>
      <c r="M862" s="6">
        <f>M861+J862</f>
        <v/>
      </c>
    </row>
    <row r="863">
      <c r="A863" s="2" t="inlineStr">
        <is>
          <t>2023-05-05</t>
        </is>
      </c>
      <c r="B863" s="2" t="inlineStr">
        <is>
          <t>Friday</t>
        </is>
      </c>
      <c r="C863" s="2" t="inlineStr">
        <is>
          <t>MNQM3</t>
        </is>
      </c>
      <c r="D863" s="3" t="n">
        <v>13170.75</v>
      </c>
      <c r="E863" s="3" t="n">
        <v>13124.25</v>
      </c>
      <c r="F863" s="3">
        <f>D863-E863</f>
        <v/>
      </c>
      <c r="G863" s="2" t="inlineStr">
        <is>
          <t>Long</t>
        </is>
      </c>
      <c r="H863" s="3" t="n">
        <v>13170.75</v>
      </c>
      <c r="I863" s="3" t="n">
        <v>13217.25</v>
      </c>
      <c r="J863" s="3">
        <f>IF(G863="Long",I863-H863,IF(G863="Short",H863-I863,0))</f>
        <v/>
      </c>
      <c r="K863" s="4" t="n">
        <v>5.91</v>
      </c>
      <c r="L863" s="2" t="inlineStr">
        <is>
          <t>Win</t>
        </is>
      </c>
      <c r="M863" s="3">
        <f>M862+J863</f>
        <v/>
      </c>
    </row>
    <row r="864">
      <c r="A864" s="5" t="inlineStr">
        <is>
          <t>2023-05-08</t>
        </is>
      </c>
      <c r="B864" s="5" t="inlineStr">
        <is>
          <t>Monday</t>
        </is>
      </c>
      <c r="C864" s="5" t="inlineStr">
        <is>
          <t>MNQM3</t>
        </is>
      </c>
      <c r="D864" s="6" t="n">
        <v>13310.25</v>
      </c>
      <c r="E864" s="6" t="n">
        <v>13271</v>
      </c>
      <c r="F864" s="6">
        <f>D864-E864</f>
        <v/>
      </c>
      <c r="G864" s="5" t="inlineStr">
        <is>
          <t>Short</t>
        </is>
      </c>
      <c r="H864" s="6" t="n">
        <v>13271</v>
      </c>
      <c r="I864" s="6" t="n">
        <v>13310.25</v>
      </c>
      <c r="J864" s="6">
        <f>IF(G864="Long",I864-H864,IF(G864="Short",H864-I864,0))</f>
        <v/>
      </c>
      <c r="K864" s="7" t="n">
        <v>100</v>
      </c>
      <c r="L864" s="5" t="inlineStr">
        <is>
          <t>Loss</t>
        </is>
      </c>
      <c r="M864" s="6">
        <f>M863+J864</f>
        <v/>
      </c>
    </row>
    <row r="865">
      <c r="A865" s="2" t="inlineStr">
        <is>
          <t>2023-05-08</t>
        </is>
      </c>
      <c r="B865" s="2" t="inlineStr">
        <is>
          <t>Monday</t>
        </is>
      </c>
      <c r="C865" s="2" t="inlineStr">
        <is>
          <t>MNQM3</t>
        </is>
      </c>
      <c r="D865" s="3" t="n">
        <v>13310.25</v>
      </c>
      <c r="E865" s="3" t="n">
        <v>13271</v>
      </c>
      <c r="F865" s="3">
        <f>D865-E865</f>
        <v/>
      </c>
      <c r="G865" s="2" t="inlineStr">
        <is>
          <t>Long</t>
        </is>
      </c>
      <c r="H865" s="3" t="n">
        <v>13310.25</v>
      </c>
      <c r="I865" s="3" t="n">
        <v>13349.5</v>
      </c>
      <c r="J865" s="3">
        <f>IF(G865="Long",I865-H865,IF(G865="Short",H865-I865,0))</f>
        <v/>
      </c>
      <c r="K865" s="4" t="n">
        <v>7.64</v>
      </c>
      <c r="L865" s="2" t="inlineStr">
        <is>
          <t>Win</t>
        </is>
      </c>
      <c r="M865" s="3">
        <f>M864+J865</f>
        <v/>
      </c>
    </row>
    <row r="866">
      <c r="A866" s="5" t="inlineStr">
        <is>
          <t>2023-05-09</t>
        </is>
      </c>
      <c r="B866" s="5" t="inlineStr">
        <is>
          <t>Tuesday</t>
        </is>
      </c>
      <c r="C866" s="5" t="inlineStr">
        <is>
          <t>MNQM3</t>
        </is>
      </c>
      <c r="D866" s="6" t="n">
        <v>13296.5</v>
      </c>
      <c r="E866" s="6" t="n">
        <v>13274</v>
      </c>
      <c r="F866" s="6">
        <f>D866-E866</f>
        <v/>
      </c>
      <c r="G866" s="5" t="inlineStr">
        <is>
          <t>Long</t>
        </is>
      </c>
      <c r="H866" s="6" t="n">
        <v>13296.5</v>
      </c>
      <c r="I866" s="6" t="n">
        <v>13274</v>
      </c>
      <c r="J866" s="6">
        <f>IF(G866="Long",I866-H866,IF(G866="Short",H866-I866,0))</f>
        <v/>
      </c>
      <c r="K866" s="7" t="n">
        <v>100</v>
      </c>
      <c r="L866" s="5" t="inlineStr">
        <is>
          <t>Loss</t>
        </is>
      </c>
      <c r="M866" s="6">
        <f>M865+J866</f>
        <v/>
      </c>
    </row>
    <row r="867">
      <c r="A867" s="5" t="inlineStr">
        <is>
          <t>2023-05-09</t>
        </is>
      </c>
      <c r="B867" s="5" t="inlineStr">
        <is>
          <t>Tuesday</t>
        </is>
      </c>
      <c r="C867" s="5" t="inlineStr">
        <is>
          <t>MNQM3</t>
        </is>
      </c>
      <c r="D867" s="6" t="n">
        <v>13296.5</v>
      </c>
      <c r="E867" s="6" t="n">
        <v>13274</v>
      </c>
      <c r="F867" s="6">
        <f>D867-E867</f>
        <v/>
      </c>
      <c r="G867" s="5" t="inlineStr">
        <is>
          <t>Long</t>
        </is>
      </c>
      <c r="H867" s="6" t="n">
        <v>13296.5</v>
      </c>
      <c r="I867" s="6" t="n">
        <v>13274</v>
      </c>
      <c r="J867" s="6">
        <f>IF(G867="Long",I867-H867,IF(G867="Short",H867-I867,0))</f>
        <v/>
      </c>
      <c r="K867" s="7" t="n">
        <v>100</v>
      </c>
      <c r="L867" s="5" t="inlineStr">
        <is>
          <t>Loss</t>
        </is>
      </c>
      <c r="M867" s="6">
        <f>M866+J867</f>
        <v/>
      </c>
    </row>
    <row r="868">
      <c r="A868" s="5" t="inlineStr">
        <is>
          <t>2023-05-10</t>
        </is>
      </c>
      <c r="B868" s="5" t="inlineStr">
        <is>
          <t>Wednesday</t>
        </is>
      </c>
      <c r="C868" s="5" t="inlineStr">
        <is>
          <t>MNQM3</t>
        </is>
      </c>
      <c r="D868" s="6" t="n">
        <v>13417.75</v>
      </c>
      <c r="E868" s="6" t="n">
        <v>13321.5</v>
      </c>
      <c r="F868" s="6">
        <f>D868-E868</f>
        <v/>
      </c>
      <c r="G868" s="5" t="inlineStr">
        <is>
          <t>Long</t>
        </is>
      </c>
      <c r="H868" s="6" t="n">
        <v>13417.75</v>
      </c>
      <c r="I868" s="6" t="n">
        <v>13321.5</v>
      </c>
      <c r="J868" s="6">
        <f>IF(G868="Long",I868-H868,IF(G868="Short",H868-I868,0))</f>
        <v/>
      </c>
      <c r="K868" s="7" t="n">
        <v>100</v>
      </c>
      <c r="L868" s="5" t="inlineStr">
        <is>
          <t>Loss</t>
        </is>
      </c>
      <c r="M868" s="6">
        <f>M867+J868</f>
        <v/>
      </c>
    </row>
    <row r="869">
      <c r="A869" s="5" t="inlineStr">
        <is>
          <t>2023-05-10</t>
        </is>
      </c>
      <c r="B869" s="5" t="inlineStr">
        <is>
          <t>Wednesday</t>
        </is>
      </c>
      <c r="C869" s="5" t="inlineStr">
        <is>
          <t>MNQM3</t>
        </is>
      </c>
      <c r="D869" s="6" t="n">
        <v>13417.75</v>
      </c>
      <c r="E869" s="6" t="n">
        <v>13321.5</v>
      </c>
      <c r="F869" s="6">
        <f>D869-E869</f>
        <v/>
      </c>
      <c r="G869" s="5" t="inlineStr">
        <is>
          <t>Short</t>
        </is>
      </c>
      <c r="H869" s="6" t="n">
        <v>13321.5</v>
      </c>
      <c r="I869" s="6" t="n">
        <v>13417.75</v>
      </c>
      <c r="J869" s="6">
        <f>IF(G869="Long",I869-H869,IF(G869="Short",H869-I869,0))</f>
        <v/>
      </c>
      <c r="K869" s="7" t="n">
        <v>100</v>
      </c>
      <c r="L869" s="5" t="inlineStr">
        <is>
          <t>Loss</t>
        </is>
      </c>
      <c r="M869" s="6">
        <f>M868+J869</f>
        <v/>
      </c>
    </row>
    <row r="870">
      <c r="A870" s="5" t="inlineStr">
        <is>
          <t>2023-05-11</t>
        </is>
      </c>
      <c r="B870" s="5" t="inlineStr">
        <is>
          <t>Thursday</t>
        </is>
      </c>
      <c r="C870" s="5" t="inlineStr">
        <is>
          <t>MNQM3</t>
        </is>
      </c>
      <c r="D870" s="6" t="n">
        <v>13433.5</v>
      </c>
      <c r="E870" s="6" t="n">
        <v>13378</v>
      </c>
      <c r="F870" s="6">
        <f>D870-E870</f>
        <v/>
      </c>
      <c r="G870" s="5" t="inlineStr">
        <is>
          <t>Short</t>
        </is>
      </c>
      <c r="H870" s="6" t="n">
        <v>13378</v>
      </c>
      <c r="I870" s="6" t="n">
        <v>13433.5</v>
      </c>
      <c r="J870" s="6">
        <f>IF(G870="Long",I870-H870,IF(G870="Short",H870-I870,0))</f>
        <v/>
      </c>
      <c r="K870" s="7" t="n">
        <v>100</v>
      </c>
      <c r="L870" s="5" t="inlineStr">
        <is>
          <t>Loss</t>
        </is>
      </c>
      <c r="M870" s="6">
        <f>M869+J870</f>
        <v/>
      </c>
    </row>
    <row r="871">
      <c r="A871" s="8" t="inlineStr">
        <is>
          <t>2023-05-11</t>
        </is>
      </c>
      <c r="B871" s="8" t="inlineStr">
        <is>
          <t>Thursday</t>
        </is>
      </c>
      <c r="C871" s="8" t="inlineStr">
        <is>
          <t>MNQM3</t>
        </is>
      </c>
      <c r="D871" s="9" t="n">
        <v>13433.5</v>
      </c>
      <c r="E871" s="9" t="n">
        <v>13378</v>
      </c>
      <c r="F871" s="9">
        <f>D871-E871</f>
        <v/>
      </c>
      <c r="G871" s="8" t="inlineStr">
        <is>
          <t>Long</t>
        </is>
      </c>
      <c r="H871" s="9" t="n">
        <v>13433.5</v>
      </c>
      <c r="I871" s="9" t="n">
        <v>13447</v>
      </c>
      <c r="J871" s="9">
        <f>IF(G871="Long",I871-H871,IF(G871="Short",H871-I871,0))</f>
        <v/>
      </c>
      <c r="K871" s="10" t="n">
        <v>72.06999999999999</v>
      </c>
      <c r="L871" s="8" t="inlineStr">
        <is>
          <t>EOD-Close</t>
        </is>
      </c>
      <c r="M871" s="9">
        <f>M870+J871</f>
        <v/>
      </c>
    </row>
    <row r="872">
      <c r="A872" s="2" t="inlineStr">
        <is>
          <t>2023-05-12</t>
        </is>
      </c>
      <c r="B872" s="2" t="inlineStr">
        <is>
          <t>Friday</t>
        </is>
      </c>
      <c r="C872" s="2" t="inlineStr">
        <is>
          <t>MNQM3</t>
        </is>
      </c>
      <c r="D872" s="3" t="n">
        <v>13487.25</v>
      </c>
      <c r="E872" s="3" t="n">
        <v>13460.75</v>
      </c>
      <c r="F872" s="3">
        <f>D872-E872</f>
        <v/>
      </c>
      <c r="G872" s="2" t="inlineStr">
        <is>
          <t>Short</t>
        </is>
      </c>
      <c r="H872" s="3" t="n">
        <v>13460.75</v>
      </c>
      <c r="I872" s="3" t="n">
        <v>13434.25</v>
      </c>
      <c r="J872" s="3">
        <f>IF(G872="Long",I872-H872,IF(G872="Short",H872-I872,0))</f>
        <v/>
      </c>
      <c r="K872" s="4" t="n">
        <v>15.09</v>
      </c>
      <c r="L872" s="2" t="inlineStr">
        <is>
          <t>Win</t>
        </is>
      </c>
      <c r="M872" s="3">
        <f>M871+J872</f>
        <v/>
      </c>
    </row>
    <row r="873">
      <c r="A873" s="2" t="inlineStr">
        <is>
          <t>2023-05-15</t>
        </is>
      </c>
      <c r="B873" s="2" t="inlineStr">
        <is>
          <t>Monday</t>
        </is>
      </c>
      <c r="C873" s="2" t="inlineStr">
        <is>
          <t>MNQM3</t>
        </is>
      </c>
      <c r="D873" s="3" t="n">
        <v>13419.5</v>
      </c>
      <c r="E873" s="3" t="n">
        <v>13391</v>
      </c>
      <c r="F873" s="3">
        <f>D873-E873</f>
        <v/>
      </c>
      <c r="G873" s="2" t="inlineStr">
        <is>
          <t>Short</t>
        </is>
      </c>
      <c r="H873" s="3" t="n">
        <v>13391</v>
      </c>
      <c r="I873" s="3" t="n">
        <v>13362.5</v>
      </c>
      <c r="J873" s="3">
        <f>IF(G873="Long",I873-H873,IF(G873="Short",H873-I873,0))</f>
        <v/>
      </c>
      <c r="K873" s="4" t="n">
        <v>5.26</v>
      </c>
      <c r="L873" s="2" t="inlineStr">
        <is>
          <t>Win</t>
        </is>
      </c>
      <c r="M873" s="3">
        <f>M872+J873</f>
        <v/>
      </c>
    </row>
    <row r="874">
      <c r="A874" s="5" t="inlineStr">
        <is>
          <t>2023-05-15</t>
        </is>
      </c>
      <c r="B874" s="5" t="inlineStr">
        <is>
          <t>Monday</t>
        </is>
      </c>
      <c r="C874" s="5" t="inlineStr">
        <is>
          <t>MNQM3</t>
        </is>
      </c>
      <c r="D874" s="6" t="n">
        <v>13419.5</v>
      </c>
      <c r="E874" s="6" t="n">
        <v>13391</v>
      </c>
      <c r="F874" s="6">
        <f>D874-E874</f>
        <v/>
      </c>
      <c r="G874" s="5" t="inlineStr">
        <is>
          <t>Short</t>
        </is>
      </c>
      <c r="H874" s="6" t="n">
        <v>13391</v>
      </c>
      <c r="I874" s="6" t="n">
        <v>13419.5</v>
      </c>
      <c r="J874" s="6">
        <f>IF(G874="Long",I874-H874,IF(G874="Short",H874-I874,0))</f>
        <v/>
      </c>
      <c r="K874" s="7" t="n">
        <v>100</v>
      </c>
      <c r="L874" s="5" t="inlineStr">
        <is>
          <t>Loss</t>
        </is>
      </c>
      <c r="M874" s="6">
        <f>M873+J874</f>
        <v/>
      </c>
    </row>
    <row r="875">
      <c r="A875" s="8" t="inlineStr">
        <is>
          <t>2023-05-16</t>
        </is>
      </c>
      <c r="B875" s="8" t="inlineStr">
        <is>
          <t>Tuesday</t>
        </is>
      </c>
      <c r="C875" s="8" t="inlineStr">
        <is>
          <t>MNQM3</t>
        </is>
      </c>
      <c r="D875" s="9" t="n">
        <v>13503.25</v>
      </c>
      <c r="E875" s="9" t="n">
        <v>13434.5</v>
      </c>
      <c r="F875" s="9">
        <f>D875-E875</f>
        <v/>
      </c>
      <c r="G875" s="8" t="inlineStr">
        <is>
          <t>Long</t>
        </is>
      </c>
      <c r="H875" s="9" t="n">
        <v>13503.25</v>
      </c>
      <c r="I875" s="9" t="n">
        <v>13482</v>
      </c>
      <c r="J875" s="9">
        <f>IF(G875="Long",I875-H875,IF(G875="Short",H875-I875,0))</f>
        <v/>
      </c>
      <c r="K875" s="10" t="n">
        <v>74.91</v>
      </c>
      <c r="L875" s="8" t="inlineStr">
        <is>
          <t>EOD-Close</t>
        </is>
      </c>
      <c r="M875" s="9">
        <f>M874+J875</f>
        <v/>
      </c>
    </row>
    <row r="876">
      <c r="A876" s="2" t="inlineStr">
        <is>
          <t>2023-05-17</t>
        </is>
      </c>
      <c r="B876" s="2" t="inlineStr">
        <is>
          <t>Wednesday</t>
        </is>
      </c>
      <c r="C876" s="2" t="inlineStr">
        <is>
          <t>MNQM3</t>
        </is>
      </c>
      <c r="D876" s="3" t="n">
        <v>13540</v>
      </c>
      <c r="E876" s="3" t="n">
        <v>13512.25</v>
      </c>
      <c r="F876" s="3">
        <f>D876-E876</f>
        <v/>
      </c>
      <c r="G876" s="2" t="inlineStr">
        <is>
          <t>Short</t>
        </is>
      </c>
      <c r="H876" s="3" t="n">
        <v>13512.25</v>
      </c>
      <c r="I876" s="3" t="n">
        <v>13484.5</v>
      </c>
      <c r="J876" s="3">
        <f>IF(G876="Long",I876-H876,IF(G876="Short",H876-I876,0))</f>
        <v/>
      </c>
      <c r="K876" s="4" t="n">
        <v>0</v>
      </c>
      <c r="L876" s="2" t="inlineStr">
        <is>
          <t>Win</t>
        </is>
      </c>
      <c r="M876" s="3">
        <f>M875+J876</f>
        <v/>
      </c>
    </row>
    <row r="877">
      <c r="A877" s="5" t="inlineStr">
        <is>
          <t>2023-05-17</t>
        </is>
      </c>
      <c r="B877" s="5" t="inlineStr">
        <is>
          <t>Wednesday</t>
        </is>
      </c>
      <c r="C877" s="5" t="inlineStr">
        <is>
          <t>MNQM3</t>
        </is>
      </c>
      <c r="D877" s="6" t="n">
        <v>13540</v>
      </c>
      <c r="E877" s="6" t="n">
        <v>13512.25</v>
      </c>
      <c r="F877" s="6">
        <f>D877-E877</f>
        <v/>
      </c>
      <c r="G877" s="5" t="inlineStr">
        <is>
          <t>Short</t>
        </is>
      </c>
      <c r="H877" s="6" t="n">
        <v>13512.25</v>
      </c>
      <c r="I877" s="6" t="n">
        <v>13540</v>
      </c>
      <c r="J877" s="6">
        <f>IF(G877="Long",I877-H877,IF(G877="Short",H877-I877,0))</f>
        <v/>
      </c>
      <c r="K877" s="7" t="n">
        <v>100</v>
      </c>
      <c r="L877" s="5" t="inlineStr">
        <is>
          <t>Loss</t>
        </is>
      </c>
      <c r="M877" s="6">
        <f>M876+J877</f>
        <v/>
      </c>
    </row>
    <row r="878">
      <c r="A878" s="2" t="inlineStr">
        <is>
          <t>2023-05-18</t>
        </is>
      </c>
      <c r="B878" s="2" t="inlineStr">
        <is>
          <t>Thursday</t>
        </is>
      </c>
      <c r="C878" s="2" t="inlineStr">
        <is>
          <t>MNQM3</t>
        </is>
      </c>
      <c r="D878" s="3" t="n">
        <v>13712</v>
      </c>
      <c r="E878" s="3" t="n">
        <v>13652.75</v>
      </c>
      <c r="F878" s="3">
        <f>D878-E878</f>
        <v/>
      </c>
      <c r="G878" s="2" t="inlineStr">
        <is>
          <t>Long</t>
        </is>
      </c>
      <c r="H878" s="3" t="n">
        <v>13712</v>
      </c>
      <c r="I878" s="3" t="n">
        <v>13771.25</v>
      </c>
      <c r="J878" s="3">
        <f>IF(G878="Long",I878-H878,IF(G878="Short",H878-I878,0))</f>
        <v/>
      </c>
      <c r="K878" s="4" t="n">
        <v>19.41</v>
      </c>
      <c r="L878" s="2" t="inlineStr">
        <is>
          <t>Win</t>
        </is>
      </c>
      <c r="M878" s="3">
        <f>M877+J878</f>
        <v/>
      </c>
    </row>
    <row r="879">
      <c r="A879" s="2" t="inlineStr">
        <is>
          <t>2023-05-19</t>
        </is>
      </c>
      <c r="B879" s="2" t="inlineStr">
        <is>
          <t>Friday</t>
        </is>
      </c>
      <c r="C879" s="2" t="inlineStr">
        <is>
          <t>MNQM3</t>
        </is>
      </c>
      <c r="D879" s="3" t="n">
        <v>13929</v>
      </c>
      <c r="E879" s="3" t="n">
        <v>13888.75</v>
      </c>
      <c r="F879" s="3">
        <f>D879-E879</f>
        <v/>
      </c>
      <c r="G879" s="2" t="inlineStr">
        <is>
          <t>Short</t>
        </is>
      </c>
      <c r="H879" s="3" t="n">
        <v>13888.75</v>
      </c>
      <c r="I879" s="3" t="n">
        <v>13848.5</v>
      </c>
      <c r="J879" s="3">
        <f>IF(G879="Long",I879-H879,IF(G879="Short",H879-I879,0))</f>
        <v/>
      </c>
      <c r="K879" s="4" t="n">
        <v>59.63</v>
      </c>
      <c r="L879" s="2" t="inlineStr">
        <is>
          <t>Win</t>
        </is>
      </c>
      <c r="M879" s="3">
        <f>M878+J879</f>
        <v/>
      </c>
    </row>
    <row r="880">
      <c r="A880" s="8" t="inlineStr">
        <is>
          <t>2023-05-22</t>
        </is>
      </c>
      <c r="B880" s="8" t="inlineStr">
        <is>
          <t>Monday</t>
        </is>
      </c>
      <c r="C880" s="8" t="inlineStr">
        <is>
          <t>MNQM3</t>
        </is>
      </c>
      <c r="D880" s="9" t="n">
        <v>13923.75</v>
      </c>
      <c r="E880" s="9" t="n">
        <v>13847</v>
      </c>
      <c r="F880" s="9">
        <f>D880-E880</f>
        <v/>
      </c>
      <c r="G880" s="8" t="inlineStr">
        <is>
          <t>Long</t>
        </is>
      </c>
      <c r="H880" s="9" t="n">
        <v>13923.75</v>
      </c>
      <c r="I880" s="9" t="n">
        <v>13905.25</v>
      </c>
      <c r="J880" s="9">
        <f>IF(G880="Long",I880-H880,IF(G880="Short",H880-I880,0))</f>
        <v/>
      </c>
      <c r="K880" s="10" t="n">
        <v>80.45999999999999</v>
      </c>
      <c r="L880" s="8" t="inlineStr">
        <is>
          <t>EOD-Close</t>
        </is>
      </c>
      <c r="M880" s="9">
        <f>M879+J880</f>
        <v/>
      </c>
    </row>
    <row r="881">
      <c r="A881" s="5" t="inlineStr">
        <is>
          <t>2023-05-23</t>
        </is>
      </c>
      <c r="B881" s="5" t="inlineStr">
        <is>
          <t>Tuesday</t>
        </is>
      </c>
      <c r="C881" s="5" t="inlineStr">
        <is>
          <t>MNQM3</t>
        </is>
      </c>
      <c r="D881" s="6" t="n">
        <v>13867</v>
      </c>
      <c r="E881" s="6" t="n">
        <v>13821.75</v>
      </c>
      <c r="F881" s="6">
        <f>D881-E881</f>
        <v/>
      </c>
      <c r="G881" s="5" t="inlineStr">
        <is>
          <t>Long</t>
        </is>
      </c>
      <c r="H881" s="6" t="n">
        <v>13867</v>
      </c>
      <c r="I881" s="6" t="n">
        <v>13821.75</v>
      </c>
      <c r="J881" s="6">
        <f>IF(G881="Long",I881-H881,IF(G881="Short",H881-I881,0))</f>
        <v/>
      </c>
      <c r="K881" s="7" t="n">
        <v>100</v>
      </c>
      <c r="L881" s="5" t="inlineStr">
        <is>
          <t>Loss</t>
        </is>
      </c>
      <c r="M881" s="6">
        <f>M880+J881</f>
        <v/>
      </c>
    </row>
    <row r="882">
      <c r="A882" s="2" t="inlineStr">
        <is>
          <t>2023-05-23</t>
        </is>
      </c>
      <c r="B882" s="2" t="inlineStr">
        <is>
          <t>Tuesday</t>
        </is>
      </c>
      <c r="C882" s="2" t="inlineStr">
        <is>
          <t>MNQM3</t>
        </is>
      </c>
      <c r="D882" s="3" t="n">
        <v>13867</v>
      </c>
      <c r="E882" s="3" t="n">
        <v>13821.75</v>
      </c>
      <c r="F882" s="3">
        <f>D882-E882</f>
        <v/>
      </c>
      <c r="G882" s="2" t="inlineStr">
        <is>
          <t>Short</t>
        </is>
      </c>
      <c r="H882" s="3" t="n">
        <v>13821.75</v>
      </c>
      <c r="I882" s="3" t="n">
        <v>13776.5</v>
      </c>
      <c r="J882" s="3">
        <f>IF(G882="Long",I882-H882,IF(G882="Short",H882-I882,0))</f>
        <v/>
      </c>
      <c r="K882" s="4" t="n">
        <v>0</v>
      </c>
      <c r="L882" s="2" t="inlineStr">
        <is>
          <t>Win</t>
        </is>
      </c>
      <c r="M882" s="3">
        <f>M881+J882</f>
        <v/>
      </c>
    </row>
    <row r="883">
      <c r="A883" s="5" t="inlineStr">
        <is>
          <t>2023-05-24</t>
        </is>
      </c>
      <c r="B883" s="5" t="inlineStr">
        <is>
          <t>Wednesday</t>
        </is>
      </c>
      <c r="C883" s="5" t="inlineStr">
        <is>
          <t>MNQM3</t>
        </is>
      </c>
      <c r="D883" s="6" t="n">
        <v>13675</v>
      </c>
      <c r="E883" s="6" t="n">
        <v>13620.75</v>
      </c>
      <c r="F883" s="6">
        <f>D883-E883</f>
        <v/>
      </c>
      <c r="G883" s="5" t="inlineStr">
        <is>
          <t>Short</t>
        </is>
      </c>
      <c r="H883" s="6" t="n">
        <v>13620.75</v>
      </c>
      <c r="I883" s="6" t="n">
        <v>13675</v>
      </c>
      <c r="J883" s="6">
        <f>IF(G883="Long",I883-H883,IF(G883="Short",H883-I883,0))</f>
        <v/>
      </c>
      <c r="K883" s="7" t="n">
        <v>100</v>
      </c>
      <c r="L883" s="5" t="inlineStr">
        <is>
          <t>Loss</t>
        </is>
      </c>
      <c r="M883" s="6">
        <f>M882+J883</f>
        <v/>
      </c>
    </row>
    <row r="884">
      <c r="A884" s="8" t="inlineStr">
        <is>
          <t>2023-05-24</t>
        </is>
      </c>
      <c r="B884" s="8" t="inlineStr">
        <is>
          <t>Wednesday</t>
        </is>
      </c>
      <c r="C884" s="8" t="inlineStr">
        <is>
          <t>MNQM3</t>
        </is>
      </c>
      <c r="D884" s="9" t="n">
        <v>13675</v>
      </c>
      <c r="E884" s="9" t="n">
        <v>13620.75</v>
      </c>
      <c r="F884" s="9">
        <f>D884-E884</f>
        <v/>
      </c>
      <c r="G884" s="8" t="inlineStr">
        <is>
          <t>Long</t>
        </is>
      </c>
      <c r="H884" s="9" t="n">
        <v>13675</v>
      </c>
      <c r="I884" s="9" t="n">
        <v>13653.5</v>
      </c>
      <c r="J884" s="9">
        <f>IF(G884="Long",I884-H884,IF(G884="Short",H884-I884,0))</f>
        <v/>
      </c>
      <c r="K884" s="10" t="n">
        <v>62.67</v>
      </c>
      <c r="L884" s="8" t="inlineStr">
        <is>
          <t>EOD-Close</t>
        </is>
      </c>
      <c r="M884" s="9">
        <f>M883+J884</f>
        <v/>
      </c>
    </row>
    <row r="885">
      <c r="A885" s="5" t="inlineStr">
        <is>
          <t>2023-05-25</t>
        </is>
      </c>
      <c r="B885" s="5" t="inlineStr">
        <is>
          <t>Thursday</t>
        </is>
      </c>
      <c r="C885" s="5" t="inlineStr">
        <is>
          <t>MNQM3</t>
        </is>
      </c>
      <c r="D885" s="6" t="n">
        <v>13966</v>
      </c>
      <c r="E885" s="6" t="n">
        <v>13863.5</v>
      </c>
      <c r="F885" s="6">
        <f>D885-E885</f>
        <v/>
      </c>
      <c r="G885" s="5" t="inlineStr">
        <is>
          <t>Short</t>
        </is>
      </c>
      <c r="H885" s="6" t="n">
        <v>13863.5</v>
      </c>
      <c r="I885" s="6" t="n">
        <v>13966</v>
      </c>
      <c r="J885" s="6">
        <f>IF(G885="Long",I885-H885,IF(G885="Short",H885-I885,0))</f>
        <v/>
      </c>
      <c r="K885" s="7" t="n">
        <v>100</v>
      </c>
      <c r="L885" s="5" t="inlineStr">
        <is>
          <t>Loss</t>
        </is>
      </c>
      <c r="M885" s="6">
        <f>M884+J885</f>
        <v/>
      </c>
    </row>
    <row r="886">
      <c r="A886" s="8" t="inlineStr">
        <is>
          <t>2023-05-25</t>
        </is>
      </c>
      <c r="B886" s="8" t="inlineStr">
        <is>
          <t>Thursday</t>
        </is>
      </c>
      <c r="C886" s="8" t="inlineStr">
        <is>
          <t>MNQM3</t>
        </is>
      </c>
      <c r="D886" s="9" t="n">
        <v>13966</v>
      </c>
      <c r="E886" s="9" t="n">
        <v>13863.5</v>
      </c>
      <c r="F886" s="9">
        <f>D886-E886</f>
        <v/>
      </c>
      <c r="G886" s="8" t="inlineStr">
        <is>
          <t>Long</t>
        </is>
      </c>
      <c r="H886" s="9" t="n">
        <v>13966</v>
      </c>
      <c r="I886" s="9" t="n">
        <v>13977.75</v>
      </c>
      <c r="J886" s="9">
        <f>IF(G886="Long",I886-H886,IF(G886="Short",H886-I886,0))</f>
        <v/>
      </c>
      <c r="K886" s="10" t="n">
        <v>43.66</v>
      </c>
      <c r="L886" s="8" t="inlineStr">
        <is>
          <t>EOD-Close</t>
        </is>
      </c>
      <c r="M886" s="9">
        <f>M885+J886</f>
        <v/>
      </c>
    </row>
    <row r="887">
      <c r="A887" s="2" t="inlineStr">
        <is>
          <t>2023-05-26</t>
        </is>
      </c>
      <c r="B887" s="2" t="inlineStr">
        <is>
          <t>Friday</t>
        </is>
      </c>
      <c r="C887" s="2" t="inlineStr">
        <is>
          <t>MNQM3</t>
        </is>
      </c>
      <c r="D887" s="3" t="n">
        <v>14089.75</v>
      </c>
      <c r="E887" s="3" t="n">
        <v>14014.75</v>
      </c>
      <c r="F887" s="3">
        <f>D887-E887</f>
        <v/>
      </c>
      <c r="G887" s="2" t="inlineStr">
        <is>
          <t>Long</t>
        </is>
      </c>
      <c r="H887" s="3" t="n">
        <v>14089.75</v>
      </c>
      <c r="I887" s="3" t="n">
        <v>14164.75</v>
      </c>
      <c r="J887" s="3">
        <f>IF(G887="Long",I887-H887,IF(G887="Short",H887-I887,0))</f>
        <v/>
      </c>
      <c r="K887" s="4" t="n">
        <v>0</v>
      </c>
      <c r="L887" s="2" t="inlineStr">
        <is>
          <t>Win</t>
        </is>
      </c>
      <c r="M887" s="3">
        <f>M886+J887</f>
        <v/>
      </c>
    </row>
    <row r="888">
      <c r="A888" s="2" t="inlineStr">
        <is>
          <t>2023-05-29</t>
        </is>
      </c>
      <c r="B888" s="2" t="inlineStr">
        <is>
          <t>Monday</t>
        </is>
      </c>
      <c r="C888" s="2" t="inlineStr">
        <is>
          <t>MNQM3</t>
        </is>
      </c>
      <c r="D888" s="3" t="n">
        <v>14378.75</v>
      </c>
      <c r="E888" s="3" t="n">
        <v>14368</v>
      </c>
      <c r="F888" s="3">
        <f>D888-E888</f>
        <v/>
      </c>
      <c r="G888" s="2" t="inlineStr">
        <is>
          <t>Long</t>
        </is>
      </c>
      <c r="H888" s="3" t="n">
        <v>14378.75</v>
      </c>
      <c r="I888" s="3" t="n">
        <v>14389.5</v>
      </c>
      <c r="J888" s="3">
        <f>IF(G888="Long",I888-H888,IF(G888="Short",H888-I888,0))</f>
        <v/>
      </c>
      <c r="K888" s="4" t="n">
        <v>16.28</v>
      </c>
      <c r="L888" s="2" t="inlineStr">
        <is>
          <t>Win</t>
        </is>
      </c>
      <c r="M888" s="3">
        <f>M887+J888</f>
        <v/>
      </c>
    </row>
    <row r="889">
      <c r="A889" s="2" t="inlineStr">
        <is>
          <t>2023-05-29</t>
        </is>
      </c>
      <c r="B889" s="2" t="inlineStr">
        <is>
          <t>Monday</t>
        </is>
      </c>
      <c r="C889" s="2" t="inlineStr">
        <is>
          <t>MNQM3</t>
        </is>
      </c>
      <c r="D889" s="3" t="n">
        <v>14378.75</v>
      </c>
      <c r="E889" s="3" t="n">
        <v>14368</v>
      </c>
      <c r="F889" s="3">
        <f>D889-E889</f>
        <v/>
      </c>
      <c r="G889" s="2" t="inlineStr">
        <is>
          <t>Long</t>
        </is>
      </c>
      <c r="H889" s="3" t="n">
        <v>14378.75</v>
      </c>
      <c r="I889" s="3" t="n">
        <v>14389.5</v>
      </c>
      <c r="J889" s="3">
        <f>IF(G889="Long",I889-H889,IF(G889="Short",H889-I889,0))</f>
        <v/>
      </c>
      <c r="K889" s="4" t="n">
        <v>32.56</v>
      </c>
      <c r="L889" s="2" t="inlineStr">
        <is>
          <t>Win</t>
        </is>
      </c>
      <c r="M889" s="3">
        <f>M888+J889</f>
        <v/>
      </c>
    </row>
    <row r="890">
      <c r="A890" s="2" t="inlineStr">
        <is>
          <t>2023-05-30</t>
        </is>
      </c>
      <c r="B890" s="2" t="inlineStr">
        <is>
          <t>Tuesday</t>
        </is>
      </c>
      <c r="C890" s="2" t="inlineStr">
        <is>
          <t>MNQM3</t>
        </is>
      </c>
      <c r="D890" s="3" t="n">
        <v>14559.75</v>
      </c>
      <c r="E890" s="3" t="n">
        <v>14476</v>
      </c>
      <c r="F890" s="3">
        <f>D890-E890</f>
        <v/>
      </c>
      <c r="G890" s="2" t="inlineStr">
        <is>
          <t>Short</t>
        </is>
      </c>
      <c r="H890" s="3" t="n">
        <v>14476</v>
      </c>
      <c r="I890" s="3" t="n">
        <v>14392.25</v>
      </c>
      <c r="J890" s="3">
        <f>IF(G890="Long",I890-H890,IF(G890="Short",H890-I890,0))</f>
        <v/>
      </c>
      <c r="K890" s="4" t="n">
        <v>10.15</v>
      </c>
      <c r="L890" s="2" t="inlineStr">
        <is>
          <t>Win</t>
        </is>
      </c>
      <c r="M890" s="3">
        <f>M889+J890</f>
        <v/>
      </c>
    </row>
    <row r="891">
      <c r="A891" s="5" t="inlineStr">
        <is>
          <t>2023-05-31</t>
        </is>
      </c>
      <c r="B891" s="5" t="inlineStr">
        <is>
          <t>Wednesday</t>
        </is>
      </c>
      <c r="C891" s="5" t="inlineStr">
        <is>
          <t>MNQM3</t>
        </is>
      </c>
      <c r="D891" s="6" t="n">
        <v>14394</v>
      </c>
      <c r="E891" s="6" t="n">
        <v>14324</v>
      </c>
      <c r="F891" s="6">
        <f>D891-E891</f>
        <v/>
      </c>
      <c r="G891" s="5" t="inlineStr">
        <is>
          <t>Long</t>
        </is>
      </c>
      <c r="H891" s="6" t="n">
        <v>14394</v>
      </c>
      <c r="I891" s="6" t="n">
        <v>14324</v>
      </c>
      <c r="J891" s="6">
        <f>IF(G891="Long",I891-H891,IF(G891="Short",H891-I891,0))</f>
        <v/>
      </c>
      <c r="K891" s="7" t="n">
        <v>100</v>
      </c>
      <c r="L891" s="5" t="inlineStr">
        <is>
          <t>Loss</t>
        </is>
      </c>
      <c r="M891" s="6">
        <f>M890+J891</f>
        <v/>
      </c>
    </row>
    <row r="892">
      <c r="A892" s="2" t="inlineStr">
        <is>
          <t>2023-05-31</t>
        </is>
      </c>
      <c r="B892" s="2" t="inlineStr">
        <is>
          <t>Wednesday</t>
        </is>
      </c>
      <c r="C892" s="2" t="inlineStr">
        <is>
          <t>MNQM3</t>
        </is>
      </c>
      <c r="D892" s="3" t="n">
        <v>14394</v>
      </c>
      <c r="E892" s="3" t="n">
        <v>14324</v>
      </c>
      <c r="F892" s="3">
        <f>D892-E892</f>
        <v/>
      </c>
      <c r="G892" s="2" t="inlineStr">
        <is>
          <t>Short</t>
        </is>
      </c>
      <c r="H892" s="3" t="n">
        <v>14324</v>
      </c>
      <c r="I892" s="3" t="n">
        <v>14254</v>
      </c>
      <c r="J892" s="3">
        <f>IF(G892="Long",I892-H892,IF(G892="Short",H892-I892,0))</f>
        <v/>
      </c>
      <c r="K892" s="4" t="n">
        <v>17.5</v>
      </c>
      <c r="L892" s="2" t="inlineStr">
        <is>
          <t>Win</t>
        </is>
      </c>
      <c r="M892" s="3">
        <f>M891+J892</f>
        <v/>
      </c>
    </row>
    <row r="893">
      <c r="A893" s="2" t="inlineStr">
        <is>
          <t>2023-06-01</t>
        </is>
      </c>
      <c r="B893" s="2" t="inlineStr">
        <is>
          <t>Thursday</t>
        </is>
      </c>
      <c r="C893" s="2" t="inlineStr">
        <is>
          <t>MNQM3</t>
        </is>
      </c>
      <c r="D893" s="3" t="n">
        <v>14313.75</v>
      </c>
      <c r="E893" s="3" t="n">
        <v>14252</v>
      </c>
      <c r="F893" s="3">
        <f>D893-E893</f>
        <v/>
      </c>
      <c r="G893" s="2" t="inlineStr">
        <is>
          <t>Long</t>
        </is>
      </c>
      <c r="H893" s="3" t="n">
        <v>14313.75</v>
      </c>
      <c r="I893" s="3" t="n">
        <v>14375.5</v>
      </c>
      <c r="J893" s="3">
        <f>IF(G893="Long",I893-H893,IF(G893="Short",H893-I893,0))</f>
        <v/>
      </c>
      <c r="K893" s="4" t="n">
        <v>66.40000000000001</v>
      </c>
      <c r="L893" s="2" t="inlineStr">
        <is>
          <t>Win</t>
        </is>
      </c>
      <c r="M893" s="3">
        <f>M892+J893</f>
        <v/>
      </c>
    </row>
    <row r="894">
      <c r="A894" s="8" t="inlineStr">
        <is>
          <t>2023-06-02</t>
        </is>
      </c>
      <c r="B894" s="8" t="inlineStr">
        <is>
          <t>Friday</t>
        </is>
      </c>
      <c r="C894" s="8" t="inlineStr">
        <is>
          <t>MNQM3</t>
        </is>
      </c>
      <c r="D894" s="9" t="n">
        <v>14627.75</v>
      </c>
      <c r="E894" s="9" t="n">
        <v>14542.5</v>
      </c>
      <c r="F894" s="9">
        <f>D894-E894</f>
        <v/>
      </c>
      <c r="G894" s="8" t="inlineStr">
        <is>
          <t>Short</t>
        </is>
      </c>
      <c r="H894" s="9" t="n">
        <v>14542.5</v>
      </c>
      <c r="I894" s="9" t="n">
        <v>14579.25</v>
      </c>
      <c r="J894" s="9">
        <f>IF(G894="Long",I894-H894,IF(G894="Short",H894-I894,0))</f>
        <v/>
      </c>
      <c r="K894" s="10" t="n">
        <v>78.3</v>
      </c>
      <c r="L894" s="8" t="inlineStr">
        <is>
          <t>EOD-Close</t>
        </is>
      </c>
      <c r="M894" s="9">
        <f>M893+J894</f>
        <v/>
      </c>
    </row>
    <row r="895">
      <c r="A895" s="5" t="inlineStr">
        <is>
          <t>2023-06-05</t>
        </is>
      </c>
      <c r="B895" s="5" t="inlineStr">
        <is>
          <t>Monday</t>
        </is>
      </c>
      <c r="C895" s="5" t="inlineStr">
        <is>
          <t>MNQM3</t>
        </is>
      </c>
      <c r="D895" s="6" t="n">
        <v>14651.75</v>
      </c>
      <c r="E895" s="6" t="n">
        <v>14567.75</v>
      </c>
      <c r="F895" s="6">
        <f>D895-E895</f>
        <v/>
      </c>
      <c r="G895" s="5" t="inlineStr">
        <is>
          <t>Long</t>
        </is>
      </c>
      <c r="H895" s="6" t="n">
        <v>14651.75</v>
      </c>
      <c r="I895" s="6" t="n">
        <v>14567.75</v>
      </c>
      <c r="J895" s="6">
        <f>IF(G895="Long",I895-H895,IF(G895="Short",H895-I895,0))</f>
        <v/>
      </c>
      <c r="K895" s="7" t="n">
        <v>100</v>
      </c>
      <c r="L895" s="5" t="inlineStr">
        <is>
          <t>Loss</t>
        </is>
      </c>
      <c r="M895" s="6">
        <f>M894+J895</f>
        <v/>
      </c>
    </row>
    <row r="896">
      <c r="A896" s="8" t="inlineStr">
        <is>
          <t>2023-06-05</t>
        </is>
      </c>
      <c r="B896" s="8" t="inlineStr">
        <is>
          <t>Monday</t>
        </is>
      </c>
      <c r="C896" s="8" t="inlineStr">
        <is>
          <t>MNQM3</t>
        </is>
      </c>
      <c r="D896" s="9" t="n">
        <v>14651.75</v>
      </c>
      <c r="E896" s="9" t="n">
        <v>14567.75</v>
      </c>
      <c r="F896" s="9">
        <f>D896-E896</f>
        <v/>
      </c>
      <c r="G896" s="8" t="inlineStr">
        <is>
          <t>Short</t>
        </is>
      </c>
      <c r="H896" s="9" t="n">
        <v>14567.75</v>
      </c>
      <c r="I896" s="9" t="n">
        <v>14587.5</v>
      </c>
      <c r="J896" s="9">
        <f>IF(G896="Long",I896-H896,IF(G896="Short",H896-I896,0))</f>
        <v/>
      </c>
      <c r="K896" s="10" t="n">
        <v>54.46</v>
      </c>
      <c r="L896" s="8" t="inlineStr">
        <is>
          <t>EOD-Close</t>
        </is>
      </c>
      <c r="M896" s="9">
        <f>M895+J896</f>
        <v/>
      </c>
    </row>
    <row r="897">
      <c r="A897" s="2" t="inlineStr">
        <is>
          <t>2023-06-06</t>
        </is>
      </c>
      <c r="B897" s="2" t="inlineStr">
        <is>
          <t>Tuesday</t>
        </is>
      </c>
      <c r="C897" s="2" t="inlineStr">
        <is>
          <t>MNQM3</t>
        </is>
      </c>
      <c r="D897" s="3" t="n">
        <v>14561.25</v>
      </c>
      <c r="E897" s="3" t="n">
        <v>14505</v>
      </c>
      <c r="F897" s="3">
        <f>D897-E897</f>
        <v/>
      </c>
      <c r="G897" s="2" t="inlineStr">
        <is>
          <t>Long</t>
        </is>
      </c>
      <c r="H897" s="3" t="n">
        <v>14561.25</v>
      </c>
      <c r="I897" s="3" t="n">
        <v>14617.5</v>
      </c>
      <c r="J897" s="3">
        <f>IF(G897="Long",I897-H897,IF(G897="Short",H897-I897,0))</f>
        <v/>
      </c>
      <c r="K897" s="4" t="n">
        <v>37.78</v>
      </c>
      <c r="L897" s="2" t="inlineStr">
        <is>
          <t>Win</t>
        </is>
      </c>
      <c r="M897" s="3">
        <f>M896+J897</f>
        <v/>
      </c>
    </row>
    <row r="898">
      <c r="A898" s="8" t="inlineStr">
        <is>
          <t>2023-06-06</t>
        </is>
      </c>
      <c r="B898" s="8" t="inlineStr">
        <is>
          <t>Tuesday</t>
        </is>
      </c>
      <c r="C898" s="8" t="inlineStr">
        <is>
          <t>MNQM3</t>
        </is>
      </c>
      <c r="D898" s="9" t="n">
        <v>14561.25</v>
      </c>
      <c r="E898" s="9" t="n">
        <v>14505</v>
      </c>
      <c r="F898" s="9">
        <f>D898-E898</f>
        <v/>
      </c>
      <c r="G898" s="8" t="inlineStr">
        <is>
          <t>Long</t>
        </is>
      </c>
      <c r="H898" s="9" t="n">
        <v>14561.25</v>
      </c>
      <c r="I898" s="9" t="n">
        <v>14584</v>
      </c>
      <c r="J898" s="9">
        <f>IF(G898="Long",I898-H898,IF(G898="Short",H898-I898,0))</f>
        <v/>
      </c>
      <c r="K898" s="10" t="n">
        <v>59.56</v>
      </c>
      <c r="L898" s="8" t="inlineStr">
        <is>
          <t>EOD-Close</t>
        </is>
      </c>
      <c r="M898" s="9">
        <f>M897+J898</f>
        <v/>
      </c>
    </row>
    <row r="899">
      <c r="A899" s="2" t="inlineStr">
        <is>
          <t>2023-06-07</t>
        </is>
      </c>
      <c r="B899" s="2" t="inlineStr">
        <is>
          <t>Wednesday</t>
        </is>
      </c>
      <c r="C899" s="2" t="inlineStr">
        <is>
          <t>MNQM3</t>
        </is>
      </c>
      <c r="D899" s="3" t="n">
        <v>14675.5</v>
      </c>
      <c r="E899" s="3" t="n">
        <v>14592</v>
      </c>
      <c r="F899" s="3">
        <f>D899-E899</f>
        <v/>
      </c>
      <c r="G899" s="2" t="inlineStr">
        <is>
          <t>Short</t>
        </is>
      </c>
      <c r="H899" s="3" t="n">
        <v>14592</v>
      </c>
      <c r="I899" s="3" t="n">
        <v>14508.5</v>
      </c>
      <c r="J899" s="3">
        <f>IF(G899="Long",I899-H899,IF(G899="Short",H899-I899,0))</f>
        <v/>
      </c>
      <c r="K899" s="4" t="n">
        <v>0</v>
      </c>
      <c r="L899" s="2" t="inlineStr">
        <is>
          <t>Win</t>
        </is>
      </c>
      <c r="M899" s="3">
        <f>M898+J899</f>
        <v/>
      </c>
    </row>
    <row r="900">
      <c r="A900" s="2" t="inlineStr">
        <is>
          <t>2023-06-08</t>
        </is>
      </c>
      <c r="B900" s="2" t="inlineStr">
        <is>
          <t>Thursday</t>
        </is>
      </c>
      <c r="C900" s="2" t="inlineStr">
        <is>
          <t>MNQM3</t>
        </is>
      </c>
      <c r="D900" s="3" t="n">
        <v>14397</v>
      </c>
      <c r="E900" s="3" t="n">
        <v>14328</v>
      </c>
      <c r="F900" s="3">
        <f>D900-E900</f>
        <v/>
      </c>
      <c r="G900" s="2" t="inlineStr">
        <is>
          <t>Long</t>
        </is>
      </c>
      <c r="H900" s="3" t="n">
        <v>14397</v>
      </c>
      <c r="I900" s="3" t="n">
        <v>14466</v>
      </c>
      <c r="J900" s="3">
        <f>IF(G900="Long",I900-H900,IF(G900="Short",H900-I900,0))</f>
        <v/>
      </c>
      <c r="K900" s="4" t="n">
        <v>8.33</v>
      </c>
      <c r="L900" s="2" t="inlineStr">
        <is>
          <t>Win</t>
        </is>
      </c>
      <c r="M900" s="3">
        <f>M899+J900</f>
        <v/>
      </c>
    </row>
    <row r="901">
      <c r="A901" s="5" t="inlineStr">
        <is>
          <t>2023-06-09</t>
        </is>
      </c>
      <c r="B901" s="5" t="inlineStr">
        <is>
          <t>Friday</t>
        </is>
      </c>
      <c r="C901" s="5" t="inlineStr">
        <is>
          <t>MNQM3</t>
        </is>
      </c>
      <c r="D901" s="6" t="n">
        <v>14628.5</v>
      </c>
      <c r="E901" s="6" t="n">
        <v>14556.5</v>
      </c>
      <c r="F901" s="6">
        <f>D901-E901</f>
        <v/>
      </c>
      <c r="G901" s="5" t="inlineStr">
        <is>
          <t>Long</t>
        </is>
      </c>
      <c r="H901" s="6" t="n">
        <v>14628.5</v>
      </c>
      <c r="I901" s="6" t="n">
        <v>14556.5</v>
      </c>
      <c r="J901" s="6">
        <f>IF(G901="Long",I901-H901,IF(G901="Short",H901-I901,0))</f>
        <v/>
      </c>
      <c r="K901" s="7" t="n">
        <v>100</v>
      </c>
      <c r="L901" s="5" t="inlineStr">
        <is>
          <t>Loss</t>
        </is>
      </c>
      <c r="M901" s="6">
        <f>M900+J901</f>
        <v/>
      </c>
    </row>
    <row r="902">
      <c r="A902" s="8" t="inlineStr">
        <is>
          <t>2023-06-09</t>
        </is>
      </c>
      <c r="B902" s="8" t="inlineStr">
        <is>
          <t>Friday</t>
        </is>
      </c>
      <c r="C902" s="8" t="inlineStr">
        <is>
          <t>MNQM3</t>
        </is>
      </c>
      <c r="D902" s="9" t="n">
        <v>14628.5</v>
      </c>
      <c r="E902" s="9" t="n">
        <v>14556.5</v>
      </c>
      <c r="F902" s="9">
        <f>D902-E902</f>
        <v/>
      </c>
      <c r="G902" s="8" t="inlineStr">
        <is>
          <t>Short</t>
        </is>
      </c>
      <c r="H902" s="9" t="n">
        <v>14556.5</v>
      </c>
      <c r="I902" s="9" t="n">
        <v>14556.25</v>
      </c>
      <c r="J902" s="9">
        <f>IF(G902="Long",I902-H902,IF(G902="Short",H902-I902,0))</f>
        <v/>
      </c>
      <c r="K902" s="10" t="n">
        <v>81.25</v>
      </c>
      <c r="L902" s="8" t="inlineStr">
        <is>
          <t>EOD-Close</t>
        </is>
      </c>
      <c r="M902" s="9">
        <f>M901+J902</f>
        <v/>
      </c>
    </row>
    <row r="903">
      <c r="A903" s="5" t="inlineStr">
        <is>
          <t>2023-06-12</t>
        </is>
      </c>
      <c r="B903" s="5" t="inlineStr">
        <is>
          <t>Monday</t>
        </is>
      </c>
      <c r="C903" s="5" t="inlineStr">
        <is>
          <t>MNQU3</t>
        </is>
      </c>
      <c r="D903" s="6" t="n">
        <v>14819</v>
      </c>
      <c r="E903" s="6" t="n">
        <v>14782</v>
      </c>
      <c r="F903" s="6">
        <f>D903-E903</f>
        <v/>
      </c>
      <c r="G903" s="5" t="inlineStr">
        <is>
          <t>Short</t>
        </is>
      </c>
      <c r="H903" s="6" t="n">
        <v>14782</v>
      </c>
      <c r="I903" s="6" t="n">
        <v>14819</v>
      </c>
      <c r="J903" s="6">
        <f>IF(G903="Long",I903-H903,IF(G903="Short",H903-I903,0))</f>
        <v/>
      </c>
      <c r="K903" s="7" t="n">
        <v>100</v>
      </c>
      <c r="L903" s="5" t="inlineStr">
        <is>
          <t>Loss</t>
        </is>
      </c>
      <c r="M903" s="6">
        <f>M902+J903</f>
        <v/>
      </c>
    </row>
    <row r="904">
      <c r="A904" s="2" t="inlineStr">
        <is>
          <t>2023-06-12</t>
        </is>
      </c>
      <c r="B904" s="2" t="inlineStr">
        <is>
          <t>Monday</t>
        </is>
      </c>
      <c r="C904" s="2" t="inlineStr">
        <is>
          <t>MNQU3</t>
        </is>
      </c>
      <c r="D904" s="3" t="n">
        <v>14819</v>
      </c>
      <c r="E904" s="3" t="n">
        <v>14782</v>
      </c>
      <c r="F904" s="3">
        <f>D904-E904</f>
        <v/>
      </c>
      <c r="G904" s="2" t="inlineStr">
        <is>
          <t>Long</t>
        </is>
      </c>
      <c r="H904" s="3" t="n">
        <v>14819</v>
      </c>
      <c r="I904" s="3" t="n">
        <v>14856</v>
      </c>
      <c r="J904" s="3">
        <f>IF(G904="Long",I904-H904,IF(G904="Short",H904-I904,0))</f>
        <v/>
      </c>
      <c r="K904" s="4" t="n">
        <v>94.59</v>
      </c>
      <c r="L904" s="2" t="inlineStr">
        <is>
          <t>Win</t>
        </is>
      </c>
      <c r="M904" s="3">
        <f>M903+J904</f>
        <v/>
      </c>
    </row>
    <row r="905">
      <c r="A905" s="2" t="inlineStr">
        <is>
          <t>2023-06-13</t>
        </is>
      </c>
      <c r="B905" s="2" t="inlineStr">
        <is>
          <t>Tuesday</t>
        </is>
      </c>
      <c r="C905" s="2" t="inlineStr">
        <is>
          <t>MNQU3</t>
        </is>
      </c>
      <c r="D905" s="3" t="n">
        <v>15130</v>
      </c>
      <c r="E905" s="3" t="n">
        <v>15063</v>
      </c>
      <c r="F905" s="3">
        <f>D905-E905</f>
        <v/>
      </c>
      <c r="G905" s="2" t="inlineStr">
        <is>
          <t>Short</t>
        </is>
      </c>
      <c r="H905" s="3" t="n">
        <v>15063</v>
      </c>
      <c r="I905" s="3" t="n">
        <v>14996</v>
      </c>
      <c r="J905" s="3">
        <f>IF(G905="Long",I905-H905,IF(G905="Short",H905-I905,0))</f>
        <v/>
      </c>
      <c r="K905" s="4" t="n">
        <v>4.85</v>
      </c>
      <c r="L905" s="2" t="inlineStr">
        <is>
          <t>Win</t>
        </is>
      </c>
      <c r="M905" s="3">
        <f>M904+J905</f>
        <v/>
      </c>
    </row>
    <row r="906">
      <c r="A906" s="8" t="inlineStr">
        <is>
          <t>2023-06-13</t>
        </is>
      </c>
      <c r="B906" s="8" t="inlineStr">
        <is>
          <t>Tuesday</t>
        </is>
      </c>
      <c r="C906" s="8" t="inlineStr">
        <is>
          <t>MNQU3</t>
        </is>
      </c>
      <c r="D906" s="9" t="n">
        <v>15130</v>
      </c>
      <c r="E906" s="9" t="n">
        <v>15063</v>
      </c>
      <c r="F906" s="9">
        <f>D906-E906</f>
        <v/>
      </c>
      <c r="G906" s="8" t="inlineStr">
        <is>
          <t>Short</t>
        </is>
      </c>
      <c r="H906" s="9" t="n">
        <v>15063</v>
      </c>
      <c r="I906" s="9" t="n">
        <v>15096.25</v>
      </c>
      <c r="J906" s="9">
        <f>IF(G906="Long",I906-H906,IF(G906="Short",H906-I906,0))</f>
        <v/>
      </c>
      <c r="K906" s="10" t="n">
        <v>78.73</v>
      </c>
      <c r="L906" s="8" t="inlineStr">
        <is>
          <t>EOD-Close</t>
        </is>
      </c>
      <c r="M906" s="9">
        <f>M905+J906</f>
        <v/>
      </c>
    </row>
    <row r="907">
      <c r="A907" s="2" t="inlineStr">
        <is>
          <t>2023-06-14</t>
        </is>
      </c>
      <c r="B907" s="2" t="inlineStr">
        <is>
          <t>Wednesday</t>
        </is>
      </c>
      <c r="C907" s="2" t="inlineStr">
        <is>
          <t>MNQU3</t>
        </is>
      </c>
      <c r="D907" s="3" t="n">
        <v>15103</v>
      </c>
      <c r="E907" s="3" t="n">
        <v>15053</v>
      </c>
      <c r="F907" s="3">
        <f>D907-E907</f>
        <v/>
      </c>
      <c r="G907" s="2" t="inlineStr">
        <is>
          <t>Long</t>
        </is>
      </c>
      <c r="H907" s="3" t="n">
        <v>15103</v>
      </c>
      <c r="I907" s="3" t="n">
        <v>15153</v>
      </c>
      <c r="J907" s="3">
        <f>IF(G907="Long",I907-H907,IF(G907="Short",H907-I907,0))</f>
        <v/>
      </c>
      <c r="K907" s="4" t="n">
        <v>0</v>
      </c>
      <c r="L907" s="2" t="inlineStr">
        <is>
          <t>Win</t>
        </is>
      </c>
      <c r="M907" s="3">
        <f>M906+J907</f>
        <v/>
      </c>
    </row>
    <row r="908">
      <c r="A908" s="5" t="inlineStr">
        <is>
          <t>2023-06-14</t>
        </is>
      </c>
      <c r="B908" s="5" t="inlineStr">
        <is>
          <t>Wednesday</t>
        </is>
      </c>
      <c r="C908" s="5" t="inlineStr">
        <is>
          <t>MNQU3</t>
        </is>
      </c>
      <c r="D908" s="6" t="n">
        <v>15103</v>
      </c>
      <c r="E908" s="6" t="n">
        <v>15053</v>
      </c>
      <c r="F908" s="6">
        <f>D908-E908</f>
        <v/>
      </c>
      <c r="G908" s="5" t="inlineStr">
        <is>
          <t>Long</t>
        </is>
      </c>
      <c r="H908" s="6" t="n">
        <v>15103</v>
      </c>
      <c r="I908" s="6" t="n">
        <v>15053</v>
      </c>
      <c r="J908" s="6">
        <f>IF(G908="Long",I908-H908,IF(G908="Short",H908-I908,0))</f>
        <v/>
      </c>
      <c r="K908" s="7" t="n">
        <v>100</v>
      </c>
      <c r="L908" s="5" t="inlineStr">
        <is>
          <t>Loss</t>
        </is>
      </c>
      <c r="M908" s="6">
        <f>M907+J908</f>
        <v/>
      </c>
    </row>
    <row r="909">
      <c r="A909" s="2" t="inlineStr">
        <is>
          <t>2023-06-15</t>
        </is>
      </c>
      <c r="B909" s="2" t="inlineStr">
        <is>
          <t>Thursday</t>
        </is>
      </c>
      <c r="C909" s="2" t="inlineStr">
        <is>
          <t>MNQU3</t>
        </is>
      </c>
      <c r="D909" s="3" t="n">
        <v>15189</v>
      </c>
      <c r="E909" s="3" t="n">
        <v>15114.25</v>
      </c>
      <c r="F909" s="3">
        <f>D909-E909</f>
        <v/>
      </c>
      <c r="G909" s="2" t="inlineStr">
        <is>
          <t>Long</t>
        </is>
      </c>
      <c r="H909" s="3" t="n">
        <v>15189</v>
      </c>
      <c r="I909" s="3" t="n">
        <v>15263.75</v>
      </c>
      <c r="J909" s="3">
        <f>IF(G909="Long",I909-H909,IF(G909="Short",H909-I909,0))</f>
        <v/>
      </c>
      <c r="K909" s="4" t="n">
        <v>10.7</v>
      </c>
      <c r="L909" s="2" t="inlineStr">
        <is>
          <t>Win</t>
        </is>
      </c>
      <c r="M909" s="3">
        <f>M908+J909</f>
        <v/>
      </c>
    </row>
    <row r="910">
      <c r="A910" s="8" t="inlineStr">
        <is>
          <t>2023-06-16</t>
        </is>
      </c>
      <c r="B910" s="8" t="inlineStr">
        <is>
          <t>Friday</t>
        </is>
      </c>
      <c r="C910" s="8" t="inlineStr">
        <is>
          <t>MNQU3</t>
        </is>
      </c>
      <c r="D910" s="9" t="n">
        <v>15475.5</v>
      </c>
      <c r="E910" s="9" t="n">
        <v>15351</v>
      </c>
      <c r="F910" s="9">
        <f>D910-E910</f>
        <v/>
      </c>
      <c r="G910" s="8" t="inlineStr">
        <is>
          <t>Short</t>
        </is>
      </c>
      <c r="H910" s="9" t="n">
        <v>15351</v>
      </c>
      <c r="I910" s="9" t="n">
        <v>15274.5</v>
      </c>
      <c r="J910" s="9">
        <f>IF(G910="Long",I910-H910,IF(G910="Short",H910-I910,0))</f>
        <v/>
      </c>
      <c r="K910" s="10" t="n">
        <v>52.61</v>
      </c>
      <c r="L910" s="8" t="inlineStr">
        <is>
          <t>EOD-Close</t>
        </is>
      </c>
      <c r="M910" s="9">
        <f>M909+J910</f>
        <v/>
      </c>
    </row>
    <row r="911">
      <c r="A911" s="8" t="inlineStr">
        <is>
          <t>2023-06-19</t>
        </is>
      </c>
      <c r="B911" s="8" t="inlineStr">
        <is>
          <t>Monday</t>
        </is>
      </c>
      <c r="C911" s="8" t="inlineStr">
        <is>
          <t>MNQU3</t>
        </is>
      </c>
      <c r="D911" s="9" t="n">
        <v>15253.25</v>
      </c>
      <c r="E911" s="9" t="n">
        <v>15236.75</v>
      </c>
      <c r="F911" s="9">
        <f>D911-E911</f>
        <v/>
      </c>
      <c r="G911" s="8" t="inlineStr">
        <is>
          <t>Short</t>
        </is>
      </c>
      <c r="H911" s="9" t="n">
        <v>15236.75</v>
      </c>
      <c r="I911" s="9" t="n">
        <v>15237.75</v>
      </c>
      <c r="J911" s="9">
        <f>IF(G911="Long",I911-H911,IF(G911="Short",H911-I911,0))</f>
        <v/>
      </c>
      <c r="K911" s="10" t="n">
        <v>83.33</v>
      </c>
      <c r="L911" s="8" t="inlineStr">
        <is>
          <t>EOD-Close</t>
        </is>
      </c>
      <c r="M911" s="9">
        <f>M910+J911</f>
        <v/>
      </c>
    </row>
    <row r="912">
      <c r="A912" s="5" t="inlineStr">
        <is>
          <t>2023-06-20</t>
        </is>
      </c>
      <c r="B912" s="5" t="inlineStr">
        <is>
          <t>Tuesday</t>
        </is>
      </c>
      <c r="C912" s="5" t="inlineStr">
        <is>
          <t>MNQU3</t>
        </is>
      </c>
      <c r="D912" s="6" t="n">
        <v>15291.25</v>
      </c>
      <c r="E912" s="6" t="n">
        <v>15204</v>
      </c>
      <c r="F912" s="6">
        <f>D912-E912</f>
        <v/>
      </c>
      <c r="G912" s="5" t="inlineStr">
        <is>
          <t>Long</t>
        </is>
      </c>
      <c r="H912" s="6" t="n">
        <v>15291.25</v>
      </c>
      <c r="I912" s="6" t="n">
        <v>15204</v>
      </c>
      <c r="J912" s="6">
        <f>IF(G912="Long",I912-H912,IF(G912="Short",H912-I912,0))</f>
        <v/>
      </c>
      <c r="K912" s="7" t="n">
        <v>100</v>
      </c>
      <c r="L912" s="5" t="inlineStr">
        <is>
          <t>Loss</t>
        </is>
      </c>
      <c r="M912" s="6">
        <f>M911+J912</f>
        <v/>
      </c>
    </row>
    <row r="913">
      <c r="A913" s="8" t="inlineStr">
        <is>
          <t>2023-06-20</t>
        </is>
      </c>
      <c r="B913" s="8" t="inlineStr">
        <is>
          <t>Tuesday</t>
        </is>
      </c>
      <c r="C913" s="8" t="inlineStr">
        <is>
          <t>MNQU3</t>
        </is>
      </c>
      <c r="D913" s="9" t="n">
        <v>15291.25</v>
      </c>
      <c r="E913" s="9" t="n">
        <v>15204</v>
      </c>
      <c r="F913" s="9">
        <f>D913-E913</f>
        <v/>
      </c>
      <c r="G913" s="8" t="inlineStr">
        <is>
          <t>Short</t>
        </is>
      </c>
      <c r="H913" s="9" t="n">
        <v>15204</v>
      </c>
      <c r="I913" s="9" t="n">
        <v>15253.75</v>
      </c>
      <c r="J913" s="9">
        <f>IF(G913="Long",I913-H913,IF(G913="Short",H913-I913,0))</f>
        <v/>
      </c>
      <c r="K913" s="10" t="n">
        <v>95.7</v>
      </c>
      <c r="L913" s="8" t="inlineStr">
        <is>
          <t>EOD-Close</t>
        </is>
      </c>
      <c r="M913" s="9">
        <f>M912+J913</f>
        <v/>
      </c>
    </row>
    <row r="914">
      <c r="A914" s="2" t="inlineStr">
        <is>
          <t>2023-06-21</t>
        </is>
      </c>
      <c r="B914" s="2" t="inlineStr">
        <is>
          <t>Wednesday</t>
        </is>
      </c>
      <c r="C914" s="2" t="inlineStr">
        <is>
          <t>MNQU3</t>
        </is>
      </c>
      <c r="D914" s="3" t="n">
        <v>15219.25</v>
      </c>
      <c r="E914" s="3" t="n">
        <v>15175.25</v>
      </c>
      <c r="F914" s="3">
        <f>D914-E914</f>
        <v/>
      </c>
      <c r="G914" s="2" t="inlineStr">
        <is>
          <t>Short</t>
        </is>
      </c>
      <c r="H914" s="3" t="n">
        <v>15175.25</v>
      </c>
      <c r="I914" s="3" t="n">
        <v>15131.25</v>
      </c>
      <c r="J914" s="3">
        <f>IF(G914="Long",I914-H914,IF(G914="Short",H914-I914,0))</f>
        <v/>
      </c>
      <c r="K914" s="4" t="n">
        <v>0</v>
      </c>
      <c r="L914" s="2" t="inlineStr">
        <is>
          <t>Win</t>
        </is>
      </c>
      <c r="M914" s="3">
        <f>M913+J914</f>
        <v/>
      </c>
    </row>
    <row r="915">
      <c r="A915" s="2" t="inlineStr">
        <is>
          <t>2023-06-22</t>
        </is>
      </c>
      <c r="B915" s="2" t="inlineStr">
        <is>
          <t>Thursday</t>
        </is>
      </c>
      <c r="C915" s="2" t="inlineStr">
        <is>
          <t>MNQU3</t>
        </is>
      </c>
      <c r="D915" s="3" t="n">
        <v>15049.75</v>
      </c>
      <c r="E915" s="3" t="n">
        <v>14964</v>
      </c>
      <c r="F915" s="3">
        <f>D915-E915</f>
        <v/>
      </c>
      <c r="G915" s="2" t="inlineStr">
        <is>
          <t>Long</t>
        </is>
      </c>
      <c r="H915" s="3" t="n">
        <v>15049.75</v>
      </c>
      <c r="I915" s="3" t="n">
        <v>15135.5</v>
      </c>
      <c r="J915" s="3">
        <f>IF(G915="Long",I915-H915,IF(G915="Short",H915-I915,0))</f>
        <v/>
      </c>
      <c r="K915" s="4" t="n">
        <v>0</v>
      </c>
      <c r="L915" s="2" t="inlineStr">
        <is>
          <t>Win</t>
        </is>
      </c>
      <c r="M915" s="3">
        <f>M914+J915</f>
        <v/>
      </c>
    </row>
    <row r="916">
      <c r="A916" s="5" t="inlineStr">
        <is>
          <t>2023-06-23</t>
        </is>
      </c>
      <c r="B916" s="5" t="inlineStr">
        <is>
          <t>Friday</t>
        </is>
      </c>
      <c r="C916" s="5" t="inlineStr">
        <is>
          <t>MNQU3</t>
        </is>
      </c>
      <c r="D916" s="6" t="n">
        <v>15087.75</v>
      </c>
      <c r="E916" s="6" t="n">
        <v>15012.75</v>
      </c>
      <c r="F916" s="6">
        <f>D916-E916</f>
        <v/>
      </c>
      <c r="G916" s="5" t="inlineStr">
        <is>
          <t>Short</t>
        </is>
      </c>
      <c r="H916" s="6" t="n">
        <v>15012.75</v>
      </c>
      <c r="I916" s="6" t="n">
        <v>15087.75</v>
      </c>
      <c r="J916" s="6">
        <f>IF(G916="Long",I916-H916,IF(G916="Short",H916-I916,0))</f>
        <v/>
      </c>
      <c r="K916" s="7" t="n">
        <v>100</v>
      </c>
      <c r="L916" s="5" t="inlineStr">
        <is>
          <t>Loss</t>
        </is>
      </c>
      <c r="M916" s="6">
        <f>M915+J916</f>
        <v/>
      </c>
    </row>
    <row r="917">
      <c r="A917" s="8" t="inlineStr">
        <is>
          <t>2023-06-23</t>
        </is>
      </c>
      <c r="B917" s="8" t="inlineStr">
        <is>
          <t>Friday</t>
        </is>
      </c>
      <c r="C917" s="8" t="inlineStr">
        <is>
          <t>MNQU3</t>
        </is>
      </c>
      <c r="D917" s="9" t="n">
        <v>15087.75</v>
      </c>
      <c r="E917" s="9" t="n">
        <v>15012.75</v>
      </c>
      <c r="F917" s="9">
        <f>D917-E917</f>
        <v/>
      </c>
      <c r="G917" s="8" t="inlineStr">
        <is>
          <t>Long</t>
        </is>
      </c>
      <c r="H917" s="9" t="n">
        <v>15087.75</v>
      </c>
      <c r="I917" s="9" t="n">
        <v>15060.25</v>
      </c>
      <c r="J917" s="9">
        <f>IF(G917="Long",I917-H917,IF(G917="Short",H917-I917,0))</f>
        <v/>
      </c>
      <c r="K917" s="10" t="n">
        <v>76</v>
      </c>
      <c r="L917" s="8" t="inlineStr">
        <is>
          <t>EOD-Close</t>
        </is>
      </c>
      <c r="M917" s="9">
        <f>M916+J917</f>
        <v/>
      </c>
    </row>
    <row r="918">
      <c r="A918" s="5" t="inlineStr">
        <is>
          <t>2023-06-26</t>
        </is>
      </c>
      <c r="B918" s="5" t="inlineStr">
        <is>
          <t>Monday</t>
        </is>
      </c>
      <c r="C918" s="5" t="inlineStr">
        <is>
          <t>MNQU3</t>
        </is>
      </c>
      <c r="D918" s="6" t="n">
        <v>15090.75</v>
      </c>
      <c r="E918" s="6" t="n">
        <v>15024.25</v>
      </c>
      <c r="F918" s="6">
        <f>D918-E918</f>
        <v/>
      </c>
      <c r="G918" s="5" t="inlineStr">
        <is>
          <t>Long</t>
        </is>
      </c>
      <c r="H918" s="6" t="n">
        <v>15090.75</v>
      </c>
      <c r="I918" s="6" t="n">
        <v>15024.25</v>
      </c>
      <c r="J918" s="6">
        <f>IF(G918="Long",I918-H918,IF(G918="Short",H918-I918,0))</f>
        <v/>
      </c>
      <c r="K918" s="7" t="n">
        <v>100</v>
      </c>
      <c r="L918" s="5" t="inlineStr">
        <is>
          <t>Loss</t>
        </is>
      </c>
      <c r="M918" s="6">
        <f>M917+J918</f>
        <v/>
      </c>
    </row>
    <row r="919">
      <c r="A919" s="2" t="inlineStr">
        <is>
          <t>2023-06-26</t>
        </is>
      </c>
      <c r="B919" s="2" t="inlineStr">
        <is>
          <t>Monday</t>
        </is>
      </c>
      <c r="C919" s="2" t="inlineStr">
        <is>
          <t>MNQU3</t>
        </is>
      </c>
      <c r="D919" s="3" t="n">
        <v>15090.75</v>
      </c>
      <c r="E919" s="3" t="n">
        <v>15024.25</v>
      </c>
      <c r="F919" s="3">
        <f>D919-E919</f>
        <v/>
      </c>
      <c r="G919" s="2" t="inlineStr">
        <is>
          <t>Short</t>
        </is>
      </c>
      <c r="H919" s="3" t="n">
        <v>15024.25</v>
      </c>
      <c r="I919" s="3" t="n">
        <v>14957.75</v>
      </c>
      <c r="J919" s="3">
        <f>IF(G919="Long",I919-H919,IF(G919="Short",H919-I919,0))</f>
        <v/>
      </c>
      <c r="K919" s="4" t="n">
        <v>13.53</v>
      </c>
      <c r="L919" s="2" t="inlineStr">
        <is>
          <t>Win</t>
        </is>
      </c>
      <c r="M919" s="3">
        <f>M918+J919</f>
        <v/>
      </c>
    </row>
    <row r="920">
      <c r="A920" s="2" t="inlineStr">
        <is>
          <t>2023-06-27</t>
        </is>
      </c>
      <c r="B920" s="2" t="inlineStr">
        <is>
          <t>Tuesday</t>
        </is>
      </c>
      <c r="C920" s="2" t="inlineStr">
        <is>
          <t>MNQU3</t>
        </is>
      </c>
      <c r="D920" s="3" t="n">
        <v>14970.75</v>
      </c>
      <c r="E920" s="3" t="n">
        <v>14898</v>
      </c>
      <c r="F920" s="3">
        <f>D920-E920</f>
        <v/>
      </c>
      <c r="G920" s="2" t="inlineStr">
        <is>
          <t>Long</t>
        </is>
      </c>
      <c r="H920" s="3" t="n">
        <v>14970.75</v>
      </c>
      <c r="I920" s="3" t="n">
        <v>15043.5</v>
      </c>
      <c r="J920" s="3">
        <f>IF(G920="Long",I920-H920,IF(G920="Short",H920-I920,0))</f>
        <v/>
      </c>
      <c r="K920" s="4" t="n">
        <v>0</v>
      </c>
      <c r="L920" s="2" t="inlineStr">
        <is>
          <t>Win</t>
        </is>
      </c>
      <c r="M920" s="3">
        <f>M919+J920</f>
        <v/>
      </c>
    </row>
    <row r="921">
      <c r="A921" s="2" t="inlineStr">
        <is>
          <t>2023-06-28</t>
        </is>
      </c>
      <c r="B921" s="2" t="inlineStr">
        <is>
          <t>Wednesday</t>
        </is>
      </c>
      <c r="C921" s="2" t="inlineStr">
        <is>
          <t>MNQU3</t>
        </is>
      </c>
      <c r="D921" s="3" t="n">
        <v>15101.25</v>
      </c>
      <c r="E921" s="3" t="n">
        <v>15025.5</v>
      </c>
      <c r="F921" s="3">
        <f>D921-E921</f>
        <v/>
      </c>
      <c r="G921" s="2" t="inlineStr">
        <is>
          <t>Long</t>
        </is>
      </c>
      <c r="H921" s="3" t="n">
        <v>15101.25</v>
      </c>
      <c r="I921" s="3" t="n">
        <v>15177</v>
      </c>
      <c r="J921" s="3">
        <f>IF(G921="Long",I921-H921,IF(G921="Short",H921-I921,0))</f>
        <v/>
      </c>
      <c r="K921" s="4" t="n">
        <v>0.99</v>
      </c>
      <c r="L921" s="2" t="inlineStr">
        <is>
          <t>Win</t>
        </is>
      </c>
      <c r="M921" s="3">
        <f>M920+J921</f>
        <v/>
      </c>
    </row>
    <row r="922">
      <c r="A922" s="8" t="inlineStr">
        <is>
          <t>2023-06-28</t>
        </is>
      </c>
      <c r="B922" s="8" t="inlineStr">
        <is>
          <t>Wednesday</t>
        </is>
      </c>
      <c r="C922" s="8" t="inlineStr">
        <is>
          <t>MNQU3</t>
        </is>
      </c>
      <c r="D922" s="9" t="n">
        <v>15101.25</v>
      </c>
      <c r="E922" s="9" t="n">
        <v>15025.5</v>
      </c>
      <c r="F922" s="9">
        <f>D922-E922</f>
        <v/>
      </c>
      <c r="G922" s="8" t="inlineStr">
        <is>
          <t>Long</t>
        </is>
      </c>
      <c r="H922" s="9" t="n">
        <v>15101.25</v>
      </c>
      <c r="I922" s="9" t="n">
        <v>15139.5</v>
      </c>
      <c r="J922" s="9">
        <f>IF(G922="Long",I922-H922,IF(G922="Short",H922-I922,0))</f>
        <v/>
      </c>
      <c r="K922" s="10" t="n">
        <v>55.78</v>
      </c>
      <c r="L922" s="8" t="inlineStr">
        <is>
          <t>EOD-Close</t>
        </is>
      </c>
      <c r="M922" s="9">
        <f>M921+J922</f>
        <v/>
      </c>
    </row>
    <row r="923">
      <c r="A923" s="8" t="inlineStr">
        <is>
          <t>2023-06-29</t>
        </is>
      </c>
      <c r="B923" s="8" t="inlineStr">
        <is>
          <t>Thursday</t>
        </is>
      </c>
      <c r="C923" s="8" t="inlineStr">
        <is>
          <t>MNQU3</t>
        </is>
      </c>
      <c r="D923" s="9" t="n">
        <v>15144.75</v>
      </c>
      <c r="E923" s="9" t="n">
        <v>15082.75</v>
      </c>
      <c r="F923" s="9">
        <f>D923-E923</f>
        <v/>
      </c>
      <c r="G923" s="8" t="inlineStr">
        <is>
          <t>Short</t>
        </is>
      </c>
      <c r="H923" s="9" t="n">
        <v>15082.75</v>
      </c>
      <c r="I923" s="9" t="n">
        <v>15103.25</v>
      </c>
      <c r="J923" s="9">
        <f>IF(G923="Long",I923-H923,IF(G923="Short",H923-I923,0))</f>
        <v/>
      </c>
      <c r="K923" s="10" t="n">
        <v>92.34</v>
      </c>
      <c r="L923" s="8" t="inlineStr">
        <is>
          <t>EOD-Close</t>
        </is>
      </c>
      <c r="M923" s="9">
        <f>M922+J923</f>
        <v/>
      </c>
    </row>
    <row r="924">
      <c r="A924" s="2" t="inlineStr">
        <is>
          <t>2023-06-30</t>
        </is>
      </c>
      <c r="B924" s="2" t="inlineStr">
        <is>
          <t>Friday</t>
        </is>
      </c>
      <c r="C924" s="2" t="inlineStr">
        <is>
          <t>MNQU3</t>
        </is>
      </c>
      <c r="D924" s="3" t="n">
        <v>15300</v>
      </c>
      <c r="E924" s="3" t="n">
        <v>15238.25</v>
      </c>
      <c r="F924" s="3">
        <f>D924-E924</f>
        <v/>
      </c>
      <c r="G924" s="2" t="inlineStr">
        <is>
          <t>Long</t>
        </is>
      </c>
      <c r="H924" s="3" t="n">
        <v>15300</v>
      </c>
      <c r="I924" s="3" t="n">
        <v>15361.75</v>
      </c>
      <c r="J924" s="3">
        <f>IF(G924="Long",I924-H924,IF(G924="Short",H924-I924,0))</f>
        <v/>
      </c>
      <c r="K924" s="4" t="n">
        <v>0</v>
      </c>
      <c r="L924" s="2" t="inlineStr">
        <is>
          <t>Win</t>
        </is>
      </c>
      <c r="M924" s="3">
        <f>M923+J924</f>
        <v/>
      </c>
    </row>
    <row r="925">
      <c r="A925" s="2" t="inlineStr">
        <is>
          <t>2023-06-30</t>
        </is>
      </c>
      <c r="B925" s="2" t="inlineStr">
        <is>
          <t>Friday</t>
        </is>
      </c>
      <c r="C925" s="2" t="inlineStr">
        <is>
          <t>MNQU3</t>
        </is>
      </c>
      <c r="D925" s="3" t="n">
        <v>15300</v>
      </c>
      <c r="E925" s="3" t="n">
        <v>15238.25</v>
      </c>
      <c r="F925" s="3">
        <f>D925-E925</f>
        <v/>
      </c>
      <c r="G925" s="2" t="inlineStr">
        <is>
          <t>Long</t>
        </is>
      </c>
      <c r="H925" s="3" t="n">
        <v>15300</v>
      </c>
      <c r="I925" s="3" t="n">
        <v>15361.75</v>
      </c>
      <c r="J925" s="3">
        <f>IF(G925="Long",I925-H925,IF(G925="Short",H925-I925,0))</f>
        <v/>
      </c>
      <c r="K925" s="4" t="n">
        <v>28.34</v>
      </c>
      <c r="L925" s="2" t="inlineStr">
        <is>
          <t>Win</t>
        </is>
      </c>
      <c r="M925" s="3">
        <f>M924+J925</f>
        <v/>
      </c>
    </row>
    <row r="926">
      <c r="A926" s="5" t="inlineStr">
        <is>
          <t>2023-07-03</t>
        </is>
      </c>
      <c r="B926" s="5" t="inlineStr">
        <is>
          <t>Monday</t>
        </is>
      </c>
      <c r="C926" s="5" t="inlineStr">
        <is>
          <t>MNQU3</t>
        </is>
      </c>
      <c r="D926" s="6" t="n">
        <v>15374.75</v>
      </c>
      <c r="E926" s="6" t="n">
        <v>15337.5</v>
      </c>
      <c r="F926" s="6">
        <f>D926-E926</f>
        <v/>
      </c>
      <c r="G926" s="5" t="inlineStr">
        <is>
          <t>Long</t>
        </is>
      </c>
      <c r="H926" s="6" t="n">
        <v>15374.75</v>
      </c>
      <c r="I926" s="6" t="n">
        <v>15337.5</v>
      </c>
      <c r="J926" s="6">
        <f>IF(G926="Long",I926-H926,IF(G926="Short",H926-I926,0))</f>
        <v/>
      </c>
      <c r="K926" s="7" t="n">
        <v>100</v>
      </c>
      <c r="L926" s="5" t="inlineStr">
        <is>
          <t>Loss</t>
        </is>
      </c>
      <c r="M926" s="6">
        <f>M925+J926</f>
        <v/>
      </c>
    </row>
    <row r="927">
      <c r="A927" s="8" t="inlineStr">
        <is>
          <t>2023-07-03</t>
        </is>
      </c>
      <c r="B927" s="8" t="inlineStr">
        <is>
          <t>Monday</t>
        </is>
      </c>
      <c r="C927" s="8" t="inlineStr">
        <is>
          <t>MNQU3</t>
        </is>
      </c>
      <c r="D927" s="9" t="n">
        <v>15374.75</v>
      </c>
      <c r="E927" s="9" t="n">
        <v>15337.5</v>
      </c>
      <c r="F927" s="9">
        <f>D927-E927</f>
        <v/>
      </c>
      <c r="G927" s="8" t="inlineStr">
        <is>
          <t>Short</t>
        </is>
      </c>
      <c r="H927" s="9" t="n">
        <v>15337.5</v>
      </c>
      <c r="I927" s="9" t="n">
        <v>15356.5</v>
      </c>
      <c r="J927" s="9">
        <f>IF(G927="Long",I927-H927,IF(G927="Short",H927-I927,0))</f>
        <v/>
      </c>
      <c r="K927" s="10" t="n">
        <v>77.84999999999999</v>
      </c>
      <c r="L927" s="8" t="inlineStr">
        <is>
          <t>EOD-Close</t>
        </is>
      </c>
      <c r="M927" s="9">
        <f>M926+J927</f>
        <v/>
      </c>
    </row>
    <row r="928">
      <c r="A928" s="2" t="inlineStr">
        <is>
          <t>2023-07-04</t>
        </is>
      </c>
      <c r="B928" s="2" t="inlineStr">
        <is>
          <t>Tuesday</t>
        </is>
      </c>
      <c r="C928" s="2" t="inlineStr">
        <is>
          <t>MNQU3</t>
        </is>
      </c>
      <c r="D928" s="3" t="n">
        <v>15368.25</v>
      </c>
      <c r="E928" s="3" t="n">
        <v>15362.75</v>
      </c>
      <c r="F928" s="3">
        <f>D928-E928</f>
        <v/>
      </c>
      <c r="G928" s="2" t="inlineStr">
        <is>
          <t>Short</t>
        </is>
      </c>
      <c r="H928" s="3" t="n">
        <v>15362.75</v>
      </c>
      <c r="I928" s="3" t="n">
        <v>15357.25</v>
      </c>
      <c r="J928" s="3">
        <f>IF(G928="Long",I928-H928,IF(G928="Short",H928-I928,0))</f>
        <v/>
      </c>
      <c r="K928" s="4" t="n">
        <v>63.64</v>
      </c>
      <c r="L928" s="2" t="inlineStr">
        <is>
          <t>Win</t>
        </is>
      </c>
      <c r="M928" s="3">
        <f>M927+J928</f>
        <v/>
      </c>
    </row>
    <row r="929">
      <c r="A929" s="8" t="inlineStr">
        <is>
          <t>2023-07-05</t>
        </is>
      </c>
      <c r="B929" s="8" t="inlineStr">
        <is>
          <t>Wednesday</t>
        </is>
      </c>
      <c r="C929" s="8" t="inlineStr">
        <is>
          <t>MNQU3</t>
        </is>
      </c>
      <c r="D929" s="9" t="n">
        <v>15382</v>
      </c>
      <c r="E929" s="9" t="n">
        <v>15292.5</v>
      </c>
      <c r="F929" s="9">
        <f>D929-E929</f>
        <v/>
      </c>
      <c r="G929" s="8" t="inlineStr">
        <is>
          <t>Long</t>
        </is>
      </c>
      <c r="H929" s="9" t="n">
        <v>15382</v>
      </c>
      <c r="I929" s="9" t="n">
        <v>15360</v>
      </c>
      <c r="J929" s="9">
        <f>IF(G929="Long",I929-H929,IF(G929="Short",H929-I929,0))</f>
        <v/>
      </c>
      <c r="K929" s="10" t="n">
        <v>64.53</v>
      </c>
      <c r="L929" s="8" t="inlineStr">
        <is>
          <t>EOD-Close</t>
        </is>
      </c>
      <c r="M929" s="9">
        <f>M928+J929</f>
        <v/>
      </c>
    </row>
    <row r="930">
      <c r="A930" s="5" t="inlineStr">
        <is>
          <t>2023-07-06</t>
        </is>
      </c>
      <c r="B930" s="5" t="inlineStr">
        <is>
          <t>Thursday</t>
        </is>
      </c>
      <c r="C930" s="5" t="inlineStr">
        <is>
          <t>MNQU3</t>
        </is>
      </c>
      <c r="D930" s="6" t="n">
        <v>15214</v>
      </c>
      <c r="E930" s="6" t="n">
        <v>15150.25</v>
      </c>
      <c r="F930" s="6">
        <f>D930-E930</f>
        <v/>
      </c>
      <c r="G930" s="5" t="inlineStr">
        <is>
          <t>Short</t>
        </is>
      </c>
      <c r="H930" s="6" t="n">
        <v>15150.25</v>
      </c>
      <c r="I930" s="6" t="n">
        <v>15214</v>
      </c>
      <c r="J930" s="6">
        <f>IF(G930="Long",I930-H930,IF(G930="Short",H930-I930,0))</f>
        <v/>
      </c>
      <c r="K930" s="7" t="n">
        <v>100</v>
      </c>
      <c r="L930" s="5" t="inlineStr">
        <is>
          <t>Loss</t>
        </is>
      </c>
      <c r="M930" s="6">
        <f>M929+J930</f>
        <v/>
      </c>
    </row>
    <row r="931">
      <c r="A931" s="8" t="inlineStr">
        <is>
          <t>2023-07-06</t>
        </is>
      </c>
      <c r="B931" s="8" t="inlineStr">
        <is>
          <t>Thursday</t>
        </is>
      </c>
      <c r="C931" s="8" t="inlineStr">
        <is>
          <t>MNQU3</t>
        </is>
      </c>
      <c r="D931" s="9" t="n">
        <v>15214</v>
      </c>
      <c r="E931" s="9" t="n">
        <v>15150.25</v>
      </c>
      <c r="F931" s="9">
        <f>D931-E931</f>
        <v/>
      </c>
      <c r="G931" s="8" t="inlineStr">
        <is>
          <t>Long</t>
        </is>
      </c>
      <c r="H931" s="9" t="n">
        <v>15214</v>
      </c>
      <c r="I931" s="9" t="n">
        <v>15235.75</v>
      </c>
      <c r="J931" s="9">
        <f>IF(G931="Long",I931-H931,IF(G931="Short",H931-I931,0))</f>
        <v/>
      </c>
      <c r="K931" s="10" t="n">
        <v>35.29</v>
      </c>
      <c r="L931" s="8" t="inlineStr">
        <is>
          <t>EOD-Close</t>
        </is>
      </c>
      <c r="M931" s="9">
        <f>M930+J931</f>
        <v/>
      </c>
    </row>
    <row r="932">
      <c r="A932" s="5" t="inlineStr">
        <is>
          <t>2023-07-07</t>
        </is>
      </c>
      <c r="B932" s="5" t="inlineStr">
        <is>
          <t>Friday</t>
        </is>
      </c>
      <c r="C932" s="5" t="inlineStr">
        <is>
          <t>MNQU3</t>
        </is>
      </c>
      <c r="D932" s="6" t="n">
        <v>15243</v>
      </c>
      <c r="E932" s="6" t="n">
        <v>15188.5</v>
      </c>
      <c r="F932" s="6">
        <f>D932-E932</f>
        <v/>
      </c>
      <c r="G932" s="5" t="inlineStr">
        <is>
          <t>Long</t>
        </is>
      </c>
      <c r="H932" s="6" t="n">
        <v>15243</v>
      </c>
      <c r="I932" s="6" t="n">
        <v>15188.5</v>
      </c>
      <c r="J932" s="6">
        <f>IF(G932="Long",I932-H932,IF(G932="Short",H932-I932,0))</f>
        <v/>
      </c>
      <c r="K932" s="7" t="n">
        <v>100</v>
      </c>
      <c r="L932" s="5" t="inlineStr">
        <is>
          <t>Loss</t>
        </is>
      </c>
      <c r="M932" s="6">
        <f>M931+J932</f>
        <v/>
      </c>
    </row>
    <row r="933">
      <c r="A933" s="5" t="inlineStr">
        <is>
          <t>2023-07-07</t>
        </is>
      </c>
      <c r="B933" s="5" t="inlineStr">
        <is>
          <t>Friday</t>
        </is>
      </c>
      <c r="C933" s="5" t="inlineStr">
        <is>
          <t>MNQU3</t>
        </is>
      </c>
      <c r="D933" s="6" t="n">
        <v>15243</v>
      </c>
      <c r="E933" s="6" t="n">
        <v>15188.5</v>
      </c>
      <c r="F933" s="6">
        <f>D933-E933</f>
        <v/>
      </c>
      <c r="G933" s="5" t="inlineStr">
        <is>
          <t>Short</t>
        </is>
      </c>
      <c r="H933" s="6" t="n">
        <v>15188.5</v>
      </c>
      <c r="I933" s="6" t="n">
        <v>15243</v>
      </c>
      <c r="J933" s="6">
        <f>IF(G933="Long",I933-H933,IF(G933="Short",H933-I933,0))</f>
        <v/>
      </c>
      <c r="K933" s="7" t="n">
        <v>100</v>
      </c>
      <c r="L933" s="5" t="inlineStr">
        <is>
          <t>Loss</t>
        </is>
      </c>
      <c r="M933" s="6">
        <f>M932+J933</f>
        <v/>
      </c>
    </row>
    <row r="934">
      <c r="A934" s="2" t="inlineStr">
        <is>
          <t>2023-07-10</t>
        </is>
      </c>
      <c r="B934" s="2" t="inlineStr">
        <is>
          <t>Monday</t>
        </is>
      </c>
      <c r="C934" s="2" t="inlineStr">
        <is>
          <t>MNQU3</t>
        </is>
      </c>
      <c r="D934" s="3" t="n">
        <v>15214.5</v>
      </c>
      <c r="E934" s="3" t="n">
        <v>15153.5</v>
      </c>
      <c r="F934" s="3">
        <f>D934-E934</f>
        <v/>
      </c>
      <c r="G934" s="2" t="inlineStr">
        <is>
          <t>Short</t>
        </is>
      </c>
      <c r="H934" s="3" t="n">
        <v>15153.5</v>
      </c>
      <c r="I934" s="3" t="n">
        <v>15092.5</v>
      </c>
      <c r="J934" s="3">
        <f>IF(G934="Long",I934-H934,IF(G934="Short",H934-I934,0))</f>
        <v/>
      </c>
      <c r="K934" s="4" t="n">
        <v>0</v>
      </c>
      <c r="L934" s="2" t="inlineStr">
        <is>
          <t>Win</t>
        </is>
      </c>
      <c r="M934" s="3">
        <f>M933+J934</f>
        <v/>
      </c>
    </row>
    <row r="935">
      <c r="A935" s="2" t="inlineStr">
        <is>
          <t>2023-07-10</t>
        </is>
      </c>
      <c r="B935" s="2" t="inlineStr">
        <is>
          <t>Monday</t>
        </is>
      </c>
      <c r="C935" s="2" t="inlineStr">
        <is>
          <t>MNQU3</t>
        </is>
      </c>
      <c r="D935" s="3" t="n">
        <v>15214.5</v>
      </c>
      <c r="E935" s="3" t="n">
        <v>15153.5</v>
      </c>
      <c r="F935" s="3">
        <f>D935-E935</f>
        <v/>
      </c>
      <c r="G935" s="2" t="inlineStr">
        <is>
          <t>Short</t>
        </is>
      </c>
      <c r="H935" s="3" t="n">
        <v>15153.5</v>
      </c>
      <c r="I935" s="3" t="n">
        <v>15092.5</v>
      </c>
      <c r="J935" s="3">
        <f>IF(G935="Long",I935-H935,IF(G935="Short",H935-I935,0))</f>
        <v/>
      </c>
      <c r="K935" s="4" t="n">
        <v>82.79000000000001</v>
      </c>
      <c r="L935" s="2" t="inlineStr">
        <is>
          <t>Win</t>
        </is>
      </c>
      <c r="M935" s="3">
        <f>M934+J935</f>
        <v/>
      </c>
    </row>
    <row r="936">
      <c r="A936" s="5" t="inlineStr">
        <is>
          <t>2023-07-11</t>
        </is>
      </c>
      <c r="B936" s="5" t="inlineStr">
        <is>
          <t>Tuesday</t>
        </is>
      </c>
      <c r="C936" s="5" t="inlineStr">
        <is>
          <t>MNQU3</t>
        </is>
      </c>
      <c r="D936" s="6" t="n">
        <v>15233.75</v>
      </c>
      <c r="E936" s="6" t="n">
        <v>15150.25</v>
      </c>
      <c r="F936" s="6">
        <f>D936-E936</f>
        <v/>
      </c>
      <c r="G936" s="5" t="inlineStr">
        <is>
          <t>Short</t>
        </is>
      </c>
      <c r="H936" s="6" t="n">
        <v>15150.25</v>
      </c>
      <c r="I936" s="6" t="n">
        <v>15233.75</v>
      </c>
      <c r="J936" s="6">
        <f>IF(G936="Long",I936-H936,IF(G936="Short",H936-I936,0))</f>
        <v/>
      </c>
      <c r="K936" s="7" t="n">
        <v>100</v>
      </c>
      <c r="L936" s="5" t="inlineStr">
        <is>
          <t>Loss</t>
        </is>
      </c>
      <c r="M936" s="6">
        <f>M935+J936</f>
        <v/>
      </c>
    </row>
    <row r="937">
      <c r="A937" s="8" t="inlineStr">
        <is>
          <t>2023-07-11</t>
        </is>
      </c>
      <c r="B937" s="8" t="inlineStr">
        <is>
          <t>Tuesday</t>
        </is>
      </c>
      <c r="C937" s="8" t="inlineStr">
        <is>
          <t>MNQU3</t>
        </is>
      </c>
      <c r="D937" s="9" t="n">
        <v>15233.75</v>
      </c>
      <c r="E937" s="9" t="n">
        <v>15150.25</v>
      </c>
      <c r="F937" s="9">
        <f>D937-E937</f>
        <v/>
      </c>
      <c r="G937" s="8" t="inlineStr">
        <is>
          <t>Long</t>
        </is>
      </c>
      <c r="H937" s="9" t="n">
        <v>15233.75</v>
      </c>
      <c r="I937" s="9" t="n">
        <v>15259</v>
      </c>
      <c r="J937" s="9">
        <f>IF(G937="Long",I937-H937,IF(G937="Short",H937-I937,0))</f>
        <v/>
      </c>
      <c r="K937" s="10" t="n">
        <v>92.51000000000001</v>
      </c>
      <c r="L937" s="8" t="inlineStr">
        <is>
          <t>EOD-Close</t>
        </is>
      </c>
      <c r="M937" s="9">
        <f>M936+J937</f>
        <v/>
      </c>
    </row>
    <row r="938">
      <c r="A938" s="2" t="inlineStr">
        <is>
          <t>2023-07-12</t>
        </is>
      </c>
      <c r="B938" s="2" t="inlineStr">
        <is>
          <t>Wednesday</t>
        </is>
      </c>
      <c r="C938" s="2" t="inlineStr">
        <is>
          <t>MNQU3</t>
        </is>
      </c>
      <c r="D938" s="3" t="n">
        <v>15448.5</v>
      </c>
      <c r="E938" s="3" t="n">
        <v>15408</v>
      </c>
      <c r="F938" s="3">
        <f>D938-E938</f>
        <v/>
      </c>
      <c r="G938" s="2" t="inlineStr">
        <is>
          <t>Long</t>
        </is>
      </c>
      <c r="H938" s="3" t="n">
        <v>15448.5</v>
      </c>
      <c r="I938" s="3" t="n">
        <v>15489</v>
      </c>
      <c r="J938" s="3">
        <f>IF(G938="Long",I938-H938,IF(G938="Short",H938-I938,0))</f>
        <v/>
      </c>
      <c r="K938" s="4" t="n">
        <v>40.12</v>
      </c>
      <c r="L938" s="2" t="inlineStr">
        <is>
          <t>Win</t>
        </is>
      </c>
      <c r="M938" s="3">
        <f>M937+J938</f>
        <v/>
      </c>
    </row>
    <row r="939">
      <c r="A939" s="5" t="inlineStr">
        <is>
          <t>2023-07-12</t>
        </is>
      </c>
      <c r="B939" s="5" t="inlineStr">
        <is>
          <t>Wednesday</t>
        </is>
      </c>
      <c r="C939" s="5" t="inlineStr">
        <is>
          <t>MNQU3</t>
        </is>
      </c>
      <c r="D939" s="6" t="n">
        <v>15448.5</v>
      </c>
      <c r="E939" s="6" t="n">
        <v>15408</v>
      </c>
      <c r="F939" s="6">
        <f>D939-E939</f>
        <v/>
      </c>
      <c r="G939" s="5" t="inlineStr">
        <is>
          <t>Long</t>
        </is>
      </c>
      <c r="H939" s="6" t="n">
        <v>15448.5</v>
      </c>
      <c r="I939" s="6" t="n">
        <v>15408</v>
      </c>
      <c r="J939" s="6">
        <f>IF(G939="Long",I939-H939,IF(G939="Short",H939-I939,0))</f>
        <v/>
      </c>
      <c r="K939" s="7" t="n">
        <v>100</v>
      </c>
      <c r="L939" s="5" t="inlineStr">
        <is>
          <t>Loss</t>
        </is>
      </c>
      <c r="M939" s="6">
        <f>M938+J939</f>
        <v/>
      </c>
    </row>
    <row r="940">
      <c r="A940" s="2" t="inlineStr">
        <is>
          <t>2023-07-13</t>
        </is>
      </c>
      <c r="B940" s="2" t="inlineStr">
        <is>
          <t>Thursday</t>
        </is>
      </c>
      <c r="C940" s="2" t="inlineStr">
        <is>
          <t>MNQU3</t>
        </is>
      </c>
      <c r="D940" s="3" t="n">
        <v>15615.25</v>
      </c>
      <c r="E940" s="3" t="n">
        <v>15552.25</v>
      </c>
      <c r="F940" s="3">
        <f>D940-E940</f>
        <v/>
      </c>
      <c r="G940" s="2" t="inlineStr">
        <is>
          <t>Long</t>
        </is>
      </c>
      <c r="H940" s="3" t="n">
        <v>15615.25</v>
      </c>
      <c r="I940" s="3" t="n">
        <v>15678.25</v>
      </c>
      <c r="J940" s="3">
        <f>IF(G940="Long",I940-H940,IF(G940="Short",H940-I940,0))</f>
        <v/>
      </c>
      <c r="K940" s="4" t="n">
        <v>91.67</v>
      </c>
      <c r="L940" s="2" t="inlineStr">
        <is>
          <t>Win</t>
        </is>
      </c>
      <c r="M940" s="3">
        <f>M939+J940</f>
        <v/>
      </c>
    </row>
    <row r="941">
      <c r="A941" s="5" t="inlineStr">
        <is>
          <t>2023-07-14</t>
        </is>
      </c>
      <c r="B941" s="5" t="inlineStr">
        <is>
          <t>Friday</t>
        </is>
      </c>
      <c r="C941" s="5" t="inlineStr">
        <is>
          <t>MNQU3</t>
        </is>
      </c>
      <c r="D941" s="6" t="n">
        <v>15803.5</v>
      </c>
      <c r="E941" s="6" t="n">
        <v>15721</v>
      </c>
      <c r="F941" s="6">
        <f>D941-E941</f>
        <v/>
      </c>
      <c r="G941" s="5" t="inlineStr">
        <is>
          <t>Long</t>
        </is>
      </c>
      <c r="H941" s="6" t="n">
        <v>15803.5</v>
      </c>
      <c r="I941" s="6" t="n">
        <v>15721</v>
      </c>
      <c r="J941" s="6">
        <f>IF(G941="Long",I941-H941,IF(G941="Short",H941-I941,0))</f>
        <v/>
      </c>
      <c r="K941" s="7" t="n">
        <v>100</v>
      </c>
      <c r="L941" s="5" t="inlineStr">
        <is>
          <t>Loss</t>
        </is>
      </c>
      <c r="M941" s="6">
        <f>M940+J941</f>
        <v/>
      </c>
    </row>
    <row r="942">
      <c r="A942" s="8" t="inlineStr">
        <is>
          <t>2023-07-14</t>
        </is>
      </c>
      <c r="B942" s="8" t="inlineStr">
        <is>
          <t>Friday</t>
        </is>
      </c>
      <c r="C942" s="8" t="inlineStr">
        <is>
          <t>MNQU3</t>
        </is>
      </c>
      <c r="D942" s="9" t="n">
        <v>15803.5</v>
      </c>
      <c r="E942" s="9" t="n">
        <v>15721</v>
      </c>
      <c r="F942" s="9">
        <f>D942-E942</f>
        <v/>
      </c>
      <c r="G942" s="8" t="inlineStr">
        <is>
          <t>Short</t>
        </is>
      </c>
      <c r="H942" s="9" t="n">
        <v>15721</v>
      </c>
      <c r="I942" s="9" t="n">
        <v>15703</v>
      </c>
      <c r="J942" s="9">
        <f>IF(G942="Long",I942-H942,IF(G942="Short",H942-I942,0))</f>
        <v/>
      </c>
      <c r="K942" s="10" t="n">
        <v>12.73</v>
      </c>
      <c r="L942" s="8" t="inlineStr">
        <is>
          <t>EOD-Close</t>
        </is>
      </c>
      <c r="M942" s="9">
        <f>M941+J942</f>
        <v/>
      </c>
    </row>
    <row r="943">
      <c r="A943" s="5" t="inlineStr">
        <is>
          <t>2023-07-17</t>
        </is>
      </c>
      <c r="B943" s="5" t="inlineStr">
        <is>
          <t>Monday</t>
        </is>
      </c>
      <c r="C943" s="5" t="inlineStr">
        <is>
          <t>MNQU3</t>
        </is>
      </c>
      <c r="D943" s="6" t="n">
        <v>15781.5</v>
      </c>
      <c r="E943" s="6" t="n">
        <v>15726.25</v>
      </c>
      <c r="F943" s="6">
        <f>D943-E943</f>
        <v/>
      </c>
      <c r="G943" s="5" t="inlineStr">
        <is>
          <t>Short</t>
        </is>
      </c>
      <c r="H943" s="6" t="n">
        <v>15726.25</v>
      </c>
      <c r="I943" s="6" t="n">
        <v>15781.5</v>
      </c>
      <c r="J943" s="6">
        <f>IF(G943="Long",I943-H943,IF(G943="Short",H943-I943,0))</f>
        <v/>
      </c>
      <c r="K943" s="7" t="n">
        <v>100</v>
      </c>
      <c r="L943" s="5" t="inlineStr">
        <is>
          <t>Loss</t>
        </is>
      </c>
      <c r="M943" s="6">
        <f>M942+J943</f>
        <v/>
      </c>
    </row>
    <row r="944">
      <c r="A944" s="2" t="inlineStr">
        <is>
          <t>2023-07-17</t>
        </is>
      </c>
      <c r="B944" s="2" t="inlineStr">
        <is>
          <t>Monday</t>
        </is>
      </c>
      <c r="C944" s="2" t="inlineStr">
        <is>
          <t>MNQU3</t>
        </is>
      </c>
      <c r="D944" s="3" t="n">
        <v>15781.5</v>
      </c>
      <c r="E944" s="3" t="n">
        <v>15726.25</v>
      </c>
      <c r="F944" s="3">
        <f>D944-E944</f>
        <v/>
      </c>
      <c r="G944" s="2" t="inlineStr">
        <is>
          <t>Long</t>
        </is>
      </c>
      <c r="H944" s="3" t="n">
        <v>15781.5</v>
      </c>
      <c r="I944" s="3" t="n">
        <v>15836.75</v>
      </c>
      <c r="J944" s="3">
        <f>IF(G944="Long",I944-H944,IF(G944="Short",H944-I944,0))</f>
        <v/>
      </c>
      <c r="K944" s="4" t="n">
        <v>38.46</v>
      </c>
      <c r="L944" s="2" t="inlineStr">
        <is>
          <t>Win</t>
        </is>
      </c>
      <c r="M944" s="3">
        <f>M943+J944</f>
        <v/>
      </c>
    </row>
    <row r="945">
      <c r="A945" s="2" t="inlineStr">
        <is>
          <t>2023-07-18</t>
        </is>
      </c>
      <c r="B945" s="2" t="inlineStr">
        <is>
          <t>Tuesday</t>
        </is>
      </c>
      <c r="C945" s="2" t="inlineStr">
        <is>
          <t>MNQU3</t>
        </is>
      </c>
      <c r="D945" s="3" t="n">
        <v>15816</v>
      </c>
      <c r="E945" s="3" t="n">
        <v>15752.5</v>
      </c>
      <c r="F945" s="3">
        <f>D945-E945</f>
        <v/>
      </c>
      <c r="G945" s="2" t="inlineStr">
        <is>
          <t>Long</t>
        </is>
      </c>
      <c r="H945" s="3" t="n">
        <v>15816</v>
      </c>
      <c r="I945" s="3" t="n">
        <v>15879.5</v>
      </c>
      <c r="J945" s="3">
        <f>IF(G945="Long",I945-H945,IF(G945="Short",H945-I945,0))</f>
        <v/>
      </c>
      <c r="K945" s="4" t="n">
        <v>0</v>
      </c>
      <c r="L945" s="2" t="inlineStr">
        <is>
          <t>Win</t>
        </is>
      </c>
      <c r="M945" s="3">
        <f>M944+J945</f>
        <v/>
      </c>
    </row>
    <row r="946">
      <c r="A946" s="5" t="inlineStr">
        <is>
          <t>2023-07-19</t>
        </is>
      </c>
      <c r="B946" s="5" t="inlineStr">
        <is>
          <t>Wednesday</t>
        </is>
      </c>
      <c r="C946" s="5" t="inlineStr">
        <is>
          <t>MNQU3</t>
        </is>
      </c>
      <c r="D946" s="6" t="n">
        <v>16038.25</v>
      </c>
      <c r="E946" s="6" t="n">
        <v>15978</v>
      </c>
      <c r="F946" s="6">
        <f>D946-E946</f>
        <v/>
      </c>
      <c r="G946" s="5" t="inlineStr">
        <is>
          <t>Long</t>
        </is>
      </c>
      <c r="H946" s="6" t="n">
        <v>16038.25</v>
      </c>
      <c r="I946" s="6" t="n">
        <v>15978</v>
      </c>
      <c r="J946" s="6">
        <f>IF(G946="Long",I946-H946,IF(G946="Short",H946-I946,0))</f>
        <v/>
      </c>
      <c r="K946" s="7" t="n">
        <v>100</v>
      </c>
      <c r="L946" s="5" t="inlineStr">
        <is>
          <t>Loss</t>
        </is>
      </c>
      <c r="M946" s="6">
        <f>M945+J946</f>
        <v/>
      </c>
    </row>
    <row r="947">
      <c r="A947" s="2" t="inlineStr">
        <is>
          <t>2023-07-19</t>
        </is>
      </c>
      <c r="B947" s="2" t="inlineStr">
        <is>
          <t>Wednesday</t>
        </is>
      </c>
      <c r="C947" s="2" t="inlineStr">
        <is>
          <t>MNQU3</t>
        </is>
      </c>
      <c r="D947" s="3" t="n">
        <v>16038.25</v>
      </c>
      <c r="E947" s="3" t="n">
        <v>15978</v>
      </c>
      <c r="F947" s="3">
        <f>D947-E947</f>
        <v/>
      </c>
      <c r="G947" s="2" t="inlineStr">
        <is>
          <t>Short</t>
        </is>
      </c>
      <c r="H947" s="3" t="n">
        <v>15978</v>
      </c>
      <c r="I947" s="3" t="n">
        <v>15917.75</v>
      </c>
      <c r="J947" s="3">
        <f>IF(G947="Long",I947-H947,IF(G947="Short",H947-I947,0))</f>
        <v/>
      </c>
      <c r="K947" s="4" t="n">
        <v>5.81</v>
      </c>
      <c r="L947" s="2" t="inlineStr">
        <is>
          <t>Win</t>
        </is>
      </c>
      <c r="M947" s="3">
        <f>M946+J947</f>
        <v/>
      </c>
    </row>
    <row r="948">
      <c r="A948" s="2" t="inlineStr">
        <is>
          <t>2023-07-20</t>
        </is>
      </c>
      <c r="B948" s="2" t="inlineStr">
        <is>
          <t>Thursday</t>
        </is>
      </c>
      <c r="C948" s="2" t="inlineStr">
        <is>
          <t>MNQU3</t>
        </is>
      </c>
      <c r="D948" s="3" t="n">
        <v>15892</v>
      </c>
      <c r="E948" s="3" t="n">
        <v>15831.5</v>
      </c>
      <c r="F948" s="3">
        <f>D948-E948</f>
        <v/>
      </c>
      <c r="G948" s="2" t="inlineStr">
        <is>
          <t>Short</t>
        </is>
      </c>
      <c r="H948" s="3" t="n">
        <v>15831.5</v>
      </c>
      <c r="I948" s="3" t="n">
        <v>15771</v>
      </c>
      <c r="J948" s="3">
        <f>IF(G948="Long",I948-H948,IF(G948="Short",H948-I948,0))</f>
        <v/>
      </c>
      <c r="K948" s="4" t="n">
        <v>0.83</v>
      </c>
      <c r="L948" s="2" t="inlineStr">
        <is>
          <t>Win</t>
        </is>
      </c>
      <c r="M948" s="3">
        <f>M947+J948</f>
        <v/>
      </c>
    </row>
    <row r="949">
      <c r="A949" s="2" t="inlineStr">
        <is>
          <t>2023-07-21</t>
        </is>
      </c>
      <c r="B949" s="2" t="inlineStr">
        <is>
          <t>Friday</t>
        </is>
      </c>
      <c r="C949" s="2" t="inlineStr">
        <is>
          <t>MNQU3</t>
        </is>
      </c>
      <c r="D949" s="3" t="n">
        <v>15719.5</v>
      </c>
      <c r="E949" s="3" t="n">
        <v>15651.25</v>
      </c>
      <c r="F949" s="3">
        <f>D949-E949</f>
        <v/>
      </c>
      <c r="G949" s="2" t="inlineStr">
        <is>
          <t>Short</t>
        </is>
      </c>
      <c r="H949" s="3" t="n">
        <v>15651.25</v>
      </c>
      <c r="I949" s="3" t="n">
        <v>15583</v>
      </c>
      <c r="J949" s="3">
        <f>IF(G949="Long",I949-H949,IF(G949="Short",H949-I949,0))</f>
        <v/>
      </c>
      <c r="K949" s="4" t="n">
        <v>2.93</v>
      </c>
      <c r="L949" s="2" t="inlineStr">
        <is>
          <t>Win</t>
        </is>
      </c>
      <c r="M949" s="3">
        <f>M948+J949</f>
        <v/>
      </c>
    </row>
    <row r="950">
      <c r="A950" s="2" t="inlineStr">
        <is>
          <t>2023-07-21</t>
        </is>
      </c>
      <c r="B950" s="2" t="inlineStr">
        <is>
          <t>Friday</t>
        </is>
      </c>
      <c r="C950" s="2" t="inlineStr">
        <is>
          <t>MNQU3</t>
        </is>
      </c>
      <c r="D950" s="3" t="n">
        <v>15719.5</v>
      </c>
      <c r="E950" s="3" t="n">
        <v>15651.25</v>
      </c>
      <c r="F950" s="3">
        <f>D950-E950</f>
        <v/>
      </c>
      <c r="G950" s="2" t="inlineStr">
        <is>
          <t>Short</t>
        </is>
      </c>
      <c r="H950" s="3" t="n">
        <v>15651.25</v>
      </c>
      <c r="I950" s="3" t="n">
        <v>15583</v>
      </c>
      <c r="J950" s="3">
        <f>IF(G950="Long",I950-H950,IF(G950="Short",H950-I950,0))</f>
        <v/>
      </c>
      <c r="K950" s="4" t="n">
        <v>5.13</v>
      </c>
      <c r="L950" s="2" t="inlineStr">
        <is>
          <t>Win</t>
        </is>
      </c>
      <c r="M950" s="3">
        <f>M949+J950</f>
        <v/>
      </c>
    </row>
    <row r="951">
      <c r="A951" s="2" t="inlineStr">
        <is>
          <t>2023-07-24</t>
        </is>
      </c>
      <c r="B951" s="2" t="inlineStr">
        <is>
          <t>Monday</t>
        </is>
      </c>
      <c r="C951" s="2" t="inlineStr">
        <is>
          <t>MNQU3</t>
        </is>
      </c>
      <c r="D951" s="3" t="n">
        <v>15618.25</v>
      </c>
      <c r="E951" s="3" t="n">
        <v>15573.75</v>
      </c>
      <c r="F951" s="3">
        <f>D951-E951</f>
        <v/>
      </c>
      <c r="G951" s="2" t="inlineStr">
        <is>
          <t>Short</t>
        </is>
      </c>
      <c r="H951" s="3" t="n">
        <v>15573.75</v>
      </c>
      <c r="I951" s="3" t="n">
        <v>15529.25</v>
      </c>
      <c r="J951" s="3">
        <f>IF(G951="Long",I951-H951,IF(G951="Short",H951-I951,0))</f>
        <v/>
      </c>
      <c r="K951" s="4" t="n">
        <v>0</v>
      </c>
      <c r="L951" s="2" t="inlineStr">
        <is>
          <t>Win</t>
        </is>
      </c>
      <c r="M951" s="3">
        <f>M950+J951</f>
        <v/>
      </c>
    </row>
    <row r="952">
      <c r="A952" s="2" t="inlineStr">
        <is>
          <t>2023-07-24</t>
        </is>
      </c>
      <c r="B952" s="2" t="inlineStr">
        <is>
          <t>Monday</t>
        </is>
      </c>
      <c r="C952" s="2" t="inlineStr">
        <is>
          <t>MNQU3</t>
        </is>
      </c>
      <c r="D952" s="3" t="n">
        <v>15618.25</v>
      </c>
      <c r="E952" s="3" t="n">
        <v>15573.75</v>
      </c>
      <c r="F952" s="3">
        <f>D952-E952</f>
        <v/>
      </c>
      <c r="G952" s="2" t="inlineStr">
        <is>
          <t>Short</t>
        </is>
      </c>
      <c r="H952" s="3" t="n">
        <v>15573.75</v>
      </c>
      <c r="I952" s="3" t="n">
        <v>15529.25</v>
      </c>
      <c r="J952" s="3">
        <f>IF(G952="Long",I952-H952,IF(G952="Short",H952-I952,0))</f>
        <v/>
      </c>
      <c r="K952" s="4" t="n">
        <v>45.51</v>
      </c>
      <c r="L952" s="2" t="inlineStr">
        <is>
          <t>Win</t>
        </is>
      </c>
      <c r="M952" s="3">
        <f>M951+J952</f>
        <v/>
      </c>
    </row>
    <row r="953">
      <c r="A953" s="2" t="inlineStr">
        <is>
          <t>2023-07-25</t>
        </is>
      </c>
      <c r="B953" s="2" t="inlineStr">
        <is>
          <t>Tuesday</t>
        </is>
      </c>
      <c r="C953" s="2" t="inlineStr">
        <is>
          <t>MNQU3</t>
        </is>
      </c>
      <c r="D953" s="3" t="n">
        <v>15635.75</v>
      </c>
      <c r="E953" s="3" t="n">
        <v>15588.25</v>
      </c>
      <c r="F953" s="3">
        <f>D953-E953</f>
        <v/>
      </c>
      <c r="G953" s="2" t="inlineStr">
        <is>
          <t>Long</t>
        </is>
      </c>
      <c r="H953" s="3" t="n">
        <v>15635.75</v>
      </c>
      <c r="I953" s="3" t="n">
        <v>15683.25</v>
      </c>
      <c r="J953" s="3">
        <f>IF(G953="Long",I953-H953,IF(G953="Short",H953-I953,0))</f>
        <v/>
      </c>
      <c r="K953" s="4" t="n">
        <v>69.47</v>
      </c>
      <c r="L953" s="2" t="inlineStr">
        <is>
          <t>Win</t>
        </is>
      </c>
      <c r="M953" s="3">
        <f>M952+J953</f>
        <v/>
      </c>
    </row>
    <row r="954">
      <c r="A954" s="5" t="inlineStr">
        <is>
          <t>2023-07-26</t>
        </is>
      </c>
      <c r="B954" s="5" t="inlineStr">
        <is>
          <t>Wednesday</t>
        </is>
      </c>
      <c r="C954" s="5" t="inlineStr">
        <is>
          <t>MNQU3</t>
        </is>
      </c>
      <c r="D954" s="6" t="n">
        <v>15639</v>
      </c>
      <c r="E954" s="6" t="n">
        <v>15565.75</v>
      </c>
      <c r="F954" s="6">
        <f>D954-E954</f>
        <v/>
      </c>
      <c r="G954" s="5" t="inlineStr">
        <is>
          <t>Short</t>
        </is>
      </c>
      <c r="H954" s="6" t="n">
        <v>15565.75</v>
      </c>
      <c r="I954" s="6" t="n">
        <v>15639</v>
      </c>
      <c r="J954" s="6">
        <f>IF(G954="Long",I954-H954,IF(G954="Short",H954-I954,0))</f>
        <v/>
      </c>
      <c r="K954" s="7" t="n">
        <v>100</v>
      </c>
      <c r="L954" s="5" t="inlineStr">
        <is>
          <t>Loss</t>
        </is>
      </c>
      <c r="M954" s="6">
        <f>M953+J954</f>
        <v/>
      </c>
    </row>
    <row r="955">
      <c r="A955" s="5" t="inlineStr">
        <is>
          <t>2023-07-26</t>
        </is>
      </c>
      <c r="B955" s="5" t="inlineStr">
        <is>
          <t>Wednesday</t>
        </is>
      </c>
      <c r="C955" s="5" t="inlineStr">
        <is>
          <t>MNQU3</t>
        </is>
      </c>
      <c r="D955" s="6" t="n">
        <v>15639</v>
      </c>
      <c r="E955" s="6" t="n">
        <v>15565.75</v>
      </c>
      <c r="F955" s="6">
        <f>D955-E955</f>
        <v/>
      </c>
      <c r="G955" s="5" t="inlineStr">
        <is>
          <t>Long</t>
        </is>
      </c>
      <c r="H955" s="6" t="n">
        <v>15639</v>
      </c>
      <c r="I955" s="6" t="n">
        <v>15565.75</v>
      </c>
      <c r="J955" s="6">
        <f>IF(G955="Long",I955-H955,IF(G955="Short",H955-I955,0))</f>
        <v/>
      </c>
      <c r="K955" s="7" t="n">
        <v>100</v>
      </c>
      <c r="L955" s="5" t="inlineStr">
        <is>
          <t>Loss</t>
        </is>
      </c>
      <c r="M955" s="6">
        <f>M954+J955</f>
        <v/>
      </c>
    </row>
    <row r="956">
      <c r="A956" s="2" t="inlineStr">
        <is>
          <t>2023-07-27</t>
        </is>
      </c>
      <c r="B956" s="2" t="inlineStr">
        <is>
          <t>Thursday</t>
        </is>
      </c>
      <c r="C956" s="2" t="inlineStr">
        <is>
          <t>MNQU3</t>
        </is>
      </c>
      <c r="D956" s="3" t="n">
        <v>15894.5</v>
      </c>
      <c r="E956" s="3" t="n">
        <v>15822.75</v>
      </c>
      <c r="F956" s="3">
        <f>D956-E956</f>
        <v/>
      </c>
      <c r="G956" s="2" t="inlineStr">
        <is>
          <t>Short</t>
        </is>
      </c>
      <c r="H956" s="3" t="n">
        <v>15822.75</v>
      </c>
      <c r="I956" s="3" t="n">
        <v>15751</v>
      </c>
      <c r="J956" s="3">
        <f>IF(G956="Long",I956-H956,IF(G956="Short",H956-I956,0))</f>
        <v/>
      </c>
      <c r="K956" s="4" t="n">
        <v>47.04</v>
      </c>
      <c r="L956" s="2" t="inlineStr">
        <is>
          <t>Win</t>
        </is>
      </c>
      <c r="M956" s="3">
        <f>M955+J956</f>
        <v/>
      </c>
    </row>
    <row r="957">
      <c r="A957" s="2" t="inlineStr">
        <is>
          <t>2023-07-28</t>
        </is>
      </c>
      <c r="B957" s="2" t="inlineStr">
        <is>
          <t>Friday</t>
        </is>
      </c>
      <c r="C957" s="2" t="inlineStr">
        <is>
          <t>MNQU3</t>
        </is>
      </c>
      <c r="D957" s="3" t="n">
        <v>15795.5</v>
      </c>
      <c r="E957" s="3" t="n">
        <v>15715.5</v>
      </c>
      <c r="F957" s="3">
        <f>D957-E957</f>
        <v/>
      </c>
      <c r="G957" s="2" t="inlineStr">
        <is>
          <t>Long</t>
        </is>
      </c>
      <c r="H957" s="3" t="n">
        <v>15795.5</v>
      </c>
      <c r="I957" s="3" t="n">
        <v>15875.5</v>
      </c>
      <c r="J957" s="3">
        <f>IF(G957="Long",I957-H957,IF(G957="Short",H957-I957,0))</f>
        <v/>
      </c>
      <c r="K957" s="4" t="n">
        <v>17.5</v>
      </c>
      <c r="L957" s="2" t="inlineStr">
        <is>
          <t>Win</t>
        </is>
      </c>
      <c r="M957" s="3">
        <f>M956+J957</f>
        <v/>
      </c>
    </row>
    <row r="958">
      <c r="A958" s="2" t="inlineStr">
        <is>
          <t>2023-07-28</t>
        </is>
      </c>
      <c r="B958" s="2" t="inlineStr">
        <is>
          <t>Friday</t>
        </is>
      </c>
      <c r="C958" s="2" t="inlineStr">
        <is>
          <t>MNQU3</t>
        </is>
      </c>
      <c r="D958" s="3" t="n">
        <v>15795.5</v>
      </c>
      <c r="E958" s="3" t="n">
        <v>15715.5</v>
      </c>
      <c r="F958" s="3">
        <f>D958-E958</f>
        <v/>
      </c>
      <c r="G958" s="2" t="inlineStr">
        <is>
          <t>Long</t>
        </is>
      </c>
      <c r="H958" s="3" t="n">
        <v>15795.5</v>
      </c>
      <c r="I958" s="3" t="n">
        <v>15875.5</v>
      </c>
      <c r="J958" s="3">
        <f>IF(G958="Long",I958-H958,IF(G958="Short",H958-I958,0))</f>
        <v/>
      </c>
      <c r="K958" s="4" t="n">
        <v>25.62</v>
      </c>
      <c r="L958" s="2" t="inlineStr">
        <is>
          <t>Win</t>
        </is>
      </c>
      <c r="M958" s="3">
        <f>M957+J958</f>
        <v/>
      </c>
    </row>
    <row r="959">
      <c r="A959" s="8" t="inlineStr">
        <is>
          <t>2023-07-31</t>
        </is>
      </c>
      <c r="B959" s="8" t="inlineStr">
        <is>
          <t>Monday</t>
        </is>
      </c>
      <c r="C959" s="8" t="inlineStr">
        <is>
          <t>MNQU3</t>
        </is>
      </c>
      <c r="D959" s="9" t="n">
        <v>15897</v>
      </c>
      <c r="E959" s="9" t="n">
        <v>15845.25</v>
      </c>
      <c r="F959" s="9">
        <f>D959-E959</f>
        <v/>
      </c>
      <c r="G959" s="8" t="inlineStr">
        <is>
          <t>Short</t>
        </is>
      </c>
      <c r="H959" s="9" t="n">
        <v>15845.25</v>
      </c>
      <c r="I959" s="9" t="n">
        <v>15863</v>
      </c>
      <c r="J959" s="9">
        <f>IF(G959="Long",I959-H959,IF(G959="Short",H959-I959,0))</f>
        <v/>
      </c>
      <c r="K959" s="10" t="n">
        <v>66.67</v>
      </c>
      <c r="L959" s="8" t="inlineStr">
        <is>
          <t>EOD-Close</t>
        </is>
      </c>
      <c r="M959" s="9">
        <f>M958+J959</f>
        <v/>
      </c>
    </row>
    <row r="960">
      <c r="A960" s="5" t="inlineStr">
        <is>
          <t>2023-08-01</t>
        </is>
      </c>
      <c r="B960" s="5" t="inlineStr">
        <is>
          <t>Tuesday</t>
        </is>
      </c>
      <c r="C960" s="5" t="inlineStr">
        <is>
          <t>MNQU3</t>
        </is>
      </c>
      <c r="D960" s="6" t="n">
        <v>15806</v>
      </c>
      <c r="E960" s="6" t="n">
        <v>15765</v>
      </c>
      <c r="F960" s="6">
        <f>D960-E960</f>
        <v/>
      </c>
      <c r="G960" s="5" t="inlineStr">
        <is>
          <t>Short</t>
        </is>
      </c>
      <c r="H960" s="6" t="n">
        <v>15765</v>
      </c>
      <c r="I960" s="6" t="n">
        <v>15806</v>
      </c>
      <c r="J960" s="6">
        <f>IF(G960="Long",I960-H960,IF(G960="Short",H960-I960,0))</f>
        <v/>
      </c>
      <c r="K960" s="7" t="n">
        <v>100</v>
      </c>
      <c r="L960" s="5" t="inlineStr">
        <is>
          <t>Loss</t>
        </is>
      </c>
      <c r="M960" s="6">
        <f>M959+J960</f>
        <v/>
      </c>
    </row>
    <row r="961">
      <c r="A961" s="2" t="inlineStr">
        <is>
          <t>2023-08-01</t>
        </is>
      </c>
      <c r="B961" s="2" t="inlineStr">
        <is>
          <t>Tuesday</t>
        </is>
      </c>
      <c r="C961" s="2" t="inlineStr">
        <is>
          <t>MNQU3</t>
        </is>
      </c>
      <c r="D961" s="3" t="n">
        <v>15806</v>
      </c>
      <c r="E961" s="3" t="n">
        <v>15765</v>
      </c>
      <c r="F961" s="3">
        <f>D961-E961</f>
        <v/>
      </c>
      <c r="G961" s="2" t="inlineStr">
        <is>
          <t>Long</t>
        </is>
      </c>
      <c r="H961" s="3" t="n">
        <v>15806</v>
      </c>
      <c r="I961" s="3" t="n">
        <v>15847</v>
      </c>
      <c r="J961" s="3">
        <f>IF(G961="Long",I961-H961,IF(G961="Short",H961-I961,0))</f>
        <v/>
      </c>
      <c r="K961" s="4" t="n">
        <v>68.29000000000001</v>
      </c>
      <c r="L961" s="2" t="inlineStr">
        <is>
          <t>Win</t>
        </is>
      </c>
      <c r="M961" s="3">
        <f>M960+J961</f>
        <v/>
      </c>
    </row>
    <row r="962">
      <c r="A962" s="2" t="inlineStr">
        <is>
          <t>2023-08-02</t>
        </is>
      </c>
      <c r="B962" s="2" t="inlineStr">
        <is>
          <t>Wednesday</t>
        </is>
      </c>
      <c r="C962" s="2" t="inlineStr">
        <is>
          <t>MNQU3</t>
        </is>
      </c>
      <c r="D962" s="3" t="n">
        <v>15668.75</v>
      </c>
      <c r="E962" s="3" t="n">
        <v>15586.25</v>
      </c>
      <c r="F962" s="3">
        <f>D962-E962</f>
        <v/>
      </c>
      <c r="G962" s="2" t="inlineStr">
        <is>
          <t>Short</t>
        </is>
      </c>
      <c r="H962" s="3" t="n">
        <v>15586.25</v>
      </c>
      <c r="I962" s="3" t="n">
        <v>15503.75</v>
      </c>
      <c r="J962" s="3">
        <f>IF(G962="Long",I962-H962,IF(G962="Short",H962-I962,0))</f>
        <v/>
      </c>
      <c r="K962" s="4" t="n">
        <v>0</v>
      </c>
      <c r="L962" s="2" t="inlineStr">
        <is>
          <t>Win</t>
        </is>
      </c>
      <c r="M962" s="3">
        <f>M961+J962</f>
        <v/>
      </c>
    </row>
    <row r="963">
      <c r="A963" s="2" t="inlineStr">
        <is>
          <t>2023-08-03</t>
        </is>
      </c>
      <c r="B963" s="2" t="inlineStr">
        <is>
          <t>Thursday</t>
        </is>
      </c>
      <c r="C963" s="2" t="inlineStr">
        <is>
          <t>MNQU3</t>
        </is>
      </c>
      <c r="D963" s="3" t="n">
        <v>15413.5</v>
      </c>
      <c r="E963" s="3" t="n">
        <v>15351</v>
      </c>
      <c r="F963" s="3">
        <f>D963-E963</f>
        <v/>
      </c>
      <c r="G963" s="2" t="inlineStr">
        <is>
          <t>Long</t>
        </is>
      </c>
      <c r="H963" s="3" t="n">
        <v>15413.5</v>
      </c>
      <c r="I963" s="3" t="n">
        <v>15476</v>
      </c>
      <c r="J963" s="3">
        <f>IF(G963="Long",I963-H963,IF(G963="Short",H963-I963,0))</f>
        <v/>
      </c>
      <c r="K963" s="4" t="n">
        <v>96.40000000000001</v>
      </c>
      <c r="L963" s="2" t="inlineStr">
        <is>
          <t>Win</t>
        </is>
      </c>
      <c r="M963" s="3">
        <f>M962+J963</f>
        <v/>
      </c>
    </row>
    <row r="964">
      <c r="A964" s="2" t="inlineStr">
        <is>
          <t>2023-08-04</t>
        </is>
      </c>
      <c r="B964" s="2" t="inlineStr">
        <is>
          <t>Friday</t>
        </is>
      </c>
      <c r="C964" s="2" t="inlineStr">
        <is>
          <t>MNQU3</t>
        </is>
      </c>
      <c r="D964" s="3" t="n">
        <v>15584</v>
      </c>
      <c r="E964" s="3" t="n">
        <v>15494.5</v>
      </c>
      <c r="F964" s="3">
        <f>D964-E964</f>
        <v/>
      </c>
      <c r="G964" s="2" t="inlineStr">
        <is>
          <t>Short</t>
        </is>
      </c>
      <c r="H964" s="3" t="n">
        <v>15494.5</v>
      </c>
      <c r="I964" s="3" t="n">
        <v>15405</v>
      </c>
      <c r="J964" s="3">
        <f>IF(G964="Long",I964-H964,IF(G964="Short",H964-I964,0))</f>
        <v/>
      </c>
      <c r="K964" s="4" t="n">
        <v>0</v>
      </c>
      <c r="L964" s="2" t="inlineStr">
        <is>
          <t>Win</t>
        </is>
      </c>
      <c r="M964" s="3">
        <f>M963+J964</f>
        <v/>
      </c>
    </row>
    <row r="965">
      <c r="A965" s="5" t="inlineStr">
        <is>
          <t>2023-08-04</t>
        </is>
      </c>
      <c r="B965" s="5" t="inlineStr">
        <is>
          <t>Friday</t>
        </is>
      </c>
      <c r="C965" s="5" t="inlineStr">
        <is>
          <t>MNQU3</t>
        </is>
      </c>
      <c r="D965" s="6" t="n">
        <v>15584</v>
      </c>
      <c r="E965" s="6" t="n">
        <v>15494.5</v>
      </c>
      <c r="F965" s="6">
        <f>D965-E965</f>
        <v/>
      </c>
      <c r="G965" s="5" t="inlineStr">
        <is>
          <t>Short</t>
        </is>
      </c>
      <c r="H965" s="6" t="n">
        <v>15494.5</v>
      </c>
      <c r="I965" s="6" t="n">
        <v>15584</v>
      </c>
      <c r="J965" s="6">
        <f>IF(G965="Long",I965-H965,IF(G965="Short",H965-I965,0))</f>
        <v/>
      </c>
      <c r="K965" s="7" t="n">
        <v>100</v>
      </c>
      <c r="L965" s="5" t="inlineStr">
        <is>
          <t>Loss</t>
        </is>
      </c>
      <c r="M965" s="6">
        <f>M964+J965</f>
        <v/>
      </c>
    </row>
    <row r="966">
      <c r="A966" s="5" t="inlineStr">
        <is>
          <t>2023-08-07</t>
        </is>
      </c>
      <c r="B966" s="5" t="inlineStr">
        <is>
          <t>Monday</t>
        </is>
      </c>
      <c r="C966" s="5" t="inlineStr">
        <is>
          <t>MNQU3</t>
        </is>
      </c>
      <c r="D966" s="6" t="n">
        <v>15473.25</v>
      </c>
      <c r="E966" s="6" t="n">
        <v>15386</v>
      </c>
      <c r="F966" s="6">
        <f>D966-E966</f>
        <v/>
      </c>
      <c r="G966" s="5" t="inlineStr">
        <is>
          <t>Short</t>
        </is>
      </c>
      <c r="H966" s="6" t="n">
        <v>15386</v>
      </c>
      <c r="I966" s="6" t="n">
        <v>15473.25</v>
      </c>
      <c r="J966" s="6">
        <f>IF(G966="Long",I966-H966,IF(G966="Short",H966-I966,0))</f>
        <v/>
      </c>
      <c r="K966" s="7" t="n">
        <v>100</v>
      </c>
      <c r="L966" s="5" t="inlineStr">
        <is>
          <t>Loss</t>
        </is>
      </c>
      <c r="M966" s="6">
        <f>M965+J966</f>
        <v/>
      </c>
    </row>
    <row r="967">
      <c r="A967" s="8" t="inlineStr">
        <is>
          <t>2023-08-07</t>
        </is>
      </c>
      <c r="B967" s="8" t="inlineStr">
        <is>
          <t>Monday</t>
        </is>
      </c>
      <c r="C967" s="8" t="inlineStr">
        <is>
          <t>MNQU3</t>
        </is>
      </c>
      <c r="D967" s="9" t="n">
        <v>15473.25</v>
      </c>
      <c r="E967" s="9" t="n">
        <v>15386</v>
      </c>
      <c r="F967" s="9">
        <f>D967-E967</f>
        <v/>
      </c>
      <c r="G967" s="8" t="inlineStr">
        <is>
          <t>Long</t>
        </is>
      </c>
      <c r="H967" s="9" t="n">
        <v>15473.25</v>
      </c>
      <c r="I967" s="9" t="n">
        <v>15486.25</v>
      </c>
      <c r="J967" s="9">
        <f>IF(G967="Long",I967-H967,IF(G967="Short",H967-I967,0))</f>
        <v/>
      </c>
      <c r="K967" s="10" t="n">
        <v>0.86</v>
      </c>
      <c r="L967" s="8" t="inlineStr">
        <is>
          <t>EOD-Close</t>
        </is>
      </c>
      <c r="M967" s="9">
        <f>M966+J967</f>
        <v/>
      </c>
    </row>
    <row r="968">
      <c r="A968" s="2" t="inlineStr">
        <is>
          <t>2023-08-08</t>
        </is>
      </c>
      <c r="B968" s="2" t="inlineStr">
        <is>
          <t>Tuesday</t>
        </is>
      </c>
      <c r="C968" s="2" t="inlineStr">
        <is>
          <t>MNQU3</t>
        </is>
      </c>
      <c r="D968" s="3" t="n">
        <v>15379.5</v>
      </c>
      <c r="E968" s="3" t="n">
        <v>15317.25</v>
      </c>
      <c r="F968" s="3">
        <f>D968-E968</f>
        <v/>
      </c>
      <c r="G968" s="2" t="inlineStr">
        <is>
          <t>Short</t>
        </is>
      </c>
      <c r="H968" s="3" t="n">
        <v>15317.25</v>
      </c>
      <c r="I968" s="3" t="n">
        <v>15255</v>
      </c>
      <c r="J968" s="3">
        <f>IF(G968="Long",I968-H968,IF(G968="Short",H968-I968,0))</f>
        <v/>
      </c>
      <c r="K968" s="4" t="n">
        <v>0</v>
      </c>
      <c r="L968" s="2" t="inlineStr">
        <is>
          <t>Win</t>
        </is>
      </c>
      <c r="M968" s="3">
        <f>M967+J968</f>
        <v/>
      </c>
    </row>
    <row r="969">
      <c r="A969" s="8" t="inlineStr">
        <is>
          <t>2023-08-08</t>
        </is>
      </c>
      <c r="B969" s="8" t="inlineStr">
        <is>
          <t>Tuesday</t>
        </is>
      </c>
      <c r="C969" s="8" t="inlineStr">
        <is>
          <t>MNQU3</t>
        </is>
      </c>
      <c r="D969" s="9" t="n">
        <v>15379.5</v>
      </c>
      <c r="E969" s="9" t="n">
        <v>15317.25</v>
      </c>
      <c r="F969" s="9">
        <f>D969-E969</f>
        <v/>
      </c>
      <c r="G969" s="8" t="inlineStr">
        <is>
          <t>Short</t>
        </is>
      </c>
      <c r="H969" s="9" t="n">
        <v>15317.25</v>
      </c>
      <c r="I969" s="9" t="n">
        <v>15350</v>
      </c>
      <c r="J969" s="9">
        <f>IF(G969="Long",I969-H969,IF(G969="Short",H969-I969,0))</f>
        <v/>
      </c>
      <c r="K969" s="10" t="n">
        <v>84.73999999999999</v>
      </c>
      <c r="L969" s="8" t="inlineStr">
        <is>
          <t>EOD-Close</t>
        </is>
      </c>
      <c r="M969" s="9">
        <f>M968+J969</f>
        <v/>
      </c>
    </row>
    <row r="970">
      <c r="A970" s="2" t="inlineStr">
        <is>
          <t>2023-08-09</t>
        </is>
      </c>
      <c r="B970" s="2" t="inlineStr">
        <is>
          <t>Wednesday</t>
        </is>
      </c>
      <c r="C970" s="2" t="inlineStr">
        <is>
          <t>MNQU3</t>
        </is>
      </c>
      <c r="D970" s="3" t="n">
        <v>15369</v>
      </c>
      <c r="E970" s="3" t="n">
        <v>15281.25</v>
      </c>
      <c r="F970" s="3">
        <f>D970-E970</f>
        <v/>
      </c>
      <c r="G970" s="2" t="inlineStr">
        <is>
          <t>Short</t>
        </is>
      </c>
      <c r="H970" s="3" t="n">
        <v>15281.25</v>
      </c>
      <c r="I970" s="3" t="n">
        <v>15193.5</v>
      </c>
      <c r="J970" s="3">
        <f>IF(G970="Long",I970-H970,IF(G970="Short",H970-I970,0))</f>
        <v/>
      </c>
      <c r="K970" s="4" t="n">
        <v>23.08</v>
      </c>
      <c r="L970" s="2" t="inlineStr">
        <is>
          <t>Win</t>
        </is>
      </c>
      <c r="M970" s="3">
        <f>M969+J970</f>
        <v/>
      </c>
    </row>
    <row r="971">
      <c r="A971" s="2" t="inlineStr">
        <is>
          <t>2023-08-09</t>
        </is>
      </c>
      <c r="B971" s="2" t="inlineStr">
        <is>
          <t>Wednesday</t>
        </is>
      </c>
      <c r="C971" s="2" t="inlineStr">
        <is>
          <t>MNQU3</t>
        </is>
      </c>
      <c r="D971" s="3" t="n">
        <v>15369</v>
      </c>
      <c r="E971" s="3" t="n">
        <v>15281.25</v>
      </c>
      <c r="F971" s="3">
        <f>D971-E971</f>
        <v/>
      </c>
      <c r="G971" s="2" t="inlineStr">
        <is>
          <t>Short</t>
        </is>
      </c>
      <c r="H971" s="3" t="n">
        <v>15281.25</v>
      </c>
      <c r="I971" s="3" t="n">
        <v>15193.5</v>
      </c>
      <c r="J971" s="3">
        <f>IF(G971="Long",I971-H971,IF(G971="Short",H971-I971,0))</f>
        <v/>
      </c>
      <c r="K971" s="4" t="n">
        <v>28.49</v>
      </c>
      <c r="L971" s="2" t="inlineStr">
        <is>
          <t>Win</t>
        </is>
      </c>
      <c r="M971" s="3">
        <f>M970+J971</f>
        <v/>
      </c>
    </row>
    <row r="972">
      <c r="A972" s="2" t="inlineStr">
        <is>
          <t>2023-08-10</t>
        </is>
      </c>
      <c r="B972" s="2" t="inlineStr">
        <is>
          <t>Thursday</t>
        </is>
      </c>
      <c r="C972" s="2" t="inlineStr">
        <is>
          <t>MNQU3</t>
        </is>
      </c>
      <c r="D972" s="3" t="n">
        <v>15356.25</v>
      </c>
      <c r="E972" s="3" t="n">
        <v>15273.25</v>
      </c>
      <c r="F972" s="3">
        <f>D972-E972</f>
        <v/>
      </c>
      <c r="G972" s="2" t="inlineStr">
        <is>
          <t>Long</t>
        </is>
      </c>
      <c r="H972" s="3" t="n">
        <v>15356.25</v>
      </c>
      <c r="I972" s="3" t="n">
        <v>15439.25</v>
      </c>
      <c r="J972" s="3">
        <f>IF(G972="Long",I972-H972,IF(G972="Short",H972-I972,0))</f>
        <v/>
      </c>
      <c r="K972" s="4" t="n">
        <v>0</v>
      </c>
      <c r="L972" s="2" t="inlineStr">
        <is>
          <t>Win</t>
        </is>
      </c>
      <c r="M972" s="3">
        <f>M971+J972</f>
        <v/>
      </c>
    </row>
    <row r="973">
      <c r="A973" s="5" t="inlineStr">
        <is>
          <t>2023-08-10</t>
        </is>
      </c>
      <c r="B973" s="5" t="inlineStr">
        <is>
          <t>Thursday</t>
        </is>
      </c>
      <c r="C973" s="5" t="inlineStr">
        <is>
          <t>MNQU3</t>
        </is>
      </c>
      <c r="D973" s="6" t="n">
        <v>15356.25</v>
      </c>
      <c r="E973" s="6" t="n">
        <v>15273.25</v>
      </c>
      <c r="F973" s="6">
        <f>D973-E973</f>
        <v/>
      </c>
      <c r="G973" s="5" t="inlineStr">
        <is>
          <t>Long</t>
        </is>
      </c>
      <c r="H973" s="6" t="n">
        <v>15356.25</v>
      </c>
      <c r="I973" s="6" t="n">
        <v>15273.25</v>
      </c>
      <c r="J973" s="6">
        <f>IF(G973="Long",I973-H973,IF(G973="Short",H973-I973,0))</f>
        <v/>
      </c>
      <c r="K973" s="7" t="n">
        <v>100</v>
      </c>
      <c r="L973" s="5" t="inlineStr">
        <is>
          <t>Loss</t>
        </is>
      </c>
      <c r="M973" s="6">
        <f>M972+J973</f>
        <v/>
      </c>
    </row>
    <row r="974">
      <c r="A974" s="5" t="inlineStr">
        <is>
          <t>2023-08-11</t>
        </is>
      </c>
      <c r="B974" s="5" t="inlineStr">
        <is>
          <t>Friday</t>
        </is>
      </c>
      <c r="C974" s="5" t="inlineStr">
        <is>
          <t>MNQU3</t>
        </is>
      </c>
      <c r="D974" s="6" t="n">
        <v>15116.75</v>
      </c>
      <c r="E974" s="6" t="n">
        <v>15057.25</v>
      </c>
      <c r="F974" s="6">
        <f>D974-E974</f>
        <v/>
      </c>
      <c r="G974" s="5" t="inlineStr">
        <is>
          <t>Long</t>
        </is>
      </c>
      <c r="H974" s="6" t="n">
        <v>15116.75</v>
      </c>
      <c r="I974" s="6" t="n">
        <v>15057.25</v>
      </c>
      <c r="J974" s="6">
        <f>IF(G974="Long",I974-H974,IF(G974="Short",H974-I974,0))</f>
        <v/>
      </c>
      <c r="K974" s="7" t="n">
        <v>100</v>
      </c>
      <c r="L974" s="5" t="inlineStr">
        <is>
          <t>Loss</t>
        </is>
      </c>
      <c r="M974" s="6">
        <f>M973+J974</f>
        <v/>
      </c>
    </row>
    <row r="975">
      <c r="A975" s="5" t="inlineStr">
        <is>
          <t>2023-08-11</t>
        </is>
      </c>
      <c r="B975" s="5" t="inlineStr">
        <is>
          <t>Friday</t>
        </is>
      </c>
      <c r="C975" s="5" t="inlineStr">
        <is>
          <t>MNQU3</t>
        </is>
      </c>
      <c r="D975" s="6" t="n">
        <v>15116.75</v>
      </c>
      <c r="E975" s="6" t="n">
        <v>15057.25</v>
      </c>
      <c r="F975" s="6">
        <f>D975-E975</f>
        <v/>
      </c>
      <c r="G975" s="5" t="inlineStr">
        <is>
          <t>Short</t>
        </is>
      </c>
      <c r="H975" s="6" t="n">
        <v>15057.25</v>
      </c>
      <c r="I975" s="6" t="n">
        <v>15116.75</v>
      </c>
      <c r="J975" s="6">
        <f>IF(G975="Long",I975-H975,IF(G975="Short",H975-I975,0))</f>
        <v/>
      </c>
      <c r="K975" s="7" t="n">
        <v>100</v>
      </c>
      <c r="L975" s="5" t="inlineStr">
        <is>
          <t>Loss</t>
        </is>
      </c>
      <c r="M975" s="6">
        <f>M974+J975</f>
        <v/>
      </c>
    </row>
    <row r="976">
      <c r="A976" s="2" t="inlineStr">
        <is>
          <t>2023-08-14</t>
        </is>
      </c>
      <c r="B976" s="2" t="inlineStr">
        <is>
          <t>Monday</t>
        </is>
      </c>
      <c r="C976" s="2" t="inlineStr">
        <is>
          <t>MNQU3</t>
        </is>
      </c>
      <c r="D976" s="3" t="n">
        <v>15108.5</v>
      </c>
      <c r="E976" s="3" t="n">
        <v>15036.25</v>
      </c>
      <c r="F976" s="3">
        <f>D976-E976</f>
        <v/>
      </c>
      <c r="G976" s="2" t="inlineStr">
        <is>
          <t>Long</t>
        </is>
      </c>
      <c r="H976" s="3" t="n">
        <v>15108.5</v>
      </c>
      <c r="I976" s="3" t="n">
        <v>15180.75</v>
      </c>
      <c r="J976" s="3">
        <f>IF(G976="Long",I976-H976,IF(G976="Short",H976-I976,0))</f>
        <v/>
      </c>
      <c r="K976" s="4" t="n">
        <v>11.76</v>
      </c>
      <c r="L976" s="2" t="inlineStr">
        <is>
          <t>Win</t>
        </is>
      </c>
      <c r="M976" s="3">
        <f>M975+J976</f>
        <v/>
      </c>
    </row>
    <row r="977">
      <c r="A977" s="2" t="inlineStr">
        <is>
          <t>2023-08-15</t>
        </is>
      </c>
      <c r="B977" s="2" t="inlineStr">
        <is>
          <t>Tuesday</t>
        </is>
      </c>
      <c r="C977" s="2" t="inlineStr">
        <is>
          <t>MNQU3</t>
        </is>
      </c>
      <c r="D977" s="3" t="n">
        <v>15259.25</v>
      </c>
      <c r="E977" s="3" t="n">
        <v>15200.75</v>
      </c>
      <c r="F977" s="3">
        <f>D977-E977</f>
        <v/>
      </c>
      <c r="G977" s="2" t="inlineStr">
        <is>
          <t>Short</t>
        </is>
      </c>
      <c r="H977" s="3" t="n">
        <v>15200.75</v>
      </c>
      <c r="I977" s="3" t="n">
        <v>15142.25</v>
      </c>
      <c r="J977" s="3">
        <f>IF(G977="Long",I977-H977,IF(G977="Short",H977-I977,0))</f>
        <v/>
      </c>
      <c r="K977" s="4" t="n">
        <v>28.21</v>
      </c>
      <c r="L977" s="2" t="inlineStr">
        <is>
          <t>Win</t>
        </is>
      </c>
      <c r="M977" s="3">
        <f>M976+J977</f>
        <v/>
      </c>
    </row>
    <row r="978">
      <c r="A978" s="2" t="inlineStr">
        <is>
          <t>2023-08-15</t>
        </is>
      </c>
      <c r="B978" s="2" t="inlineStr">
        <is>
          <t>Tuesday</t>
        </is>
      </c>
      <c r="C978" s="2" t="inlineStr">
        <is>
          <t>MNQU3</t>
        </is>
      </c>
      <c r="D978" s="3" t="n">
        <v>15259.25</v>
      </c>
      <c r="E978" s="3" t="n">
        <v>15200.75</v>
      </c>
      <c r="F978" s="3">
        <f>D978-E978</f>
        <v/>
      </c>
      <c r="G978" s="2" t="inlineStr">
        <is>
          <t>Short</t>
        </is>
      </c>
      <c r="H978" s="3" t="n">
        <v>15200.75</v>
      </c>
      <c r="I978" s="3" t="n">
        <v>15142.25</v>
      </c>
      <c r="J978" s="3">
        <f>IF(G978="Long",I978-H978,IF(G978="Short",H978-I978,0))</f>
        <v/>
      </c>
      <c r="K978" s="4" t="n">
        <v>12.39</v>
      </c>
      <c r="L978" s="2" t="inlineStr">
        <is>
          <t>Win</t>
        </is>
      </c>
      <c r="M978" s="3">
        <f>M977+J978</f>
        <v/>
      </c>
    </row>
    <row r="979">
      <c r="A979" s="5" t="inlineStr">
        <is>
          <t>2023-08-16</t>
        </is>
      </c>
      <c r="B979" s="5" t="inlineStr">
        <is>
          <t>Wednesday</t>
        </is>
      </c>
      <c r="C979" s="5" t="inlineStr">
        <is>
          <t>MNQU3</t>
        </is>
      </c>
      <c r="D979" s="6" t="n">
        <v>15109</v>
      </c>
      <c r="E979" s="6" t="n">
        <v>15050.75</v>
      </c>
      <c r="F979" s="6">
        <f>D979-E979</f>
        <v/>
      </c>
      <c r="G979" s="5" t="inlineStr">
        <is>
          <t>Long</t>
        </is>
      </c>
      <c r="H979" s="6" t="n">
        <v>15109</v>
      </c>
      <c r="I979" s="6" t="n">
        <v>15050.75</v>
      </c>
      <c r="J979" s="6">
        <f>IF(G979="Long",I979-H979,IF(G979="Short",H979-I979,0))</f>
        <v/>
      </c>
      <c r="K979" s="7" t="n">
        <v>100</v>
      </c>
      <c r="L979" s="5" t="inlineStr">
        <is>
          <t>Loss</t>
        </is>
      </c>
      <c r="M979" s="6">
        <f>M978+J979</f>
        <v/>
      </c>
    </row>
    <row r="980">
      <c r="A980" s="2" t="inlineStr">
        <is>
          <t>2023-08-16</t>
        </is>
      </c>
      <c r="B980" s="2" t="inlineStr">
        <is>
          <t>Wednesday</t>
        </is>
      </c>
      <c r="C980" s="2" t="inlineStr">
        <is>
          <t>MNQU3</t>
        </is>
      </c>
      <c r="D980" s="3" t="n">
        <v>15109</v>
      </c>
      <c r="E980" s="3" t="n">
        <v>15050.75</v>
      </c>
      <c r="F980" s="3">
        <f>D980-E980</f>
        <v/>
      </c>
      <c r="G980" s="2" t="inlineStr">
        <is>
          <t>Short</t>
        </is>
      </c>
      <c r="H980" s="3" t="n">
        <v>15050.75</v>
      </c>
      <c r="I980" s="3" t="n">
        <v>14992.5</v>
      </c>
      <c r="J980" s="3">
        <f>IF(G980="Long",I980-H980,IF(G980="Short",H980-I980,0))</f>
        <v/>
      </c>
      <c r="K980" s="4" t="n">
        <v>12.88</v>
      </c>
      <c r="L980" s="2" t="inlineStr">
        <is>
          <t>Win</t>
        </is>
      </c>
      <c r="M980" s="3">
        <f>M979+J980</f>
        <v/>
      </c>
    </row>
    <row r="981">
      <c r="A981" s="2" t="inlineStr">
        <is>
          <t>2023-08-17</t>
        </is>
      </c>
      <c r="B981" s="2" t="inlineStr">
        <is>
          <t>Thursday</t>
        </is>
      </c>
      <c r="C981" s="2" t="inlineStr">
        <is>
          <t>MNQU3</t>
        </is>
      </c>
      <c r="D981" s="3" t="n">
        <v>15008</v>
      </c>
      <c r="E981" s="3" t="n">
        <v>14940.75</v>
      </c>
      <c r="F981" s="3">
        <f>D981-E981</f>
        <v/>
      </c>
      <c r="G981" s="2" t="inlineStr">
        <is>
          <t>Short</t>
        </is>
      </c>
      <c r="H981" s="3" t="n">
        <v>14940.75</v>
      </c>
      <c r="I981" s="3" t="n">
        <v>14873.5</v>
      </c>
      <c r="J981" s="3">
        <f>IF(G981="Long",I981-H981,IF(G981="Short",H981-I981,0))</f>
        <v/>
      </c>
      <c r="K981" s="4" t="n">
        <v>4.46</v>
      </c>
      <c r="L981" s="2" t="inlineStr">
        <is>
          <t>Win</t>
        </is>
      </c>
      <c r="M981" s="3">
        <f>M980+J981</f>
        <v/>
      </c>
    </row>
    <row r="982">
      <c r="A982" s="2" t="inlineStr">
        <is>
          <t>2023-08-17</t>
        </is>
      </c>
      <c r="B982" s="2" t="inlineStr">
        <is>
          <t>Thursday</t>
        </is>
      </c>
      <c r="C982" s="2" t="inlineStr">
        <is>
          <t>MNQU3</t>
        </is>
      </c>
      <c r="D982" s="3" t="n">
        <v>15008</v>
      </c>
      <c r="E982" s="3" t="n">
        <v>14940.75</v>
      </c>
      <c r="F982" s="3">
        <f>D982-E982</f>
        <v/>
      </c>
      <c r="G982" s="2" t="inlineStr">
        <is>
          <t>Short</t>
        </is>
      </c>
      <c r="H982" s="3" t="n">
        <v>14940.75</v>
      </c>
      <c r="I982" s="3" t="n">
        <v>14873.5</v>
      </c>
      <c r="J982" s="3">
        <f>IF(G982="Long",I982-H982,IF(G982="Short",H982-I982,0))</f>
        <v/>
      </c>
      <c r="K982" s="4" t="n">
        <v>25.28</v>
      </c>
      <c r="L982" s="2" t="inlineStr">
        <is>
          <t>Win</t>
        </is>
      </c>
      <c r="M982" s="3">
        <f>M981+J982</f>
        <v/>
      </c>
    </row>
    <row r="983">
      <c r="A983" s="5" t="inlineStr">
        <is>
          <t>2023-08-18</t>
        </is>
      </c>
      <c r="B983" s="5" t="inlineStr">
        <is>
          <t>Friday</t>
        </is>
      </c>
      <c r="C983" s="5" t="inlineStr">
        <is>
          <t>MNQU3</t>
        </is>
      </c>
      <c r="D983" s="6" t="n">
        <v>14674</v>
      </c>
      <c r="E983" s="6" t="n">
        <v>14622.75</v>
      </c>
      <c r="F983" s="6">
        <f>D983-E983</f>
        <v/>
      </c>
      <c r="G983" s="5" t="inlineStr">
        <is>
          <t>Long</t>
        </is>
      </c>
      <c r="H983" s="6" t="n">
        <v>14674</v>
      </c>
      <c r="I983" s="6" t="n">
        <v>14622.75</v>
      </c>
      <c r="J983" s="6">
        <f>IF(G983="Long",I983-H983,IF(G983="Short",H983-I983,0))</f>
        <v/>
      </c>
      <c r="K983" s="7" t="n">
        <v>100</v>
      </c>
      <c r="L983" s="5" t="inlineStr">
        <is>
          <t>Loss</t>
        </is>
      </c>
      <c r="M983" s="6">
        <f>M982+J983</f>
        <v/>
      </c>
    </row>
    <row r="984">
      <c r="A984" s="2" t="inlineStr">
        <is>
          <t>2023-08-18</t>
        </is>
      </c>
      <c r="B984" s="2" t="inlineStr">
        <is>
          <t>Friday</t>
        </is>
      </c>
      <c r="C984" s="2" t="inlineStr">
        <is>
          <t>MNQU3</t>
        </is>
      </c>
      <c r="D984" s="3" t="n">
        <v>14674</v>
      </c>
      <c r="E984" s="3" t="n">
        <v>14622.75</v>
      </c>
      <c r="F984" s="3">
        <f>D984-E984</f>
        <v/>
      </c>
      <c r="G984" s="2" t="inlineStr">
        <is>
          <t>Long</t>
        </is>
      </c>
      <c r="H984" s="3" t="n">
        <v>14674</v>
      </c>
      <c r="I984" s="3" t="n">
        <v>14725.25</v>
      </c>
      <c r="J984" s="3">
        <f>IF(G984="Long",I984-H984,IF(G984="Short",H984-I984,0))</f>
        <v/>
      </c>
      <c r="K984" s="4" t="n">
        <v>50.24</v>
      </c>
      <c r="L984" s="2" t="inlineStr">
        <is>
          <t>Win</t>
        </is>
      </c>
      <c r="M984" s="3">
        <f>M983+J984</f>
        <v/>
      </c>
    </row>
    <row r="985">
      <c r="A985" s="5" t="inlineStr">
        <is>
          <t>2023-08-21</t>
        </is>
      </c>
      <c r="B985" s="5" t="inlineStr">
        <is>
          <t>Monday</t>
        </is>
      </c>
      <c r="C985" s="5" t="inlineStr">
        <is>
          <t>MNQU3</t>
        </is>
      </c>
      <c r="D985" s="6" t="n">
        <v>14888.75</v>
      </c>
      <c r="E985" s="6" t="n">
        <v>14805.5</v>
      </c>
      <c r="F985" s="6">
        <f>D985-E985</f>
        <v/>
      </c>
      <c r="G985" s="5" t="inlineStr">
        <is>
          <t>Long</t>
        </is>
      </c>
      <c r="H985" s="6" t="n">
        <v>14888.75</v>
      </c>
      <c r="I985" s="6" t="n">
        <v>14805.5</v>
      </c>
      <c r="J985" s="6">
        <f>IF(G985="Long",I985-H985,IF(G985="Short",H985-I985,0))</f>
        <v/>
      </c>
      <c r="K985" s="7" t="n">
        <v>100</v>
      </c>
      <c r="L985" s="5" t="inlineStr">
        <is>
          <t>Loss</t>
        </is>
      </c>
      <c r="M985" s="6">
        <f>M984+J985</f>
        <v/>
      </c>
    </row>
    <row r="986">
      <c r="A986" s="5" t="inlineStr">
        <is>
          <t>2023-08-21</t>
        </is>
      </c>
      <c r="B986" s="5" t="inlineStr">
        <is>
          <t>Monday</t>
        </is>
      </c>
      <c r="C986" s="5" t="inlineStr">
        <is>
          <t>MNQU3</t>
        </is>
      </c>
      <c r="D986" s="6" t="n">
        <v>14888.75</v>
      </c>
      <c r="E986" s="6" t="n">
        <v>14805.5</v>
      </c>
      <c r="F986" s="6">
        <f>D986-E986</f>
        <v/>
      </c>
      <c r="G986" s="5" t="inlineStr">
        <is>
          <t>Short</t>
        </is>
      </c>
      <c r="H986" s="6" t="n">
        <v>14805.5</v>
      </c>
      <c r="I986" s="6" t="n">
        <v>14888.75</v>
      </c>
      <c r="J986" s="6">
        <f>IF(G986="Long",I986-H986,IF(G986="Short",H986-I986,0))</f>
        <v/>
      </c>
      <c r="K986" s="7" t="n">
        <v>100</v>
      </c>
      <c r="L986" s="5" t="inlineStr">
        <is>
          <t>Loss</t>
        </is>
      </c>
      <c r="M986" s="6">
        <f>M985+J986</f>
        <v/>
      </c>
    </row>
    <row r="987">
      <c r="A987" s="2" t="inlineStr">
        <is>
          <t>2023-08-22</t>
        </is>
      </c>
      <c r="B987" s="2" t="inlineStr">
        <is>
          <t>Tuesday</t>
        </is>
      </c>
      <c r="C987" s="2" t="inlineStr">
        <is>
          <t>MNQU3</t>
        </is>
      </c>
      <c r="D987" s="3" t="n">
        <v>15092.25</v>
      </c>
      <c r="E987" s="3" t="n">
        <v>15017.5</v>
      </c>
      <c r="F987" s="3">
        <f>D987-E987</f>
        <v/>
      </c>
      <c r="G987" s="2" t="inlineStr">
        <is>
          <t>Short</t>
        </is>
      </c>
      <c r="H987" s="3" t="n">
        <v>15017.5</v>
      </c>
      <c r="I987" s="3" t="n">
        <v>14942.75</v>
      </c>
      <c r="J987" s="3">
        <f>IF(G987="Long",I987-H987,IF(G987="Short",H987-I987,0))</f>
        <v/>
      </c>
      <c r="K987" s="4" t="n">
        <v>52.51</v>
      </c>
      <c r="L987" s="2" t="inlineStr">
        <is>
          <t>Win</t>
        </is>
      </c>
      <c r="M987" s="3">
        <f>M986+J987</f>
        <v/>
      </c>
    </row>
    <row r="988">
      <c r="A988" s="2" t="inlineStr">
        <is>
          <t>2023-08-23</t>
        </is>
      </c>
      <c r="B988" s="2" t="inlineStr">
        <is>
          <t>Wednesday</t>
        </is>
      </c>
      <c r="C988" s="2" t="inlineStr">
        <is>
          <t>MNQU3</t>
        </is>
      </c>
      <c r="D988" s="3" t="n">
        <v>15039</v>
      </c>
      <c r="E988" s="3" t="n">
        <v>14999.25</v>
      </c>
      <c r="F988" s="3">
        <f>D988-E988</f>
        <v/>
      </c>
      <c r="G988" s="2" t="inlineStr">
        <is>
          <t>Long</t>
        </is>
      </c>
      <c r="H988" s="3" t="n">
        <v>15039</v>
      </c>
      <c r="I988" s="3" t="n">
        <v>15078.75</v>
      </c>
      <c r="J988" s="3">
        <f>IF(G988="Long",I988-H988,IF(G988="Short",H988-I988,0))</f>
        <v/>
      </c>
      <c r="K988" s="4" t="n">
        <v>0</v>
      </c>
      <c r="L988" s="2" t="inlineStr">
        <is>
          <t>Win</t>
        </is>
      </c>
      <c r="M988" s="3">
        <f>M987+J988</f>
        <v/>
      </c>
    </row>
    <row r="989">
      <c r="A989" s="2" t="inlineStr">
        <is>
          <t>2023-08-24</t>
        </is>
      </c>
      <c r="B989" s="2" t="inlineStr">
        <is>
          <t>Thursday</t>
        </is>
      </c>
      <c r="C989" s="2" t="inlineStr">
        <is>
          <t>MNQU3</t>
        </is>
      </c>
      <c r="D989" s="3" t="n">
        <v>15339.5</v>
      </c>
      <c r="E989" s="3" t="n">
        <v>15212.25</v>
      </c>
      <c r="F989" s="3">
        <f>D989-E989</f>
        <v/>
      </c>
      <c r="G989" s="2" t="inlineStr">
        <is>
          <t>Short</t>
        </is>
      </c>
      <c r="H989" s="3" t="n">
        <v>15212.25</v>
      </c>
      <c r="I989" s="3" t="n">
        <v>15085</v>
      </c>
      <c r="J989" s="3">
        <f>IF(G989="Long",I989-H989,IF(G989="Short",H989-I989,0))</f>
        <v/>
      </c>
      <c r="K989" s="4" t="n">
        <v>17.68</v>
      </c>
      <c r="L989" s="2" t="inlineStr">
        <is>
          <t>Win</t>
        </is>
      </c>
      <c r="M989" s="3">
        <f>M988+J989</f>
        <v/>
      </c>
    </row>
    <row r="990">
      <c r="A990" s="5" t="inlineStr">
        <is>
          <t>2023-08-25</t>
        </is>
      </c>
      <c r="B990" s="5" t="inlineStr">
        <is>
          <t>Friday</t>
        </is>
      </c>
      <c r="C990" s="5" t="inlineStr">
        <is>
          <t>MNQU3</t>
        </is>
      </c>
      <c r="D990" s="6" t="n">
        <v>14948</v>
      </c>
      <c r="E990" s="6" t="n">
        <v>14892</v>
      </c>
      <c r="F990" s="6">
        <f>D990-E990</f>
        <v/>
      </c>
      <c r="G990" s="5" t="inlineStr">
        <is>
          <t>Long</t>
        </is>
      </c>
      <c r="H990" s="6" t="n">
        <v>14948</v>
      </c>
      <c r="I990" s="6" t="n">
        <v>14892</v>
      </c>
      <c r="J990" s="6">
        <f>IF(G990="Long",I990-H990,IF(G990="Short",H990-I990,0))</f>
        <v/>
      </c>
      <c r="K990" s="7" t="n">
        <v>100</v>
      </c>
      <c r="L990" s="5" t="inlineStr">
        <is>
          <t>Loss</t>
        </is>
      </c>
      <c r="M990" s="6">
        <f>M989+J990</f>
        <v/>
      </c>
    </row>
    <row r="991">
      <c r="A991" s="2" t="inlineStr">
        <is>
          <t>2023-08-25</t>
        </is>
      </c>
      <c r="B991" s="2" t="inlineStr">
        <is>
          <t>Friday</t>
        </is>
      </c>
      <c r="C991" s="2" t="inlineStr">
        <is>
          <t>MNQU3</t>
        </is>
      </c>
      <c r="D991" s="3" t="n">
        <v>14948</v>
      </c>
      <c r="E991" s="3" t="n">
        <v>14892</v>
      </c>
      <c r="F991" s="3">
        <f>D991-E991</f>
        <v/>
      </c>
      <c r="G991" s="2" t="inlineStr">
        <is>
          <t>Long</t>
        </is>
      </c>
      <c r="H991" s="3" t="n">
        <v>14948</v>
      </c>
      <c r="I991" s="3" t="n">
        <v>15004</v>
      </c>
      <c r="J991" s="3">
        <f>IF(G991="Long",I991-H991,IF(G991="Short",H991-I991,0))</f>
        <v/>
      </c>
      <c r="K991" s="4" t="n">
        <v>0</v>
      </c>
      <c r="L991" s="2" t="inlineStr">
        <is>
          <t>Win</t>
        </is>
      </c>
      <c r="M991" s="3">
        <f>M990+J991</f>
        <v/>
      </c>
    </row>
    <row r="992">
      <c r="A992" s="8" t="inlineStr">
        <is>
          <t>2023-08-28</t>
        </is>
      </c>
      <c r="B992" s="8" t="inlineStr">
        <is>
          <t>Monday</t>
        </is>
      </c>
      <c r="C992" s="8" t="inlineStr">
        <is>
          <t>MNQU3</t>
        </is>
      </c>
      <c r="D992" s="9" t="n">
        <v>15126.75</v>
      </c>
      <c r="E992" s="9" t="n">
        <v>15035.25</v>
      </c>
      <c r="F992" s="9">
        <f>D992-E992</f>
        <v/>
      </c>
      <c r="G992" s="8" t="inlineStr">
        <is>
          <t>Short</t>
        </is>
      </c>
      <c r="H992" s="9" t="n">
        <v>15035.25</v>
      </c>
      <c r="I992" s="9" t="n">
        <v>15090.75</v>
      </c>
      <c r="J992" s="9">
        <f>IF(G992="Long",I992-H992,IF(G992="Short",H992-I992,0))</f>
        <v/>
      </c>
      <c r="K992" s="10" t="n">
        <v>81.97</v>
      </c>
      <c r="L992" s="8" t="inlineStr">
        <is>
          <t>EOD-Close</t>
        </is>
      </c>
      <c r="M992" s="9">
        <f>M991+J992</f>
        <v/>
      </c>
    </row>
    <row r="993">
      <c r="A993" s="2" t="inlineStr">
        <is>
          <t>2023-08-29</t>
        </is>
      </c>
      <c r="B993" s="2" t="inlineStr">
        <is>
          <t>Tuesday</t>
        </is>
      </c>
      <c r="C993" s="2" t="inlineStr">
        <is>
          <t>MNQU3</t>
        </is>
      </c>
      <c r="D993" s="3" t="n">
        <v>15134.5</v>
      </c>
      <c r="E993" s="3" t="n">
        <v>15062.25</v>
      </c>
      <c r="F993" s="3">
        <f>D993-E993</f>
        <v/>
      </c>
      <c r="G993" s="2" t="inlineStr">
        <is>
          <t>Long</t>
        </is>
      </c>
      <c r="H993" s="3" t="n">
        <v>15134.5</v>
      </c>
      <c r="I993" s="3" t="n">
        <v>15206.75</v>
      </c>
      <c r="J993" s="3">
        <f>IF(G993="Long",I993-H993,IF(G993="Short",H993-I993,0))</f>
        <v/>
      </c>
      <c r="K993" s="4" t="n">
        <v>0</v>
      </c>
      <c r="L993" s="2" t="inlineStr">
        <is>
          <t>Win</t>
        </is>
      </c>
      <c r="M993" s="3">
        <f>M992+J993</f>
        <v/>
      </c>
    </row>
    <row r="994">
      <c r="A994" s="5" t="inlineStr">
        <is>
          <t>2023-08-30</t>
        </is>
      </c>
      <c r="B994" s="5" t="inlineStr">
        <is>
          <t>Wednesday</t>
        </is>
      </c>
      <c r="C994" s="5" t="inlineStr">
        <is>
          <t>MNQU3</t>
        </is>
      </c>
      <c r="D994" s="6" t="n">
        <v>15447.75</v>
      </c>
      <c r="E994" s="6" t="n">
        <v>15386.5</v>
      </c>
      <c r="F994" s="6">
        <f>D994-E994</f>
        <v/>
      </c>
      <c r="G994" s="5" t="inlineStr">
        <is>
          <t>Long</t>
        </is>
      </c>
      <c r="H994" s="6" t="n">
        <v>15447.75</v>
      </c>
      <c r="I994" s="6" t="n">
        <v>15386.5</v>
      </c>
      <c r="J994" s="6">
        <f>IF(G994="Long",I994-H994,IF(G994="Short",H994-I994,0))</f>
        <v/>
      </c>
      <c r="K994" s="7" t="n">
        <v>100</v>
      </c>
      <c r="L994" s="5" t="inlineStr">
        <is>
          <t>Loss</t>
        </is>
      </c>
      <c r="M994" s="6">
        <f>M993+J994</f>
        <v/>
      </c>
    </row>
    <row r="995">
      <c r="A995" s="2" t="inlineStr">
        <is>
          <t>2023-08-30</t>
        </is>
      </c>
      <c r="B995" s="2" t="inlineStr">
        <is>
          <t>Wednesday</t>
        </is>
      </c>
      <c r="C995" s="2" t="inlineStr">
        <is>
          <t>MNQU3</t>
        </is>
      </c>
      <c r="D995" s="3" t="n">
        <v>15447.75</v>
      </c>
      <c r="E995" s="3" t="n">
        <v>15386.5</v>
      </c>
      <c r="F995" s="3">
        <f>D995-E995</f>
        <v/>
      </c>
      <c r="G995" s="2" t="inlineStr">
        <is>
          <t>Long</t>
        </is>
      </c>
      <c r="H995" s="3" t="n">
        <v>15447.75</v>
      </c>
      <c r="I995" s="3" t="n">
        <v>15509</v>
      </c>
      <c r="J995" s="3">
        <f>IF(G995="Long",I995-H995,IF(G995="Short",H995-I995,0))</f>
        <v/>
      </c>
      <c r="K995" s="4" t="n">
        <v>34.29</v>
      </c>
      <c r="L995" s="2" t="inlineStr">
        <is>
          <t>Win</t>
        </is>
      </c>
      <c r="M995" s="3">
        <f>M994+J995</f>
        <v/>
      </c>
    </row>
    <row r="996">
      <c r="A996" s="8" t="inlineStr">
        <is>
          <t>2023-08-31</t>
        </is>
      </c>
      <c r="B996" s="8" t="inlineStr">
        <is>
          <t>Thursday</t>
        </is>
      </c>
      <c r="C996" s="8" t="inlineStr">
        <is>
          <t>MNQU3</t>
        </is>
      </c>
      <c r="D996" s="9" t="n">
        <v>15553.75</v>
      </c>
      <c r="E996" s="9" t="n">
        <v>15488.75</v>
      </c>
      <c r="F996" s="9">
        <f>D996-E996</f>
        <v/>
      </c>
      <c r="G996" s="8" t="inlineStr">
        <is>
          <t>Long</t>
        </is>
      </c>
      <c r="H996" s="9" t="n">
        <v>15553.75</v>
      </c>
      <c r="I996" s="9" t="n">
        <v>15532.25</v>
      </c>
      <c r="J996" s="9">
        <f>IF(G996="Long",I996-H996,IF(G996="Short",H996-I996,0))</f>
        <v/>
      </c>
      <c r="K996" s="10" t="n">
        <v>92.31</v>
      </c>
      <c r="L996" s="8" t="inlineStr">
        <is>
          <t>EOD-Close</t>
        </is>
      </c>
      <c r="M996" s="9">
        <f>M995+J996</f>
        <v/>
      </c>
    </row>
    <row r="997">
      <c r="A997" s="8" t="inlineStr">
        <is>
          <t>2023-09-01</t>
        </is>
      </c>
      <c r="B997" s="8" t="inlineStr">
        <is>
          <t>Friday</t>
        </is>
      </c>
      <c r="C997" s="8" t="inlineStr">
        <is>
          <t>MNQU3</t>
        </is>
      </c>
      <c r="D997" s="9" t="n">
        <v>15652</v>
      </c>
      <c r="E997" s="9" t="n">
        <v>15534</v>
      </c>
      <c r="F997" s="9">
        <f>D997-E997</f>
        <v/>
      </c>
      <c r="G997" s="8" t="inlineStr">
        <is>
          <t>Short</t>
        </is>
      </c>
      <c r="H997" s="9" t="n">
        <v>15534</v>
      </c>
      <c r="I997" s="9" t="n">
        <v>15520</v>
      </c>
      <c r="J997" s="9">
        <f>IF(G997="Long",I997-H997,IF(G997="Short",H997-I997,0))</f>
        <v/>
      </c>
      <c r="K997" s="10" t="n">
        <v>50.42</v>
      </c>
      <c r="L997" s="8" t="inlineStr">
        <is>
          <t>EOD-Close</t>
        </is>
      </c>
      <c r="M997" s="9">
        <f>M996+J997</f>
        <v/>
      </c>
    </row>
    <row r="998">
      <c r="A998" s="5" t="inlineStr">
        <is>
          <t>2023-09-04</t>
        </is>
      </c>
      <c r="B998" s="5" t="inlineStr">
        <is>
          <t>Monday</t>
        </is>
      </c>
      <c r="C998" s="5" t="inlineStr">
        <is>
          <t>MNQU3</t>
        </is>
      </c>
      <c r="D998" s="6" t="n">
        <v>15575.25</v>
      </c>
      <c r="E998" s="6" t="n">
        <v>15554.25</v>
      </c>
      <c r="F998" s="6">
        <f>D998-E998</f>
        <v/>
      </c>
      <c r="G998" s="5" t="inlineStr">
        <is>
          <t>Long</t>
        </is>
      </c>
      <c r="H998" s="6" t="n">
        <v>15575.25</v>
      </c>
      <c r="I998" s="6" t="n">
        <v>15554.25</v>
      </c>
      <c r="J998" s="6">
        <f>IF(G998="Long",I998-H998,IF(G998="Short",H998-I998,0))</f>
        <v/>
      </c>
      <c r="K998" s="7" t="n">
        <v>100</v>
      </c>
      <c r="L998" s="5" t="inlineStr">
        <is>
          <t>Loss</t>
        </is>
      </c>
      <c r="M998" s="6">
        <f>M997+J998</f>
        <v/>
      </c>
    </row>
    <row r="999">
      <c r="A999" s="2" t="inlineStr">
        <is>
          <t>2023-09-04</t>
        </is>
      </c>
      <c r="B999" s="2" t="inlineStr">
        <is>
          <t>Monday</t>
        </is>
      </c>
      <c r="C999" s="2" t="inlineStr">
        <is>
          <t>MNQU3</t>
        </is>
      </c>
      <c r="D999" s="3" t="n">
        <v>15575.25</v>
      </c>
      <c r="E999" s="3" t="n">
        <v>15554.25</v>
      </c>
      <c r="F999" s="3">
        <f>D999-E999</f>
        <v/>
      </c>
      <c r="G999" s="2" t="inlineStr">
        <is>
          <t>Short</t>
        </is>
      </c>
      <c r="H999" s="3" t="n">
        <v>15554.25</v>
      </c>
      <c r="I999" s="3" t="n">
        <v>15533.25</v>
      </c>
      <c r="J999" s="3">
        <f>IF(G999="Long",I999-H999,IF(G999="Short",H999-I999,0))</f>
        <v/>
      </c>
      <c r="K999" s="4" t="n">
        <v>0</v>
      </c>
      <c r="L999" s="2" t="inlineStr">
        <is>
          <t>Win</t>
        </is>
      </c>
      <c r="M999" s="3">
        <f>M998+J999</f>
        <v/>
      </c>
    </row>
    <row r="1000">
      <c r="A1000" s="5" t="inlineStr">
        <is>
          <t>2023-09-05</t>
        </is>
      </c>
      <c r="B1000" s="5" t="inlineStr">
        <is>
          <t>Tuesday</t>
        </is>
      </c>
      <c r="C1000" s="5" t="inlineStr">
        <is>
          <t>MNQU3</t>
        </is>
      </c>
      <c r="D1000" s="6" t="n">
        <v>15506.5</v>
      </c>
      <c r="E1000" s="6" t="n">
        <v>15449.75</v>
      </c>
      <c r="F1000" s="6">
        <f>D1000-E1000</f>
        <v/>
      </c>
      <c r="G1000" s="5" t="inlineStr">
        <is>
          <t>Short</t>
        </is>
      </c>
      <c r="H1000" s="6" t="n">
        <v>15449.75</v>
      </c>
      <c r="I1000" s="6" t="n">
        <v>15506.5</v>
      </c>
      <c r="J1000" s="6">
        <f>IF(G1000="Long",I1000-H1000,IF(G1000="Short",H1000-I1000,0))</f>
        <v/>
      </c>
      <c r="K1000" s="7" t="n">
        <v>100</v>
      </c>
      <c r="L1000" s="5" t="inlineStr">
        <is>
          <t>Loss</t>
        </is>
      </c>
      <c r="M1000" s="6">
        <f>M999+J1000</f>
        <v/>
      </c>
    </row>
    <row r="1001">
      <c r="A1001" s="2" t="inlineStr">
        <is>
          <t>2023-09-05</t>
        </is>
      </c>
      <c r="B1001" s="2" t="inlineStr">
        <is>
          <t>Tuesday</t>
        </is>
      </c>
      <c r="C1001" s="2" t="inlineStr">
        <is>
          <t>MNQU3</t>
        </is>
      </c>
      <c r="D1001" s="3" t="n">
        <v>15506.5</v>
      </c>
      <c r="E1001" s="3" t="n">
        <v>15449.75</v>
      </c>
      <c r="F1001" s="3">
        <f>D1001-E1001</f>
        <v/>
      </c>
      <c r="G1001" s="2" t="inlineStr">
        <is>
          <t>Long</t>
        </is>
      </c>
      <c r="H1001" s="3" t="n">
        <v>15506.5</v>
      </c>
      <c r="I1001" s="3" t="n">
        <v>15563.25</v>
      </c>
      <c r="J1001" s="3">
        <f>IF(G1001="Long",I1001-H1001,IF(G1001="Short",H1001-I1001,0))</f>
        <v/>
      </c>
      <c r="K1001" s="4" t="n">
        <v>51.98</v>
      </c>
      <c r="L1001" s="2" t="inlineStr">
        <is>
          <t>Win</t>
        </is>
      </c>
      <c r="M1001" s="3">
        <f>M1000+J1001</f>
        <v/>
      </c>
    </row>
    <row r="1002">
      <c r="A1002" s="2" t="inlineStr">
        <is>
          <t>2023-09-06</t>
        </is>
      </c>
      <c r="B1002" s="2" t="inlineStr">
        <is>
          <t>Wednesday</t>
        </is>
      </c>
      <c r="C1002" s="2" t="inlineStr">
        <is>
          <t>MNQU3</t>
        </is>
      </c>
      <c r="D1002" s="3" t="n">
        <v>15507.25</v>
      </c>
      <c r="E1002" s="3" t="n">
        <v>15460.25</v>
      </c>
      <c r="F1002" s="3">
        <f>D1002-E1002</f>
        <v/>
      </c>
      <c r="G1002" s="2" t="inlineStr">
        <is>
          <t>Short</t>
        </is>
      </c>
      <c r="H1002" s="3" t="n">
        <v>15460.25</v>
      </c>
      <c r="I1002" s="3" t="n">
        <v>15413.25</v>
      </c>
      <c r="J1002" s="3">
        <f>IF(G1002="Long",I1002-H1002,IF(G1002="Short",H1002-I1002,0))</f>
        <v/>
      </c>
      <c r="K1002" s="4" t="n">
        <v>0</v>
      </c>
      <c r="L1002" s="2" t="inlineStr">
        <is>
          <t>Win</t>
        </is>
      </c>
      <c r="M1002" s="3">
        <f>M1001+J1002</f>
        <v/>
      </c>
    </row>
    <row r="1003">
      <c r="A1003" s="8" t="inlineStr">
        <is>
          <t>2023-09-07</t>
        </is>
      </c>
      <c r="B1003" s="8" t="inlineStr">
        <is>
          <t>Thursday</t>
        </is>
      </c>
      <c r="C1003" s="8" t="inlineStr">
        <is>
          <t>MNQU3</t>
        </is>
      </c>
      <c r="D1003" s="9" t="n">
        <v>15240.75</v>
      </c>
      <c r="E1003" s="9" t="n">
        <v>15157.5</v>
      </c>
      <c r="F1003" s="9">
        <f>D1003-E1003</f>
        <v/>
      </c>
      <c r="G1003" s="8" t="inlineStr">
        <is>
          <t>Long</t>
        </is>
      </c>
      <c r="H1003" s="9" t="n">
        <v>15240.75</v>
      </c>
      <c r="I1003" s="9" t="n">
        <v>15277</v>
      </c>
      <c r="J1003" s="9">
        <f>IF(G1003="Long",I1003-H1003,IF(G1003="Short",H1003-I1003,0))</f>
        <v/>
      </c>
      <c r="K1003" s="10" t="n">
        <v>52.25</v>
      </c>
      <c r="L1003" s="8" t="inlineStr">
        <is>
          <t>EOD-Close</t>
        </is>
      </c>
      <c r="M1003" s="9">
        <f>M1002+J1003</f>
        <v/>
      </c>
    </row>
    <row r="1004">
      <c r="A1004" s="5" t="inlineStr">
        <is>
          <t>2023-09-08</t>
        </is>
      </c>
      <c r="B1004" s="5" t="inlineStr">
        <is>
          <t>Friday</t>
        </is>
      </c>
      <c r="C1004" s="5" t="inlineStr">
        <is>
          <t>MNQU3</t>
        </is>
      </c>
      <c r="D1004" s="6" t="n">
        <v>15359</v>
      </c>
      <c r="E1004" s="6" t="n">
        <v>15270.5</v>
      </c>
      <c r="F1004" s="6">
        <f>D1004-E1004</f>
        <v/>
      </c>
      <c r="G1004" s="5" t="inlineStr">
        <is>
          <t>Long</t>
        </is>
      </c>
      <c r="H1004" s="6" t="n">
        <v>15359</v>
      </c>
      <c r="I1004" s="6" t="n">
        <v>15270.5</v>
      </c>
      <c r="J1004" s="6">
        <f>IF(G1004="Long",I1004-H1004,IF(G1004="Short",H1004-I1004,0))</f>
        <v/>
      </c>
      <c r="K1004" s="7" t="n">
        <v>100</v>
      </c>
      <c r="L1004" s="5" t="inlineStr">
        <is>
          <t>Loss</t>
        </is>
      </c>
      <c r="M1004" s="6">
        <f>M1003+J1004</f>
        <v/>
      </c>
    </row>
    <row r="1005">
      <c r="A1005" s="8" t="inlineStr">
        <is>
          <t>2023-09-08</t>
        </is>
      </c>
      <c r="B1005" s="8" t="inlineStr">
        <is>
          <t>Friday</t>
        </is>
      </c>
      <c r="C1005" s="8" t="inlineStr">
        <is>
          <t>MNQU3</t>
        </is>
      </c>
      <c r="D1005" s="9" t="n">
        <v>15359</v>
      </c>
      <c r="E1005" s="9" t="n">
        <v>15270.5</v>
      </c>
      <c r="F1005" s="9">
        <f>D1005-E1005</f>
        <v/>
      </c>
      <c r="G1005" s="8" t="inlineStr">
        <is>
          <t>Short</t>
        </is>
      </c>
      <c r="H1005" s="9" t="n">
        <v>15270.5</v>
      </c>
      <c r="I1005" s="9" t="n">
        <v>15295.25</v>
      </c>
      <c r="J1005" s="9">
        <f>IF(G1005="Long",I1005-H1005,IF(G1005="Short",H1005-I1005,0))</f>
        <v/>
      </c>
      <c r="K1005" s="10" t="n">
        <v>34.18</v>
      </c>
      <c r="L1005" s="8" t="inlineStr">
        <is>
          <t>EOD-Close</t>
        </is>
      </c>
      <c r="M1005" s="9">
        <f>M1004+J1005</f>
        <v/>
      </c>
    </row>
    <row r="1006">
      <c r="A1006" s="5" t="inlineStr">
        <is>
          <t>2023-09-11</t>
        </is>
      </c>
      <c r="B1006" s="5" t="inlineStr">
        <is>
          <t>Monday</t>
        </is>
      </c>
      <c r="C1006" s="5" t="inlineStr">
        <is>
          <t>MNQZ3</t>
        </is>
      </c>
      <c r="D1006" s="6" t="n">
        <v>15647</v>
      </c>
      <c r="E1006" s="6" t="n">
        <v>15573</v>
      </c>
      <c r="F1006" s="6">
        <f>D1006-E1006</f>
        <v/>
      </c>
      <c r="G1006" s="5" t="inlineStr">
        <is>
          <t>Short</t>
        </is>
      </c>
      <c r="H1006" s="6" t="n">
        <v>15573</v>
      </c>
      <c r="I1006" s="6" t="n">
        <v>15647</v>
      </c>
      <c r="J1006" s="6">
        <f>IF(G1006="Long",I1006-H1006,IF(G1006="Short",H1006-I1006,0))</f>
        <v/>
      </c>
      <c r="K1006" s="7" t="n">
        <v>100</v>
      </c>
      <c r="L1006" s="5" t="inlineStr">
        <is>
          <t>Loss</t>
        </is>
      </c>
      <c r="M1006" s="6">
        <f>M1005+J1006</f>
        <v/>
      </c>
    </row>
    <row r="1007">
      <c r="A1007" s="8" t="inlineStr">
        <is>
          <t>2023-09-11</t>
        </is>
      </c>
      <c r="B1007" s="8" t="inlineStr">
        <is>
          <t>Monday</t>
        </is>
      </c>
      <c r="C1007" s="8" t="inlineStr">
        <is>
          <t>MNQZ3</t>
        </is>
      </c>
      <c r="D1007" s="9" t="n">
        <v>15647</v>
      </c>
      <c r="E1007" s="9" t="n">
        <v>15573</v>
      </c>
      <c r="F1007" s="9">
        <f>D1007-E1007</f>
        <v/>
      </c>
      <c r="G1007" s="8" t="inlineStr">
        <is>
          <t>Long</t>
        </is>
      </c>
      <c r="H1007" s="9" t="n">
        <v>15647</v>
      </c>
      <c r="I1007" s="9" t="n">
        <v>15674.25</v>
      </c>
      <c r="J1007" s="9">
        <f>IF(G1007="Long",I1007-H1007,IF(G1007="Short",H1007-I1007,0))</f>
        <v/>
      </c>
      <c r="K1007" s="10" t="n">
        <v>6.08</v>
      </c>
      <c r="L1007" s="8" t="inlineStr">
        <is>
          <t>EOD-Close</t>
        </is>
      </c>
      <c r="M1007" s="9">
        <f>M1006+J1007</f>
        <v/>
      </c>
    </row>
    <row r="1008">
      <c r="A1008" s="5" t="inlineStr">
        <is>
          <t>2023-09-12</t>
        </is>
      </c>
      <c r="B1008" s="5" t="inlineStr">
        <is>
          <t>Tuesday</t>
        </is>
      </c>
      <c r="C1008" s="5" t="inlineStr">
        <is>
          <t>MNQZ3</t>
        </is>
      </c>
      <c r="D1008" s="6" t="n">
        <v>15644.75</v>
      </c>
      <c r="E1008" s="6" t="n">
        <v>15583.75</v>
      </c>
      <c r="F1008" s="6">
        <f>D1008-E1008</f>
        <v/>
      </c>
      <c r="G1008" s="5" t="inlineStr">
        <is>
          <t>Long</t>
        </is>
      </c>
      <c r="H1008" s="6" t="n">
        <v>15644.75</v>
      </c>
      <c r="I1008" s="6" t="n">
        <v>15583.75</v>
      </c>
      <c r="J1008" s="6">
        <f>IF(G1008="Long",I1008-H1008,IF(G1008="Short",H1008-I1008,0))</f>
        <v/>
      </c>
      <c r="K1008" s="7" t="n">
        <v>100</v>
      </c>
      <c r="L1008" s="5" t="inlineStr">
        <is>
          <t>Loss</t>
        </is>
      </c>
      <c r="M1008" s="6">
        <f>M1007+J1008</f>
        <v/>
      </c>
    </row>
    <row r="1009">
      <c r="A1009" s="2" t="inlineStr">
        <is>
          <t>2023-09-12</t>
        </is>
      </c>
      <c r="B1009" s="2" t="inlineStr">
        <is>
          <t>Tuesday</t>
        </is>
      </c>
      <c r="C1009" s="2" t="inlineStr">
        <is>
          <t>MNQZ3</t>
        </is>
      </c>
      <c r="D1009" s="3" t="n">
        <v>15644.75</v>
      </c>
      <c r="E1009" s="3" t="n">
        <v>15583.75</v>
      </c>
      <c r="F1009" s="3">
        <f>D1009-E1009</f>
        <v/>
      </c>
      <c r="G1009" s="2" t="inlineStr">
        <is>
          <t>Short</t>
        </is>
      </c>
      <c r="H1009" s="3" t="n">
        <v>15583.75</v>
      </c>
      <c r="I1009" s="3" t="n">
        <v>15522.75</v>
      </c>
      <c r="J1009" s="3">
        <f>IF(G1009="Long",I1009-H1009,IF(G1009="Short",H1009-I1009,0))</f>
        <v/>
      </c>
      <c r="K1009" s="4" t="n">
        <v>21.31</v>
      </c>
      <c r="L1009" s="2" t="inlineStr">
        <is>
          <t>Win</t>
        </is>
      </c>
      <c r="M1009" s="3">
        <f>M1008+J1009</f>
        <v/>
      </c>
    </row>
    <row r="1010">
      <c r="A1010" s="5" t="inlineStr">
        <is>
          <t>2023-09-13</t>
        </is>
      </c>
      <c r="B1010" s="5" t="inlineStr">
        <is>
          <t>Wednesday</t>
        </is>
      </c>
      <c r="C1010" s="5" t="inlineStr">
        <is>
          <t>MNQZ3</t>
        </is>
      </c>
      <c r="D1010" s="6" t="n">
        <v>15561.75</v>
      </c>
      <c r="E1010" s="6" t="n">
        <v>15493.5</v>
      </c>
      <c r="F1010" s="6">
        <f>D1010-E1010</f>
        <v/>
      </c>
      <c r="G1010" s="5" t="inlineStr">
        <is>
          <t>Short</t>
        </is>
      </c>
      <c r="H1010" s="6" t="n">
        <v>15493.5</v>
      </c>
      <c r="I1010" s="6" t="n">
        <v>15561.75</v>
      </c>
      <c r="J1010" s="6">
        <f>IF(G1010="Long",I1010-H1010,IF(G1010="Short",H1010-I1010,0))</f>
        <v/>
      </c>
      <c r="K1010" s="7" t="n">
        <v>100</v>
      </c>
      <c r="L1010" s="5" t="inlineStr">
        <is>
          <t>Loss</t>
        </is>
      </c>
      <c r="M1010" s="6">
        <f>M1009+J1010</f>
        <v/>
      </c>
    </row>
    <row r="1011">
      <c r="A1011" s="8" t="inlineStr">
        <is>
          <t>2023-09-13</t>
        </is>
      </c>
      <c r="B1011" s="8" t="inlineStr">
        <is>
          <t>Wednesday</t>
        </is>
      </c>
      <c r="C1011" s="8" t="inlineStr">
        <is>
          <t>MNQZ3</t>
        </is>
      </c>
      <c r="D1011" s="9" t="n">
        <v>15561.75</v>
      </c>
      <c r="E1011" s="9" t="n">
        <v>15493.5</v>
      </c>
      <c r="F1011" s="9">
        <f>D1011-E1011</f>
        <v/>
      </c>
      <c r="G1011" s="8" t="inlineStr">
        <is>
          <t>Long</t>
        </is>
      </c>
      <c r="H1011" s="9" t="n">
        <v>15561.75</v>
      </c>
      <c r="I1011" s="9" t="n">
        <v>15554.75</v>
      </c>
      <c r="J1011" s="9">
        <f>IF(G1011="Long",I1011-H1011,IF(G1011="Short",H1011-I1011,0))</f>
        <v/>
      </c>
      <c r="K1011" s="10" t="n">
        <v>78.39</v>
      </c>
      <c r="L1011" s="8" t="inlineStr">
        <is>
          <t>EOD-Close</t>
        </is>
      </c>
      <c r="M1011" s="9">
        <f>M1010+J1011</f>
        <v/>
      </c>
    </row>
    <row r="1012">
      <c r="A1012" s="5" t="inlineStr">
        <is>
          <t>2023-09-14</t>
        </is>
      </c>
      <c r="B1012" s="5" t="inlineStr">
        <is>
          <t>Thursday</t>
        </is>
      </c>
      <c r="C1012" s="5" t="inlineStr">
        <is>
          <t>MNQZ3</t>
        </is>
      </c>
      <c r="D1012" s="6" t="n">
        <v>15638.75</v>
      </c>
      <c r="E1012" s="6" t="n">
        <v>15582.5</v>
      </c>
      <c r="F1012" s="6">
        <f>D1012-E1012</f>
        <v/>
      </c>
      <c r="G1012" s="5" t="inlineStr">
        <is>
          <t>Short</t>
        </is>
      </c>
      <c r="H1012" s="6" t="n">
        <v>15582.5</v>
      </c>
      <c r="I1012" s="6" t="n">
        <v>15638.75</v>
      </c>
      <c r="J1012" s="6">
        <f>IF(G1012="Long",I1012-H1012,IF(G1012="Short",H1012-I1012,0))</f>
        <v/>
      </c>
      <c r="K1012" s="7" t="n">
        <v>100</v>
      </c>
      <c r="L1012" s="5" t="inlineStr">
        <is>
          <t>Loss</t>
        </is>
      </c>
      <c r="M1012" s="6">
        <f>M1011+J1012</f>
        <v/>
      </c>
    </row>
    <row r="1013">
      <c r="A1013" s="2" t="inlineStr">
        <is>
          <t>2023-09-14</t>
        </is>
      </c>
      <c r="B1013" s="2" t="inlineStr">
        <is>
          <t>Thursday</t>
        </is>
      </c>
      <c r="C1013" s="2" t="inlineStr">
        <is>
          <t>MNQZ3</t>
        </is>
      </c>
      <c r="D1013" s="3" t="n">
        <v>15638.75</v>
      </c>
      <c r="E1013" s="3" t="n">
        <v>15582.5</v>
      </c>
      <c r="F1013" s="3">
        <f>D1013-E1013</f>
        <v/>
      </c>
      <c r="G1013" s="2" t="inlineStr">
        <is>
          <t>Long</t>
        </is>
      </c>
      <c r="H1013" s="3" t="n">
        <v>15638.75</v>
      </c>
      <c r="I1013" s="3" t="n">
        <v>15695</v>
      </c>
      <c r="J1013" s="3">
        <f>IF(G1013="Long",I1013-H1013,IF(G1013="Short",H1013-I1013,0))</f>
        <v/>
      </c>
      <c r="K1013" s="4" t="n">
        <v>20.89</v>
      </c>
      <c r="L1013" s="2" t="inlineStr">
        <is>
          <t>Win</t>
        </is>
      </c>
      <c r="M1013" s="3">
        <f>M1012+J1013</f>
        <v/>
      </c>
    </row>
    <row r="1014">
      <c r="A1014" s="2" t="inlineStr">
        <is>
          <t>2023-09-15</t>
        </is>
      </c>
      <c r="B1014" s="2" t="inlineStr">
        <is>
          <t>Friday</t>
        </is>
      </c>
      <c r="C1014" s="2" t="inlineStr">
        <is>
          <t>MNQZ3</t>
        </is>
      </c>
      <c r="D1014" s="3" t="n">
        <v>15627.75</v>
      </c>
      <c r="E1014" s="3" t="n">
        <v>15520.25</v>
      </c>
      <c r="F1014" s="3">
        <f>D1014-E1014</f>
        <v/>
      </c>
      <c r="G1014" s="2" t="inlineStr">
        <is>
          <t>Short</t>
        </is>
      </c>
      <c r="H1014" s="3" t="n">
        <v>15520.25</v>
      </c>
      <c r="I1014" s="3" t="n">
        <v>15412.75</v>
      </c>
      <c r="J1014" s="3">
        <f>IF(G1014="Long",I1014-H1014,IF(G1014="Short",H1014-I1014,0))</f>
        <v/>
      </c>
      <c r="K1014" s="4" t="n">
        <v>11.16</v>
      </c>
      <c r="L1014" s="2" t="inlineStr">
        <is>
          <t>Win</t>
        </is>
      </c>
      <c r="M1014" s="3">
        <f>M1013+J1014</f>
        <v/>
      </c>
    </row>
    <row r="1015">
      <c r="A1015" s="8" t="inlineStr">
        <is>
          <t>2023-09-18</t>
        </is>
      </c>
      <c r="B1015" s="8" t="inlineStr">
        <is>
          <t>Monday</t>
        </is>
      </c>
      <c r="C1015" s="8" t="inlineStr">
        <is>
          <t>MNQZ3</t>
        </is>
      </c>
      <c r="D1015" s="9" t="n">
        <v>15435</v>
      </c>
      <c r="E1015" s="9" t="n">
        <v>15343.25</v>
      </c>
      <c r="F1015" s="9">
        <f>D1015-E1015</f>
        <v/>
      </c>
      <c r="G1015" s="8" t="inlineStr">
        <is>
          <t>Long</t>
        </is>
      </c>
      <c r="H1015" s="9" t="n">
        <v>15435</v>
      </c>
      <c r="I1015" s="9" t="n">
        <v>15413.25</v>
      </c>
      <c r="J1015" s="9">
        <f>IF(G1015="Long",I1015-H1015,IF(G1015="Short",H1015-I1015,0))</f>
        <v/>
      </c>
      <c r="K1015" s="10" t="n">
        <v>60.76</v>
      </c>
      <c r="L1015" s="8" t="inlineStr">
        <is>
          <t>EOD-Close</t>
        </is>
      </c>
      <c r="M1015" s="9">
        <f>M1014+J1015</f>
        <v/>
      </c>
    </row>
    <row r="1016">
      <c r="A1016" s="2" t="inlineStr">
        <is>
          <t>2023-09-19</t>
        </is>
      </c>
      <c r="B1016" s="2" t="inlineStr">
        <is>
          <t>Tuesday</t>
        </is>
      </c>
      <c r="C1016" s="2" t="inlineStr">
        <is>
          <t>MNQZ3</t>
        </is>
      </c>
      <c r="D1016" s="3" t="n">
        <v>15373.25</v>
      </c>
      <c r="E1016" s="3" t="n">
        <v>15324</v>
      </c>
      <c r="F1016" s="3">
        <f>D1016-E1016</f>
        <v/>
      </c>
      <c r="G1016" s="2" t="inlineStr">
        <is>
          <t>Short</t>
        </is>
      </c>
      <c r="H1016" s="3" t="n">
        <v>15324</v>
      </c>
      <c r="I1016" s="3" t="n">
        <v>15274.75</v>
      </c>
      <c r="J1016" s="3">
        <f>IF(G1016="Long",I1016-H1016,IF(G1016="Short",H1016-I1016,0))</f>
        <v/>
      </c>
      <c r="K1016" s="4" t="n">
        <v>0</v>
      </c>
      <c r="L1016" s="2" t="inlineStr">
        <is>
          <t>Win</t>
        </is>
      </c>
      <c r="M1016" s="3">
        <f>M1015+J1016</f>
        <v/>
      </c>
    </row>
    <row r="1017">
      <c r="A1017" s="5" t="inlineStr">
        <is>
          <t>2023-09-19</t>
        </is>
      </c>
      <c r="B1017" s="5" t="inlineStr">
        <is>
          <t>Tuesday</t>
        </is>
      </c>
      <c r="C1017" s="5" t="inlineStr">
        <is>
          <t>MNQZ3</t>
        </is>
      </c>
      <c r="D1017" s="6" t="n">
        <v>15373.25</v>
      </c>
      <c r="E1017" s="6" t="n">
        <v>15324</v>
      </c>
      <c r="F1017" s="6">
        <f>D1017-E1017</f>
        <v/>
      </c>
      <c r="G1017" s="5" t="inlineStr">
        <is>
          <t>Short</t>
        </is>
      </c>
      <c r="H1017" s="6" t="n">
        <v>15324</v>
      </c>
      <c r="I1017" s="6" t="n">
        <v>15373.25</v>
      </c>
      <c r="J1017" s="6">
        <f>IF(G1017="Long",I1017-H1017,IF(G1017="Short",H1017-I1017,0))</f>
        <v/>
      </c>
      <c r="K1017" s="7" t="n">
        <v>100</v>
      </c>
      <c r="L1017" s="5" t="inlineStr">
        <is>
          <t>Loss</t>
        </is>
      </c>
      <c r="M1017" s="6">
        <f>M1016+J1017</f>
        <v/>
      </c>
    </row>
    <row r="1018">
      <c r="A1018" s="2" t="inlineStr">
        <is>
          <t>2023-09-20</t>
        </is>
      </c>
      <c r="B1018" s="2" t="inlineStr">
        <is>
          <t>Wednesday</t>
        </is>
      </c>
      <c r="C1018" s="2" t="inlineStr">
        <is>
          <t>MNQZ3</t>
        </is>
      </c>
      <c r="D1018" s="3" t="n">
        <v>15430.25</v>
      </c>
      <c r="E1018" s="3" t="n">
        <v>15375</v>
      </c>
      <c r="F1018" s="3">
        <f>D1018-E1018</f>
        <v/>
      </c>
      <c r="G1018" s="2" t="inlineStr">
        <is>
          <t>Short</t>
        </is>
      </c>
      <c r="H1018" s="3" t="n">
        <v>15375</v>
      </c>
      <c r="I1018" s="3" t="n">
        <v>15319.75</v>
      </c>
      <c r="J1018" s="3">
        <f>IF(G1018="Long",I1018-H1018,IF(G1018="Short",H1018-I1018,0))</f>
        <v/>
      </c>
      <c r="K1018" s="4" t="n">
        <v>30.77</v>
      </c>
      <c r="L1018" s="2" t="inlineStr">
        <is>
          <t>Win</t>
        </is>
      </c>
      <c r="M1018" s="3">
        <f>M1017+J1018</f>
        <v/>
      </c>
    </row>
    <row r="1019">
      <c r="A1019" s="2" t="inlineStr">
        <is>
          <t>2023-09-20</t>
        </is>
      </c>
      <c r="B1019" s="2" t="inlineStr">
        <is>
          <t>Wednesday</t>
        </is>
      </c>
      <c r="C1019" s="2" t="inlineStr">
        <is>
          <t>MNQZ3</t>
        </is>
      </c>
      <c r="D1019" s="3" t="n">
        <v>15430.25</v>
      </c>
      <c r="E1019" s="3" t="n">
        <v>15375</v>
      </c>
      <c r="F1019" s="3">
        <f>D1019-E1019</f>
        <v/>
      </c>
      <c r="G1019" s="2" t="inlineStr">
        <is>
          <t>Short</t>
        </is>
      </c>
      <c r="H1019" s="3" t="n">
        <v>15375</v>
      </c>
      <c r="I1019" s="3" t="n">
        <v>15319.75</v>
      </c>
      <c r="J1019" s="3">
        <f>IF(G1019="Long",I1019-H1019,IF(G1019="Short",H1019-I1019,0))</f>
        <v/>
      </c>
      <c r="K1019" s="4" t="n">
        <v>28.51</v>
      </c>
      <c r="L1019" s="2" t="inlineStr">
        <is>
          <t>Win</t>
        </is>
      </c>
      <c r="M1019" s="3">
        <f>M1018+J1019</f>
        <v/>
      </c>
    </row>
    <row r="1020">
      <c r="A1020" s="2" t="inlineStr">
        <is>
          <t>2023-09-21</t>
        </is>
      </c>
      <c r="B1020" s="2" t="inlineStr">
        <is>
          <t>Thursday</t>
        </is>
      </c>
      <c r="C1020" s="2" t="inlineStr">
        <is>
          <t>MNQZ3</t>
        </is>
      </c>
      <c r="D1020" s="3" t="n">
        <v>15020</v>
      </c>
      <c r="E1020" s="3" t="n">
        <v>14974.5</v>
      </c>
      <c r="F1020" s="3">
        <f>D1020-E1020</f>
        <v/>
      </c>
      <c r="G1020" s="2" t="inlineStr">
        <is>
          <t>Short</t>
        </is>
      </c>
      <c r="H1020" s="3" t="n">
        <v>14974.5</v>
      </c>
      <c r="I1020" s="3" t="n">
        <v>14929</v>
      </c>
      <c r="J1020" s="3">
        <f>IF(G1020="Long",I1020-H1020,IF(G1020="Short",H1020-I1020,0))</f>
        <v/>
      </c>
      <c r="K1020" s="4" t="n">
        <v>0</v>
      </c>
      <c r="L1020" s="2" t="inlineStr">
        <is>
          <t>Win</t>
        </is>
      </c>
      <c r="M1020" s="3">
        <f>M1019+J1020</f>
        <v/>
      </c>
    </row>
    <row r="1021">
      <c r="A1021" s="2" t="inlineStr">
        <is>
          <t>2023-09-21</t>
        </is>
      </c>
      <c r="B1021" s="2" t="inlineStr">
        <is>
          <t>Thursday</t>
        </is>
      </c>
      <c r="C1021" s="2" t="inlineStr">
        <is>
          <t>MNQZ3</t>
        </is>
      </c>
      <c r="D1021" s="3" t="n">
        <v>15020</v>
      </c>
      <c r="E1021" s="3" t="n">
        <v>14974.5</v>
      </c>
      <c r="F1021" s="3">
        <f>D1021-E1021</f>
        <v/>
      </c>
      <c r="G1021" s="2" t="inlineStr">
        <is>
          <t>Short</t>
        </is>
      </c>
      <c r="H1021" s="3" t="n">
        <v>14974.5</v>
      </c>
      <c r="I1021" s="3" t="n">
        <v>14929</v>
      </c>
      <c r="J1021" s="3">
        <f>IF(G1021="Long",I1021-H1021,IF(G1021="Short",H1021-I1021,0))</f>
        <v/>
      </c>
      <c r="K1021" s="4" t="n">
        <v>6.59</v>
      </c>
      <c r="L1021" s="2" t="inlineStr">
        <is>
          <t>Win</t>
        </is>
      </c>
      <c r="M1021" s="3">
        <f>M1020+J1021</f>
        <v/>
      </c>
    </row>
    <row r="1022">
      <c r="A1022" s="2" t="inlineStr">
        <is>
          <t>2023-09-22</t>
        </is>
      </c>
      <c r="B1022" s="2" t="inlineStr">
        <is>
          <t>Friday</t>
        </is>
      </c>
      <c r="C1022" s="2" t="inlineStr">
        <is>
          <t>MNQZ3</t>
        </is>
      </c>
      <c r="D1022" s="3" t="n">
        <v>14941.5</v>
      </c>
      <c r="E1022" s="3" t="n">
        <v>14888</v>
      </c>
      <c r="F1022" s="3">
        <f>D1022-E1022</f>
        <v/>
      </c>
      <c r="G1022" s="2" t="inlineStr">
        <is>
          <t>Long</t>
        </is>
      </c>
      <c r="H1022" s="3" t="n">
        <v>14941.5</v>
      </c>
      <c r="I1022" s="3" t="n">
        <v>14995</v>
      </c>
      <c r="J1022" s="3">
        <f>IF(G1022="Long",I1022-H1022,IF(G1022="Short",H1022-I1022,0))</f>
        <v/>
      </c>
      <c r="K1022" s="4" t="n">
        <v>55.61</v>
      </c>
      <c r="L1022" s="2" t="inlineStr">
        <is>
          <t>Win</t>
        </is>
      </c>
      <c r="M1022" s="3">
        <f>M1021+J1022</f>
        <v/>
      </c>
    </row>
    <row r="1023">
      <c r="A1023" s="5" t="inlineStr">
        <is>
          <t>2023-09-22</t>
        </is>
      </c>
      <c r="B1023" s="5" t="inlineStr">
        <is>
          <t>Friday</t>
        </is>
      </c>
      <c r="C1023" s="5" t="inlineStr">
        <is>
          <t>MNQZ3</t>
        </is>
      </c>
      <c r="D1023" s="6" t="n">
        <v>14941.5</v>
      </c>
      <c r="E1023" s="6" t="n">
        <v>14888</v>
      </c>
      <c r="F1023" s="6">
        <f>D1023-E1023</f>
        <v/>
      </c>
      <c r="G1023" s="5" t="inlineStr">
        <is>
          <t>Long</t>
        </is>
      </c>
      <c r="H1023" s="6" t="n">
        <v>14941.5</v>
      </c>
      <c r="I1023" s="6" t="n">
        <v>14888</v>
      </c>
      <c r="J1023" s="6">
        <f>IF(G1023="Long",I1023-H1023,IF(G1023="Short",H1023-I1023,0))</f>
        <v/>
      </c>
      <c r="K1023" s="7" t="n">
        <v>100</v>
      </c>
      <c r="L1023" s="5" t="inlineStr">
        <is>
          <t>Loss</t>
        </is>
      </c>
      <c r="M1023" s="6">
        <f>M1022+J1023</f>
        <v/>
      </c>
    </row>
    <row r="1024">
      <c r="A1024" s="8" t="inlineStr">
        <is>
          <t>2023-09-25</t>
        </is>
      </c>
      <c r="B1024" s="8" t="inlineStr">
        <is>
          <t>Monday</t>
        </is>
      </c>
      <c r="C1024" s="8" t="inlineStr">
        <is>
          <t>MNQZ3</t>
        </is>
      </c>
      <c r="D1024" s="9" t="n">
        <v>14867.25</v>
      </c>
      <c r="E1024" s="9" t="n">
        <v>14782.5</v>
      </c>
      <c r="F1024" s="9">
        <f>D1024-E1024</f>
        <v/>
      </c>
      <c r="G1024" s="8" t="inlineStr">
        <is>
          <t>Long</t>
        </is>
      </c>
      <c r="H1024" s="9" t="n">
        <v>14867.25</v>
      </c>
      <c r="I1024" s="9" t="n">
        <v>14936.75</v>
      </c>
      <c r="J1024" s="9">
        <f>IF(G1024="Long",I1024-H1024,IF(G1024="Short",H1024-I1024,0))</f>
        <v/>
      </c>
      <c r="K1024" s="10" t="n">
        <v>63.13</v>
      </c>
      <c r="L1024" s="8" t="inlineStr">
        <is>
          <t>EOD-Close</t>
        </is>
      </c>
      <c r="M1024" s="9">
        <f>M1023+J1024</f>
        <v/>
      </c>
    </row>
    <row r="1025">
      <c r="A1025" s="2" t="inlineStr">
        <is>
          <t>2023-09-26</t>
        </is>
      </c>
      <c r="B1025" s="2" t="inlineStr">
        <is>
          <t>Tuesday</t>
        </is>
      </c>
      <c r="C1025" s="2" t="inlineStr">
        <is>
          <t>MNQZ3</t>
        </is>
      </c>
      <c r="D1025" s="3" t="n">
        <v>14846</v>
      </c>
      <c r="E1025" s="3" t="n">
        <v>14802.75</v>
      </c>
      <c r="F1025" s="3">
        <f>D1025-E1025</f>
        <v/>
      </c>
      <c r="G1025" s="2" t="inlineStr">
        <is>
          <t>Short</t>
        </is>
      </c>
      <c r="H1025" s="3" t="n">
        <v>14802.75</v>
      </c>
      <c r="I1025" s="3" t="n">
        <v>14759.5</v>
      </c>
      <c r="J1025" s="3">
        <f>IF(G1025="Long",I1025-H1025,IF(G1025="Short",H1025-I1025,0))</f>
        <v/>
      </c>
      <c r="K1025" s="4" t="n">
        <v>0</v>
      </c>
      <c r="L1025" s="2" t="inlineStr">
        <is>
          <t>Win</t>
        </is>
      </c>
      <c r="M1025" s="3">
        <f>M1024+J1025</f>
        <v/>
      </c>
    </row>
    <row r="1026">
      <c r="A1026" s="2" t="inlineStr">
        <is>
          <t>2023-09-26</t>
        </is>
      </c>
      <c r="B1026" s="2" t="inlineStr">
        <is>
          <t>Tuesday</t>
        </is>
      </c>
      <c r="C1026" s="2" t="inlineStr">
        <is>
          <t>MNQZ3</t>
        </is>
      </c>
      <c r="D1026" s="3" t="n">
        <v>14846</v>
      </c>
      <c r="E1026" s="3" t="n">
        <v>14802.75</v>
      </c>
      <c r="F1026" s="3">
        <f>D1026-E1026</f>
        <v/>
      </c>
      <c r="G1026" s="2" t="inlineStr">
        <is>
          <t>Short</t>
        </is>
      </c>
      <c r="H1026" s="3" t="n">
        <v>14802.75</v>
      </c>
      <c r="I1026" s="3" t="n">
        <v>14759.5</v>
      </c>
      <c r="J1026" s="3">
        <f>IF(G1026="Long",I1026-H1026,IF(G1026="Short",H1026-I1026,0))</f>
        <v/>
      </c>
      <c r="K1026" s="4" t="n">
        <v>6.94</v>
      </c>
      <c r="L1026" s="2" t="inlineStr">
        <is>
          <t>Win</t>
        </is>
      </c>
      <c r="M1026" s="3">
        <f>M1025+J1026</f>
        <v/>
      </c>
    </row>
    <row r="1027">
      <c r="A1027" s="2" t="inlineStr">
        <is>
          <t>2023-09-27</t>
        </is>
      </c>
      <c r="B1027" s="2" t="inlineStr">
        <is>
          <t>Wednesday</t>
        </is>
      </c>
      <c r="C1027" s="2" t="inlineStr">
        <is>
          <t>MNQZ3</t>
        </is>
      </c>
      <c r="D1027" s="3" t="n">
        <v>14793.25</v>
      </c>
      <c r="E1027" s="3" t="n">
        <v>14749.25</v>
      </c>
      <c r="F1027" s="3">
        <f>D1027-E1027</f>
        <v/>
      </c>
      <c r="G1027" s="2" t="inlineStr">
        <is>
          <t>Short</t>
        </is>
      </c>
      <c r="H1027" s="3" t="n">
        <v>14749.25</v>
      </c>
      <c r="I1027" s="3" t="n">
        <v>14705.25</v>
      </c>
      <c r="J1027" s="3">
        <f>IF(G1027="Long",I1027-H1027,IF(G1027="Short",H1027-I1027,0))</f>
        <v/>
      </c>
      <c r="K1027" s="4" t="n">
        <v>0</v>
      </c>
      <c r="L1027" s="2" t="inlineStr">
        <is>
          <t>Win</t>
        </is>
      </c>
      <c r="M1027" s="3">
        <f>M1026+J1027</f>
        <v/>
      </c>
    </row>
    <row r="1028">
      <c r="A1028" s="2" t="inlineStr">
        <is>
          <t>2023-09-27</t>
        </is>
      </c>
      <c r="B1028" s="2" t="inlineStr">
        <is>
          <t>Wednesday</t>
        </is>
      </c>
      <c r="C1028" s="2" t="inlineStr">
        <is>
          <t>MNQZ3</t>
        </is>
      </c>
      <c r="D1028" s="3" t="n">
        <v>14793.25</v>
      </c>
      <c r="E1028" s="3" t="n">
        <v>14749.25</v>
      </c>
      <c r="F1028" s="3">
        <f>D1028-E1028</f>
        <v/>
      </c>
      <c r="G1028" s="2" t="inlineStr">
        <is>
          <t>Short</t>
        </is>
      </c>
      <c r="H1028" s="3" t="n">
        <v>14749.25</v>
      </c>
      <c r="I1028" s="3" t="n">
        <v>14705.25</v>
      </c>
      <c r="J1028" s="3">
        <f>IF(G1028="Long",I1028-H1028,IF(G1028="Short",H1028-I1028,0))</f>
        <v/>
      </c>
      <c r="K1028" s="4" t="n">
        <v>51.7</v>
      </c>
      <c r="L1028" s="2" t="inlineStr">
        <is>
          <t>Win</t>
        </is>
      </c>
      <c r="M1028" s="3">
        <f>M1027+J1028</f>
        <v/>
      </c>
    </row>
    <row r="1029">
      <c r="A1029" s="2" t="inlineStr">
        <is>
          <t>2023-09-28</t>
        </is>
      </c>
      <c r="B1029" s="2" t="inlineStr">
        <is>
          <t>Thursday</t>
        </is>
      </c>
      <c r="C1029" s="2" t="inlineStr">
        <is>
          <t>MNQZ3</t>
        </is>
      </c>
      <c r="D1029" s="3" t="n">
        <v>14711.75</v>
      </c>
      <c r="E1029" s="3" t="n">
        <v>14656.25</v>
      </c>
      <c r="F1029" s="3">
        <f>D1029-E1029</f>
        <v/>
      </c>
      <c r="G1029" s="2" t="inlineStr">
        <is>
          <t>Long</t>
        </is>
      </c>
      <c r="H1029" s="3" t="n">
        <v>14711.75</v>
      </c>
      <c r="I1029" s="3" t="n">
        <v>14767.25</v>
      </c>
      <c r="J1029" s="3">
        <f>IF(G1029="Long",I1029-H1029,IF(G1029="Short",H1029-I1029,0))</f>
        <v/>
      </c>
      <c r="K1029" s="4" t="n">
        <v>0</v>
      </c>
      <c r="L1029" s="2" t="inlineStr">
        <is>
          <t>Win</t>
        </is>
      </c>
      <c r="M1029" s="3">
        <f>M1028+J1029</f>
        <v/>
      </c>
    </row>
    <row r="1030">
      <c r="A1030" s="2" t="inlineStr">
        <is>
          <t>2023-09-28</t>
        </is>
      </c>
      <c r="B1030" s="2" t="inlineStr">
        <is>
          <t>Thursday</t>
        </is>
      </c>
      <c r="C1030" s="2" t="inlineStr">
        <is>
          <t>MNQZ3</t>
        </is>
      </c>
      <c r="D1030" s="3" t="n">
        <v>14711.75</v>
      </c>
      <c r="E1030" s="3" t="n">
        <v>14656.25</v>
      </c>
      <c r="F1030" s="3">
        <f>D1030-E1030</f>
        <v/>
      </c>
      <c r="G1030" s="2" t="inlineStr">
        <is>
          <t>Long</t>
        </is>
      </c>
      <c r="H1030" s="3" t="n">
        <v>14711.75</v>
      </c>
      <c r="I1030" s="3" t="n">
        <v>14767.25</v>
      </c>
      <c r="J1030" s="3">
        <f>IF(G1030="Long",I1030-H1030,IF(G1030="Short",H1030-I1030,0))</f>
        <v/>
      </c>
      <c r="K1030" s="4" t="n">
        <v>58.56</v>
      </c>
      <c r="L1030" s="2" t="inlineStr">
        <is>
          <t>Win</t>
        </is>
      </c>
      <c r="M1030" s="3">
        <f>M1029+J1030</f>
        <v/>
      </c>
    </row>
    <row r="1031">
      <c r="A1031" s="2" t="inlineStr">
        <is>
          <t>2023-09-29</t>
        </is>
      </c>
      <c r="B1031" s="2" t="inlineStr">
        <is>
          <t>Friday</t>
        </is>
      </c>
      <c r="C1031" s="2" t="inlineStr">
        <is>
          <t>MNQZ3</t>
        </is>
      </c>
      <c r="D1031" s="3" t="n">
        <v>15015</v>
      </c>
      <c r="E1031" s="3" t="n">
        <v>14976.75</v>
      </c>
      <c r="F1031" s="3">
        <f>D1031-E1031</f>
        <v/>
      </c>
      <c r="G1031" s="2" t="inlineStr">
        <is>
          <t>Long</t>
        </is>
      </c>
      <c r="H1031" s="3" t="n">
        <v>15015</v>
      </c>
      <c r="I1031" s="3" t="n">
        <v>15053.25</v>
      </c>
      <c r="J1031" s="3">
        <f>IF(G1031="Long",I1031-H1031,IF(G1031="Short",H1031-I1031,0))</f>
        <v/>
      </c>
      <c r="K1031" s="4" t="n">
        <v>10.46</v>
      </c>
      <c r="L1031" s="2" t="inlineStr">
        <is>
          <t>Win</t>
        </is>
      </c>
      <c r="M1031" s="3">
        <f>M1030+J1031</f>
        <v/>
      </c>
    </row>
    <row r="1032">
      <c r="A1032" s="5" t="inlineStr">
        <is>
          <t>2023-09-29</t>
        </is>
      </c>
      <c r="B1032" s="5" t="inlineStr">
        <is>
          <t>Friday</t>
        </is>
      </c>
      <c r="C1032" s="5" t="inlineStr">
        <is>
          <t>MNQZ3</t>
        </is>
      </c>
      <c r="D1032" s="6" t="n">
        <v>15015</v>
      </c>
      <c r="E1032" s="6" t="n">
        <v>14976.75</v>
      </c>
      <c r="F1032" s="6">
        <f>D1032-E1032</f>
        <v/>
      </c>
      <c r="G1032" s="5" t="inlineStr">
        <is>
          <t>Long</t>
        </is>
      </c>
      <c r="H1032" s="6" t="n">
        <v>15015</v>
      </c>
      <c r="I1032" s="6" t="n">
        <v>14976.75</v>
      </c>
      <c r="J1032" s="6">
        <f>IF(G1032="Long",I1032-H1032,IF(G1032="Short",H1032-I1032,0))</f>
        <v/>
      </c>
      <c r="K1032" s="7" t="n">
        <v>100</v>
      </c>
      <c r="L1032" s="5" t="inlineStr">
        <is>
          <t>Loss</t>
        </is>
      </c>
      <c r="M1032" s="6">
        <f>M1031+J1032</f>
        <v/>
      </c>
    </row>
    <row r="1033">
      <c r="A1033" s="8" t="inlineStr">
        <is>
          <t>2023-10-02</t>
        </is>
      </c>
      <c r="B1033" s="8" t="inlineStr">
        <is>
          <t>Monday</t>
        </is>
      </c>
      <c r="C1033" s="8" t="inlineStr">
        <is>
          <t>MNQZ3</t>
        </is>
      </c>
      <c r="D1033" s="9" t="n">
        <v>14961</v>
      </c>
      <c r="E1033" s="9" t="n">
        <v>14847.25</v>
      </c>
      <c r="F1033" s="9">
        <f>D1033-E1033</f>
        <v/>
      </c>
      <c r="G1033" s="8" t="inlineStr">
        <is>
          <t>Long</t>
        </is>
      </c>
      <c r="H1033" s="9" t="n">
        <v>14961</v>
      </c>
      <c r="I1033" s="9" t="n">
        <v>14988.25</v>
      </c>
      <c r="J1033" s="9">
        <f>IF(G1033="Long",I1033-H1033,IF(G1033="Short",H1033-I1033,0))</f>
        <v/>
      </c>
      <c r="K1033" s="10" t="n">
        <v>84.84</v>
      </c>
      <c r="L1033" s="8" t="inlineStr">
        <is>
          <t>EOD-Close</t>
        </is>
      </c>
      <c r="M1033" s="9">
        <f>M1032+J1033</f>
        <v/>
      </c>
    </row>
    <row r="1034">
      <c r="A1034" s="5" t="inlineStr">
        <is>
          <t>2023-10-03</t>
        </is>
      </c>
      <c r="B1034" s="5" t="inlineStr">
        <is>
          <t>Tuesday</t>
        </is>
      </c>
      <c r="C1034" s="5" t="inlineStr">
        <is>
          <t>MNQZ3</t>
        </is>
      </c>
      <c r="D1034" s="6" t="n">
        <v>14925.5</v>
      </c>
      <c r="E1034" s="6" t="n">
        <v>14873.75</v>
      </c>
      <c r="F1034" s="6">
        <f>D1034-E1034</f>
        <v/>
      </c>
      <c r="G1034" s="5" t="inlineStr">
        <is>
          <t>Long</t>
        </is>
      </c>
      <c r="H1034" s="6" t="n">
        <v>14925.5</v>
      </c>
      <c r="I1034" s="6" t="n">
        <v>14873.75</v>
      </c>
      <c r="J1034" s="6">
        <f>IF(G1034="Long",I1034-H1034,IF(G1034="Short",H1034-I1034,0))</f>
        <v/>
      </c>
      <c r="K1034" s="7" t="n">
        <v>100</v>
      </c>
      <c r="L1034" s="5" t="inlineStr">
        <is>
          <t>Loss</t>
        </is>
      </c>
      <c r="M1034" s="6">
        <f>M1033+J1034</f>
        <v/>
      </c>
    </row>
    <row r="1035">
      <c r="A1035" s="2" t="inlineStr">
        <is>
          <t>2023-10-03</t>
        </is>
      </c>
      <c r="B1035" s="2" t="inlineStr">
        <is>
          <t>Tuesday</t>
        </is>
      </c>
      <c r="C1035" s="2" t="inlineStr">
        <is>
          <t>MNQZ3</t>
        </is>
      </c>
      <c r="D1035" s="3" t="n">
        <v>14925.5</v>
      </c>
      <c r="E1035" s="3" t="n">
        <v>14873.75</v>
      </c>
      <c r="F1035" s="3">
        <f>D1035-E1035</f>
        <v/>
      </c>
      <c r="G1035" s="2" t="inlineStr">
        <is>
          <t>Short</t>
        </is>
      </c>
      <c r="H1035" s="3" t="n">
        <v>14873.75</v>
      </c>
      <c r="I1035" s="3" t="n">
        <v>14822</v>
      </c>
      <c r="J1035" s="3">
        <f>IF(G1035="Long",I1035-H1035,IF(G1035="Short",H1035-I1035,0))</f>
        <v/>
      </c>
      <c r="K1035" s="4" t="n">
        <v>0</v>
      </c>
      <c r="L1035" s="2" t="inlineStr">
        <is>
          <t>Win</t>
        </is>
      </c>
      <c r="M1035" s="3">
        <f>M1034+J1035</f>
        <v/>
      </c>
    </row>
    <row r="1036">
      <c r="A1036" s="5" t="inlineStr">
        <is>
          <t>2023-10-04</t>
        </is>
      </c>
      <c r="B1036" s="5" t="inlineStr">
        <is>
          <t>Wednesday</t>
        </is>
      </c>
      <c r="C1036" s="5" t="inlineStr">
        <is>
          <t>MNQZ3</t>
        </is>
      </c>
      <c r="D1036" s="6" t="n">
        <v>14834.5</v>
      </c>
      <c r="E1036" s="6" t="n">
        <v>14748</v>
      </c>
      <c r="F1036" s="6">
        <f>D1036-E1036</f>
        <v/>
      </c>
      <c r="G1036" s="5" t="inlineStr">
        <is>
          <t>Short</t>
        </is>
      </c>
      <c r="H1036" s="6" t="n">
        <v>14748</v>
      </c>
      <c r="I1036" s="6" t="n">
        <v>14834.5</v>
      </c>
      <c r="J1036" s="6">
        <f>IF(G1036="Long",I1036-H1036,IF(G1036="Short",H1036-I1036,0))</f>
        <v/>
      </c>
      <c r="K1036" s="7" t="n">
        <v>100</v>
      </c>
      <c r="L1036" s="5" t="inlineStr">
        <is>
          <t>Loss</t>
        </is>
      </c>
      <c r="M1036" s="6">
        <f>M1035+J1036</f>
        <v/>
      </c>
    </row>
    <row r="1037">
      <c r="A1037" s="2" t="inlineStr">
        <is>
          <t>2023-10-04</t>
        </is>
      </c>
      <c r="B1037" s="2" t="inlineStr">
        <is>
          <t>Wednesday</t>
        </is>
      </c>
      <c r="C1037" s="2" t="inlineStr">
        <is>
          <t>MNQZ3</t>
        </is>
      </c>
      <c r="D1037" s="3" t="n">
        <v>14834.5</v>
      </c>
      <c r="E1037" s="3" t="n">
        <v>14748</v>
      </c>
      <c r="F1037" s="3">
        <f>D1037-E1037</f>
        <v/>
      </c>
      <c r="G1037" s="2" t="inlineStr">
        <is>
          <t>Long</t>
        </is>
      </c>
      <c r="H1037" s="3" t="n">
        <v>14834.5</v>
      </c>
      <c r="I1037" s="3" t="n">
        <v>14921</v>
      </c>
      <c r="J1037" s="3">
        <f>IF(G1037="Long",I1037-H1037,IF(G1037="Short",H1037-I1037,0))</f>
        <v/>
      </c>
      <c r="K1037" s="4" t="n">
        <v>35.84</v>
      </c>
      <c r="L1037" s="2" t="inlineStr">
        <is>
          <t>Win</t>
        </is>
      </c>
      <c r="M1037" s="3">
        <f>M1036+J1037</f>
        <v/>
      </c>
    </row>
    <row r="1038">
      <c r="A1038" s="2" t="inlineStr">
        <is>
          <t>2023-10-05</t>
        </is>
      </c>
      <c r="B1038" s="2" t="inlineStr">
        <is>
          <t>Thursday</t>
        </is>
      </c>
      <c r="C1038" s="2" t="inlineStr">
        <is>
          <t>MNQZ3</t>
        </is>
      </c>
      <c r="D1038" s="3" t="n">
        <v>14926.5</v>
      </c>
      <c r="E1038" s="3" t="n">
        <v>14855.5</v>
      </c>
      <c r="F1038" s="3">
        <f>D1038-E1038</f>
        <v/>
      </c>
      <c r="G1038" s="2" t="inlineStr">
        <is>
          <t>Short</t>
        </is>
      </c>
      <c r="H1038" s="3" t="n">
        <v>14855.5</v>
      </c>
      <c r="I1038" s="3" t="n">
        <v>14784.5</v>
      </c>
      <c r="J1038" s="3">
        <f>IF(G1038="Long",I1038-H1038,IF(G1038="Short",H1038-I1038,0))</f>
        <v/>
      </c>
      <c r="K1038" s="4" t="n">
        <v>3.87</v>
      </c>
      <c r="L1038" s="2" t="inlineStr">
        <is>
          <t>Win</t>
        </is>
      </c>
      <c r="M1038" s="3">
        <f>M1037+J1038</f>
        <v/>
      </c>
    </row>
    <row r="1039">
      <c r="A1039" s="8" t="inlineStr">
        <is>
          <t>2023-10-05</t>
        </is>
      </c>
      <c r="B1039" s="8" t="inlineStr">
        <is>
          <t>Thursday</t>
        </is>
      </c>
      <c r="C1039" s="8" t="inlineStr">
        <is>
          <t>MNQZ3</t>
        </is>
      </c>
      <c r="D1039" s="9" t="n">
        <v>14926.5</v>
      </c>
      <c r="E1039" s="9" t="n">
        <v>14855.5</v>
      </c>
      <c r="F1039" s="9">
        <f>D1039-E1039</f>
        <v/>
      </c>
      <c r="G1039" s="8" t="inlineStr">
        <is>
          <t>Short</t>
        </is>
      </c>
      <c r="H1039" s="9" t="n">
        <v>14855.5</v>
      </c>
      <c r="I1039" s="9" t="n">
        <v>14865.75</v>
      </c>
      <c r="J1039" s="9">
        <f>IF(G1039="Long",I1039-H1039,IF(G1039="Short",H1039-I1039,0))</f>
        <v/>
      </c>
      <c r="K1039" s="10" t="n">
        <v>72.18000000000001</v>
      </c>
      <c r="L1039" s="8" t="inlineStr">
        <is>
          <t>EOD-Close</t>
        </is>
      </c>
      <c r="M1039" s="9">
        <f>M1038+J1039</f>
        <v/>
      </c>
    </row>
    <row r="1040">
      <c r="A1040" s="2" t="inlineStr">
        <is>
          <t>2023-10-06</t>
        </is>
      </c>
      <c r="B1040" s="2" t="inlineStr">
        <is>
          <t>Friday</t>
        </is>
      </c>
      <c r="C1040" s="2" t="inlineStr">
        <is>
          <t>MNQZ3</t>
        </is>
      </c>
      <c r="D1040" s="3" t="n">
        <v>14800.75</v>
      </c>
      <c r="E1040" s="3" t="n">
        <v>14702</v>
      </c>
      <c r="F1040" s="3">
        <f>D1040-E1040</f>
        <v/>
      </c>
      <c r="G1040" s="2" t="inlineStr">
        <is>
          <t>Long</t>
        </is>
      </c>
      <c r="H1040" s="3" t="n">
        <v>14800.75</v>
      </c>
      <c r="I1040" s="3" t="n">
        <v>14899.5</v>
      </c>
      <c r="J1040" s="3">
        <f>IF(G1040="Long",I1040-H1040,IF(G1040="Short",H1040-I1040,0))</f>
        <v/>
      </c>
      <c r="K1040" s="4" t="n">
        <v>0</v>
      </c>
      <c r="L1040" s="2" t="inlineStr">
        <is>
          <t>Win</t>
        </is>
      </c>
      <c r="M1040" s="3">
        <f>M1039+J1040</f>
        <v/>
      </c>
    </row>
    <row r="1041">
      <c r="A1041" s="2" t="inlineStr">
        <is>
          <t>2023-10-09</t>
        </is>
      </c>
      <c r="B1041" s="2" t="inlineStr">
        <is>
          <t>Monday</t>
        </is>
      </c>
      <c r="C1041" s="2" t="inlineStr">
        <is>
          <t>MNQZ3</t>
        </is>
      </c>
      <c r="D1041" s="3" t="n">
        <v>15036.75</v>
      </c>
      <c r="E1041" s="3" t="n">
        <v>14949.25</v>
      </c>
      <c r="F1041" s="3">
        <f>D1041-E1041</f>
        <v/>
      </c>
      <c r="G1041" s="2" t="inlineStr">
        <is>
          <t>Long</t>
        </is>
      </c>
      <c r="H1041" s="3" t="n">
        <v>15036.75</v>
      </c>
      <c r="I1041" s="3" t="n">
        <v>15124.25</v>
      </c>
      <c r="J1041" s="3">
        <f>IF(G1041="Long",I1041-H1041,IF(G1041="Short",H1041-I1041,0))</f>
        <v/>
      </c>
      <c r="K1041" s="4" t="n">
        <v>82</v>
      </c>
      <c r="L1041" s="2" t="inlineStr">
        <is>
          <t>Win</t>
        </is>
      </c>
      <c r="M1041" s="3">
        <f>M1040+J1041</f>
        <v/>
      </c>
    </row>
    <row r="1042">
      <c r="A1042" s="2" t="inlineStr">
        <is>
          <t>2023-10-10</t>
        </is>
      </c>
      <c r="B1042" s="2" t="inlineStr">
        <is>
          <t>Tuesday</t>
        </is>
      </c>
      <c r="C1042" s="2" t="inlineStr">
        <is>
          <t>MNQZ3</t>
        </is>
      </c>
      <c r="D1042" s="3" t="n">
        <v>15225.75</v>
      </c>
      <c r="E1042" s="3" t="n">
        <v>15180</v>
      </c>
      <c r="F1042" s="3">
        <f>D1042-E1042</f>
        <v/>
      </c>
      <c r="G1042" s="2" t="inlineStr">
        <is>
          <t>Long</t>
        </is>
      </c>
      <c r="H1042" s="3" t="n">
        <v>15225.75</v>
      </c>
      <c r="I1042" s="3" t="n">
        <v>15271.5</v>
      </c>
      <c r="J1042" s="3">
        <f>IF(G1042="Long",I1042-H1042,IF(G1042="Short",H1042-I1042,0))</f>
        <v/>
      </c>
      <c r="K1042" s="4" t="n">
        <v>0</v>
      </c>
      <c r="L1042" s="2" t="inlineStr">
        <is>
          <t>Win</t>
        </is>
      </c>
      <c r="M1042" s="3">
        <f>M1041+J1042</f>
        <v/>
      </c>
    </row>
    <row r="1043">
      <c r="A1043" s="2" t="inlineStr">
        <is>
          <t>2023-10-11</t>
        </is>
      </c>
      <c r="B1043" s="2" t="inlineStr">
        <is>
          <t>Wednesday</t>
        </is>
      </c>
      <c r="C1043" s="2" t="inlineStr">
        <is>
          <t>MNQZ3</t>
        </is>
      </c>
      <c r="D1043" s="3" t="n">
        <v>15387.5</v>
      </c>
      <c r="E1043" s="3" t="n">
        <v>15323.5</v>
      </c>
      <c r="F1043" s="3">
        <f>D1043-E1043</f>
        <v/>
      </c>
      <c r="G1043" s="2" t="inlineStr">
        <is>
          <t>Short</t>
        </is>
      </c>
      <c r="H1043" s="3" t="n">
        <v>15323.5</v>
      </c>
      <c r="I1043" s="3" t="n">
        <v>15259.5</v>
      </c>
      <c r="J1043" s="3">
        <f>IF(G1043="Long",I1043-H1043,IF(G1043="Short",H1043-I1043,0))</f>
        <v/>
      </c>
      <c r="K1043" s="4" t="n">
        <v>92.97</v>
      </c>
      <c r="L1043" s="2" t="inlineStr">
        <is>
          <t>Win</t>
        </is>
      </c>
      <c r="M1043" s="3">
        <f>M1042+J1043</f>
        <v/>
      </c>
    </row>
    <row r="1044">
      <c r="A1044" s="8" t="inlineStr">
        <is>
          <t>2023-10-11</t>
        </is>
      </c>
      <c r="B1044" s="8" t="inlineStr">
        <is>
          <t>Wednesday</t>
        </is>
      </c>
      <c r="C1044" s="8" t="inlineStr">
        <is>
          <t>MNQZ3</t>
        </is>
      </c>
      <c r="D1044" s="9" t="n">
        <v>15387.5</v>
      </c>
      <c r="E1044" s="9" t="n">
        <v>15323.5</v>
      </c>
      <c r="F1044" s="9">
        <f>D1044-E1044</f>
        <v/>
      </c>
      <c r="G1044" s="8" t="inlineStr">
        <is>
          <t>Short</t>
        </is>
      </c>
      <c r="H1044" s="9" t="n">
        <v>15323.5</v>
      </c>
      <c r="I1044" s="9" t="n">
        <v>15377</v>
      </c>
      <c r="J1044" s="9">
        <f>IF(G1044="Long",I1044-H1044,IF(G1044="Short",H1044-I1044,0))</f>
        <v/>
      </c>
      <c r="K1044" s="10" t="n">
        <v>96.48</v>
      </c>
      <c r="L1044" s="8" t="inlineStr">
        <is>
          <t>EOD-Close</t>
        </is>
      </c>
      <c r="M1044" s="9">
        <f>M1043+J1044</f>
        <v/>
      </c>
    </row>
    <row r="1045">
      <c r="A1045" s="2" t="inlineStr">
        <is>
          <t>2023-10-12</t>
        </is>
      </c>
      <c r="B1045" s="2" t="inlineStr">
        <is>
          <t>Thursday</t>
        </is>
      </c>
      <c r="C1045" s="2" t="inlineStr">
        <is>
          <t>MNQZ3</t>
        </is>
      </c>
      <c r="D1045" s="3" t="n">
        <v>15416.5</v>
      </c>
      <c r="E1045" s="3" t="n">
        <v>15366</v>
      </c>
      <c r="F1045" s="3">
        <f>D1045-E1045</f>
        <v/>
      </c>
      <c r="G1045" s="2" t="inlineStr">
        <is>
          <t>Long</t>
        </is>
      </c>
      <c r="H1045" s="3" t="n">
        <v>15416.5</v>
      </c>
      <c r="I1045" s="3" t="n">
        <v>15467</v>
      </c>
      <c r="J1045" s="3">
        <f>IF(G1045="Long",I1045-H1045,IF(G1045="Short",H1045-I1045,0))</f>
        <v/>
      </c>
      <c r="K1045" s="4" t="n">
        <v>39.11</v>
      </c>
      <c r="L1045" s="2" t="inlineStr">
        <is>
          <t>Win</t>
        </is>
      </c>
      <c r="M1045" s="3">
        <f>M1044+J1045</f>
        <v/>
      </c>
    </row>
    <row r="1046">
      <c r="A1046" s="2" t="inlineStr">
        <is>
          <t>2023-10-12</t>
        </is>
      </c>
      <c r="B1046" s="2" t="inlineStr">
        <is>
          <t>Thursday</t>
        </is>
      </c>
      <c r="C1046" s="2" t="inlineStr">
        <is>
          <t>MNQZ3</t>
        </is>
      </c>
      <c r="D1046" s="3" t="n">
        <v>15416.5</v>
      </c>
      <c r="E1046" s="3" t="n">
        <v>15366</v>
      </c>
      <c r="F1046" s="3">
        <f>D1046-E1046</f>
        <v/>
      </c>
      <c r="G1046" s="2" t="inlineStr">
        <is>
          <t>Long</t>
        </is>
      </c>
      <c r="H1046" s="3" t="n">
        <v>15416.5</v>
      </c>
      <c r="I1046" s="3" t="n">
        <v>15467</v>
      </c>
      <c r="J1046" s="3">
        <f>IF(G1046="Long",I1046-H1046,IF(G1046="Short",H1046-I1046,0))</f>
        <v/>
      </c>
      <c r="K1046" s="4" t="n">
        <v>14.85</v>
      </c>
      <c r="L1046" s="2" t="inlineStr">
        <is>
          <t>Win</t>
        </is>
      </c>
      <c r="M1046" s="3">
        <f>M1045+J1046</f>
        <v/>
      </c>
    </row>
    <row r="1047">
      <c r="A1047" s="2" t="inlineStr">
        <is>
          <t>2023-10-13</t>
        </is>
      </c>
      <c r="B1047" s="2" t="inlineStr">
        <is>
          <t>Friday</t>
        </is>
      </c>
      <c r="C1047" s="2" t="inlineStr">
        <is>
          <t>MNQZ3</t>
        </is>
      </c>
      <c r="D1047" s="3" t="n">
        <v>15367</v>
      </c>
      <c r="E1047" s="3" t="n">
        <v>15302.5</v>
      </c>
      <c r="F1047" s="3">
        <f>D1047-E1047</f>
        <v/>
      </c>
      <c r="G1047" s="2" t="inlineStr">
        <is>
          <t>Short</t>
        </is>
      </c>
      <c r="H1047" s="3" t="n">
        <v>15302.5</v>
      </c>
      <c r="I1047" s="3" t="n">
        <v>15238</v>
      </c>
      <c r="J1047" s="3">
        <f>IF(G1047="Long",I1047-H1047,IF(G1047="Short",H1047-I1047,0))</f>
        <v/>
      </c>
      <c r="K1047" s="4" t="n">
        <v>5.43</v>
      </c>
      <c r="L1047" s="2" t="inlineStr">
        <is>
          <t>Win</t>
        </is>
      </c>
      <c r="M1047" s="3">
        <f>M1046+J1047</f>
        <v/>
      </c>
    </row>
    <row r="1048">
      <c r="A1048" s="8" t="inlineStr">
        <is>
          <t>2023-10-16</t>
        </is>
      </c>
      <c r="B1048" s="8" t="inlineStr">
        <is>
          <t>Monday</t>
        </is>
      </c>
      <c r="C1048" s="8" t="inlineStr">
        <is>
          <t>MNQZ3</t>
        </is>
      </c>
      <c r="D1048" s="9" t="n">
        <v>15260</v>
      </c>
      <c r="E1048" s="9" t="n">
        <v>15168.75</v>
      </c>
      <c r="F1048" s="9">
        <f>D1048-E1048</f>
        <v/>
      </c>
      <c r="G1048" s="8" t="inlineStr">
        <is>
          <t>Long</t>
        </is>
      </c>
      <c r="H1048" s="9" t="n">
        <v>15260</v>
      </c>
      <c r="I1048" s="9" t="n">
        <v>15293.5</v>
      </c>
      <c r="J1048" s="9">
        <f>IF(G1048="Long",I1048-H1048,IF(G1048="Short",H1048-I1048,0))</f>
        <v/>
      </c>
      <c r="K1048" s="10" t="n">
        <v>52.88</v>
      </c>
      <c r="L1048" s="8" t="inlineStr">
        <is>
          <t>EOD-Close</t>
        </is>
      </c>
      <c r="M1048" s="9">
        <f>M1047+J1048</f>
        <v/>
      </c>
    </row>
    <row r="1049">
      <c r="A1049" s="2" t="inlineStr">
        <is>
          <t>2023-10-17</t>
        </is>
      </c>
      <c r="B1049" s="2" t="inlineStr">
        <is>
          <t>Tuesday</t>
        </is>
      </c>
      <c r="C1049" s="2" t="inlineStr">
        <is>
          <t>MNQZ3</t>
        </is>
      </c>
      <c r="D1049" s="3" t="n">
        <v>15142</v>
      </c>
      <c r="E1049" s="3" t="n">
        <v>15102.25</v>
      </c>
      <c r="F1049" s="3">
        <f>D1049-E1049</f>
        <v/>
      </c>
      <c r="G1049" s="2" t="inlineStr">
        <is>
          <t>Short</t>
        </is>
      </c>
      <c r="H1049" s="3" t="n">
        <v>15102.25</v>
      </c>
      <c r="I1049" s="3" t="n">
        <v>15062.5</v>
      </c>
      <c r="J1049" s="3">
        <f>IF(G1049="Long",I1049-H1049,IF(G1049="Short",H1049-I1049,0))</f>
        <v/>
      </c>
      <c r="K1049" s="4" t="n">
        <v>0</v>
      </c>
      <c r="L1049" s="2" t="inlineStr">
        <is>
          <t>Win</t>
        </is>
      </c>
      <c r="M1049" s="3">
        <f>M1048+J1049</f>
        <v/>
      </c>
    </row>
    <row r="1050">
      <c r="A1050" s="5" t="inlineStr">
        <is>
          <t>2023-10-17</t>
        </is>
      </c>
      <c r="B1050" s="5" t="inlineStr">
        <is>
          <t>Tuesday</t>
        </is>
      </c>
      <c r="C1050" s="5" t="inlineStr">
        <is>
          <t>MNQZ3</t>
        </is>
      </c>
      <c r="D1050" s="6" t="n">
        <v>15142</v>
      </c>
      <c r="E1050" s="6" t="n">
        <v>15102.25</v>
      </c>
      <c r="F1050" s="6">
        <f>D1050-E1050</f>
        <v/>
      </c>
      <c r="G1050" s="5" t="inlineStr">
        <is>
          <t>Short</t>
        </is>
      </c>
      <c r="H1050" s="6" t="n">
        <v>15102.25</v>
      </c>
      <c r="I1050" s="6" t="n">
        <v>15142</v>
      </c>
      <c r="J1050" s="6">
        <f>IF(G1050="Long",I1050-H1050,IF(G1050="Short",H1050-I1050,0))</f>
        <v/>
      </c>
      <c r="K1050" s="7" t="n">
        <v>100</v>
      </c>
      <c r="L1050" s="5" t="inlineStr">
        <is>
          <t>Loss</t>
        </is>
      </c>
      <c r="M1050" s="6">
        <f>M1049+J1050</f>
        <v/>
      </c>
    </row>
    <row r="1051">
      <c r="A1051" s="5" t="inlineStr">
        <is>
          <t>2023-10-18</t>
        </is>
      </c>
      <c r="B1051" s="5" t="inlineStr">
        <is>
          <t>Wednesday</t>
        </is>
      </c>
      <c r="C1051" s="5" t="inlineStr">
        <is>
          <t>MNQZ3</t>
        </is>
      </c>
      <c r="D1051" s="6" t="n">
        <v>15199</v>
      </c>
      <c r="E1051" s="6" t="n">
        <v>15125.5</v>
      </c>
      <c r="F1051" s="6">
        <f>D1051-E1051</f>
        <v/>
      </c>
      <c r="G1051" s="5" t="inlineStr">
        <is>
          <t>Long</t>
        </is>
      </c>
      <c r="H1051" s="6" t="n">
        <v>15199</v>
      </c>
      <c r="I1051" s="6" t="n">
        <v>15125.5</v>
      </c>
      <c r="J1051" s="6">
        <f>IF(G1051="Long",I1051-H1051,IF(G1051="Short",H1051-I1051,0))</f>
        <v/>
      </c>
      <c r="K1051" s="7" t="n">
        <v>100</v>
      </c>
      <c r="L1051" s="5" t="inlineStr">
        <is>
          <t>Loss</t>
        </is>
      </c>
      <c r="M1051" s="6">
        <f>M1050+J1051</f>
        <v/>
      </c>
    </row>
    <row r="1052">
      <c r="A1052" s="2" t="inlineStr">
        <is>
          <t>2023-10-18</t>
        </is>
      </c>
      <c r="B1052" s="2" t="inlineStr">
        <is>
          <t>Wednesday</t>
        </is>
      </c>
      <c r="C1052" s="2" t="inlineStr">
        <is>
          <t>MNQZ3</t>
        </is>
      </c>
      <c r="D1052" s="3" t="n">
        <v>15199</v>
      </c>
      <c r="E1052" s="3" t="n">
        <v>15125.5</v>
      </c>
      <c r="F1052" s="3">
        <f>D1052-E1052</f>
        <v/>
      </c>
      <c r="G1052" s="2" t="inlineStr">
        <is>
          <t>Short</t>
        </is>
      </c>
      <c r="H1052" s="3" t="n">
        <v>15125.5</v>
      </c>
      <c r="I1052" s="3" t="n">
        <v>15052</v>
      </c>
      <c r="J1052" s="3">
        <f>IF(G1052="Long",I1052-H1052,IF(G1052="Short",H1052-I1052,0))</f>
        <v/>
      </c>
      <c r="K1052" s="4" t="n">
        <v>71.09</v>
      </c>
      <c r="L1052" s="2" t="inlineStr">
        <is>
          <t>Win</t>
        </is>
      </c>
      <c r="M1052" s="3">
        <f>M1051+J1052</f>
        <v/>
      </c>
    </row>
    <row r="1053">
      <c r="A1053" s="5" t="inlineStr">
        <is>
          <t>2023-10-19</t>
        </is>
      </c>
      <c r="B1053" s="5" t="inlineStr">
        <is>
          <t>Thursday</t>
        </is>
      </c>
      <c r="C1053" s="5" t="inlineStr">
        <is>
          <t>MNQZ3</t>
        </is>
      </c>
      <c r="D1053" s="6" t="n">
        <v>15109.25</v>
      </c>
      <c r="E1053" s="6" t="n">
        <v>15021</v>
      </c>
      <c r="F1053" s="6">
        <f>D1053-E1053</f>
        <v/>
      </c>
      <c r="G1053" s="5" t="inlineStr">
        <is>
          <t>Short</t>
        </is>
      </c>
      <c r="H1053" s="6" t="n">
        <v>15021</v>
      </c>
      <c r="I1053" s="6" t="n">
        <v>15109.25</v>
      </c>
      <c r="J1053" s="6">
        <f>IF(G1053="Long",I1053-H1053,IF(G1053="Short",H1053-I1053,0))</f>
        <v/>
      </c>
      <c r="K1053" s="7" t="n">
        <v>100</v>
      </c>
      <c r="L1053" s="5" t="inlineStr">
        <is>
          <t>Loss</t>
        </is>
      </c>
      <c r="M1053" s="6">
        <f>M1052+J1053</f>
        <v/>
      </c>
    </row>
    <row r="1054">
      <c r="A1054" s="5" t="inlineStr">
        <is>
          <t>2023-10-19</t>
        </is>
      </c>
      <c r="B1054" s="5" t="inlineStr">
        <is>
          <t>Thursday</t>
        </is>
      </c>
      <c r="C1054" s="5" t="inlineStr">
        <is>
          <t>MNQZ3</t>
        </is>
      </c>
      <c r="D1054" s="6" t="n">
        <v>15109.25</v>
      </c>
      <c r="E1054" s="6" t="n">
        <v>15021</v>
      </c>
      <c r="F1054" s="6">
        <f>D1054-E1054</f>
        <v/>
      </c>
      <c r="G1054" s="5" t="inlineStr">
        <is>
          <t>Long</t>
        </is>
      </c>
      <c r="H1054" s="6" t="n">
        <v>15109.25</v>
      </c>
      <c r="I1054" s="6" t="n">
        <v>15021</v>
      </c>
      <c r="J1054" s="6">
        <f>IF(G1054="Long",I1054-H1054,IF(G1054="Short",H1054-I1054,0))</f>
        <v/>
      </c>
      <c r="K1054" s="7" t="n">
        <v>100</v>
      </c>
      <c r="L1054" s="5" t="inlineStr">
        <is>
          <t>Loss</t>
        </is>
      </c>
      <c r="M1054" s="6">
        <f>M1053+J1054</f>
        <v/>
      </c>
    </row>
    <row r="1055">
      <c r="A1055" s="2" t="inlineStr">
        <is>
          <t>2023-10-20</t>
        </is>
      </c>
      <c r="B1055" s="2" t="inlineStr">
        <is>
          <t>Friday</t>
        </is>
      </c>
      <c r="C1055" s="2" t="inlineStr">
        <is>
          <t>MNQZ3</t>
        </is>
      </c>
      <c r="D1055" s="3" t="n">
        <v>14885.5</v>
      </c>
      <c r="E1055" s="3" t="n">
        <v>14810.5</v>
      </c>
      <c r="F1055" s="3">
        <f>D1055-E1055</f>
        <v/>
      </c>
      <c r="G1055" s="2" t="inlineStr">
        <is>
          <t>Short</t>
        </is>
      </c>
      <c r="H1055" s="3" t="n">
        <v>14810.5</v>
      </c>
      <c r="I1055" s="3" t="n">
        <v>14735.5</v>
      </c>
      <c r="J1055" s="3">
        <f>IF(G1055="Long",I1055-H1055,IF(G1055="Short",H1055-I1055,0))</f>
        <v/>
      </c>
      <c r="K1055" s="4" t="n">
        <v>3.33</v>
      </c>
      <c r="L1055" s="2" t="inlineStr">
        <is>
          <t>Win</t>
        </is>
      </c>
      <c r="M1055" s="3">
        <f>M1054+J1055</f>
        <v/>
      </c>
    </row>
    <row r="1056">
      <c r="A1056" s="2" t="inlineStr">
        <is>
          <t>2023-10-23</t>
        </is>
      </c>
      <c r="B1056" s="2" t="inlineStr">
        <is>
          <t>Monday</t>
        </is>
      </c>
      <c r="C1056" s="2" t="inlineStr">
        <is>
          <t>MNQZ3</t>
        </is>
      </c>
      <c r="D1056" s="3" t="n">
        <v>14630</v>
      </c>
      <c r="E1056" s="3" t="n">
        <v>14514.25</v>
      </c>
      <c r="F1056" s="3">
        <f>D1056-E1056</f>
        <v/>
      </c>
      <c r="G1056" s="2" t="inlineStr">
        <is>
          <t>Long</t>
        </is>
      </c>
      <c r="H1056" s="3" t="n">
        <v>14630</v>
      </c>
      <c r="I1056" s="3" t="n">
        <v>14745.75</v>
      </c>
      <c r="J1056" s="3">
        <f>IF(G1056="Long",I1056-H1056,IF(G1056="Short",H1056-I1056,0))</f>
        <v/>
      </c>
      <c r="K1056" s="4" t="n">
        <v>16.85</v>
      </c>
      <c r="L1056" s="2" t="inlineStr">
        <is>
          <t>Win</t>
        </is>
      </c>
      <c r="M1056" s="3">
        <f>M1055+J1056</f>
        <v/>
      </c>
    </row>
    <row r="1057">
      <c r="A1057" s="5" t="inlineStr">
        <is>
          <t>2023-10-24</t>
        </is>
      </c>
      <c r="B1057" s="5" t="inlineStr">
        <is>
          <t>Tuesday</t>
        </is>
      </c>
      <c r="C1057" s="5" t="inlineStr">
        <is>
          <t>MNQZ3</t>
        </is>
      </c>
      <c r="D1057" s="6" t="n">
        <v>14837.25</v>
      </c>
      <c r="E1057" s="6" t="n">
        <v>14762.5</v>
      </c>
      <c r="F1057" s="6">
        <f>D1057-E1057</f>
        <v/>
      </c>
      <c r="G1057" s="5" t="inlineStr">
        <is>
          <t>Long</t>
        </is>
      </c>
      <c r="H1057" s="6" t="n">
        <v>14837.25</v>
      </c>
      <c r="I1057" s="6" t="n">
        <v>14762.5</v>
      </c>
      <c r="J1057" s="6">
        <f>IF(G1057="Long",I1057-H1057,IF(G1057="Short",H1057-I1057,0))</f>
        <v/>
      </c>
      <c r="K1057" s="7" t="n">
        <v>100</v>
      </c>
      <c r="L1057" s="5" t="inlineStr">
        <is>
          <t>Loss</t>
        </is>
      </c>
      <c r="M1057" s="6">
        <f>M1056+J1057</f>
        <v/>
      </c>
    </row>
    <row r="1058">
      <c r="A1058" s="5" t="inlineStr">
        <is>
          <t>2023-10-24</t>
        </is>
      </c>
      <c r="B1058" s="5" t="inlineStr">
        <is>
          <t>Tuesday</t>
        </is>
      </c>
      <c r="C1058" s="5" t="inlineStr">
        <is>
          <t>MNQZ3</t>
        </is>
      </c>
      <c r="D1058" s="6" t="n">
        <v>14837.25</v>
      </c>
      <c r="E1058" s="6" t="n">
        <v>14762.5</v>
      </c>
      <c r="F1058" s="6">
        <f>D1058-E1058</f>
        <v/>
      </c>
      <c r="G1058" s="5" t="inlineStr">
        <is>
          <t>Short</t>
        </is>
      </c>
      <c r="H1058" s="6" t="n">
        <v>14762.5</v>
      </c>
      <c r="I1058" s="6" t="n">
        <v>14837.25</v>
      </c>
      <c r="J1058" s="6">
        <f>IF(G1058="Long",I1058-H1058,IF(G1058="Short",H1058-I1058,0))</f>
        <v/>
      </c>
      <c r="K1058" s="7" t="n">
        <v>100</v>
      </c>
      <c r="L1058" s="5" t="inlineStr">
        <is>
          <t>Loss</t>
        </is>
      </c>
      <c r="M1058" s="6">
        <f>M1057+J1058</f>
        <v/>
      </c>
    </row>
    <row r="1059">
      <c r="A1059" s="2" t="inlineStr">
        <is>
          <t>2023-10-25</t>
        </is>
      </c>
      <c r="B1059" s="2" t="inlineStr">
        <is>
          <t>Wednesday</t>
        </is>
      </c>
      <c r="C1059" s="2" t="inlineStr">
        <is>
          <t>MNQZ3</t>
        </is>
      </c>
      <c r="D1059" s="3" t="n">
        <v>14749</v>
      </c>
      <c r="E1059" s="3" t="n">
        <v>14626.5</v>
      </c>
      <c r="F1059" s="3">
        <f>D1059-E1059</f>
        <v/>
      </c>
      <c r="G1059" s="2" t="inlineStr">
        <is>
          <t>Short</t>
        </is>
      </c>
      <c r="H1059" s="3" t="n">
        <v>14626.5</v>
      </c>
      <c r="I1059" s="3" t="n">
        <v>14504</v>
      </c>
      <c r="J1059" s="3">
        <f>IF(G1059="Long",I1059-H1059,IF(G1059="Short",H1059-I1059,0))</f>
        <v/>
      </c>
      <c r="K1059" s="4" t="n">
        <v>47.76</v>
      </c>
      <c r="L1059" s="2" t="inlineStr">
        <is>
          <t>Win</t>
        </is>
      </c>
      <c r="M1059" s="3">
        <f>M1058+J1059</f>
        <v/>
      </c>
    </row>
    <row r="1060">
      <c r="A1060" s="2" t="inlineStr">
        <is>
          <t>2023-10-26</t>
        </is>
      </c>
      <c r="B1060" s="2" t="inlineStr">
        <is>
          <t>Thursday</t>
        </is>
      </c>
      <c r="C1060" s="2" t="inlineStr">
        <is>
          <t>MNQZ3</t>
        </is>
      </c>
      <c r="D1060" s="3" t="n">
        <v>14459.25</v>
      </c>
      <c r="E1060" s="3" t="n">
        <v>14368.75</v>
      </c>
      <c r="F1060" s="3">
        <f>D1060-E1060</f>
        <v/>
      </c>
      <c r="G1060" s="2" t="inlineStr">
        <is>
          <t>Short</t>
        </is>
      </c>
      <c r="H1060" s="3" t="n">
        <v>14368.75</v>
      </c>
      <c r="I1060" s="3" t="n">
        <v>14278.25</v>
      </c>
      <c r="J1060" s="3">
        <f>IF(G1060="Long",I1060-H1060,IF(G1060="Short",H1060-I1060,0))</f>
        <v/>
      </c>
      <c r="K1060" s="4" t="n">
        <v>0</v>
      </c>
      <c r="L1060" s="2" t="inlineStr">
        <is>
          <t>Win</t>
        </is>
      </c>
      <c r="M1060" s="3">
        <f>M1059+J1060</f>
        <v/>
      </c>
    </row>
    <row r="1061">
      <c r="A1061" s="2" t="inlineStr">
        <is>
          <t>2023-10-26</t>
        </is>
      </c>
      <c r="B1061" s="2" t="inlineStr">
        <is>
          <t>Thursday</t>
        </is>
      </c>
      <c r="C1061" s="2" t="inlineStr">
        <is>
          <t>MNQZ3</t>
        </is>
      </c>
      <c r="D1061" s="3" t="n">
        <v>14459.25</v>
      </c>
      <c r="E1061" s="3" t="n">
        <v>14368.75</v>
      </c>
      <c r="F1061" s="3">
        <f>D1061-E1061</f>
        <v/>
      </c>
      <c r="G1061" s="2" t="inlineStr">
        <is>
          <t>Short</t>
        </is>
      </c>
      <c r="H1061" s="3" t="n">
        <v>14368.75</v>
      </c>
      <c r="I1061" s="3" t="n">
        <v>14278.25</v>
      </c>
      <c r="J1061" s="3">
        <f>IF(G1061="Long",I1061-H1061,IF(G1061="Short",H1061-I1061,0))</f>
        <v/>
      </c>
      <c r="K1061" s="4" t="n">
        <v>17.13</v>
      </c>
      <c r="L1061" s="2" t="inlineStr">
        <is>
          <t>Win</t>
        </is>
      </c>
      <c r="M1061" s="3">
        <f>M1060+J1061</f>
        <v/>
      </c>
    </row>
    <row r="1062">
      <c r="A1062" s="5" t="inlineStr">
        <is>
          <t>2023-10-27</t>
        </is>
      </c>
      <c r="B1062" s="5" t="inlineStr">
        <is>
          <t>Friday</t>
        </is>
      </c>
      <c r="C1062" s="5" t="inlineStr">
        <is>
          <t>MNQZ3</t>
        </is>
      </c>
      <c r="D1062" s="6" t="n">
        <v>14349.5</v>
      </c>
      <c r="E1062" s="6" t="n">
        <v>14302.25</v>
      </c>
      <c r="F1062" s="6">
        <f>D1062-E1062</f>
        <v/>
      </c>
      <c r="G1062" s="5" t="inlineStr">
        <is>
          <t>Short</t>
        </is>
      </c>
      <c r="H1062" s="6" t="n">
        <v>14302.25</v>
      </c>
      <c r="I1062" s="6" t="n">
        <v>14349.5</v>
      </c>
      <c r="J1062" s="6">
        <f>IF(G1062="Long",I1062-H1062,IF(G1062="Short",H1062-I1062,0))</f>
        <v/>
      </c>
      <c r="K1062" s="7" t="n">
        <v>100</v>
      </c>
      <c r="L1062" s="5" t="inlineStr">
        <is>
          <t>Loss</t>
        </is>
      </c>
      <c r="M1062" s="6">
        <f>M1061+J1062</f>
        <v/>
      </c>
    </row>
    <row r="1063">
      <c r="A1063" s="5" t="inlineStr">
        <is>
          <t>2023-10-27</t>
        </is>
      </c>
      <c r="B1063" s="5" t="inlineStr">
        <is>
          <t>Friday</t>
        </is>
      </c>
      <c r="C1063" s="5" t="inlineStr">
        <is>
          <t>MNQZ3</t>
        </is>
      </c>
      <c r="D1063" s="6" t="n">
        <v>14349.5</v>
      </c>
      <c r="E1063" s="6" t="n">
        <v>14302.25</v>
      </c>
      <c r="F1063" s="6">
        <f>D1063-E1063</f>
        <v/>
      </c>
      <c r="G1063" s="5" t="inlineStr">
        <is>
          <t>Short</t>
        </is>
      </c>
      <c r="H1063" s="6" t="n">
        <v>14302.25</v>
      </c>
      <c r="I1063" s="6" t="n">
        <v>14349.5</v>
      </c>
      <c r="J1063" s="6">
        <f>IF(G1063="Long",I1063-H1063,IF(G1063="Short",H1063-I1063,0))</f>
        <v/>
      </c>
      <c r="K1063" s="7" t="n">
        <v>100</v>
      </c>
      <c r="L1063" s="5" t="inlineStr">
        <is>
          <t>Loss</t>
        </is>
      </c>
      <c r="M1063" s="6">
        <f>M1062+J1063</f>
        <v/>
      </c>
    </row>
    <row r="1064">
      <c r="A1064" s="5" t="inlineStr">
        <is>
          <t>2023-10-30</t>
        </is>
      </c>
      <c r="B1064" s="5" t="inlineStr">
        <is>
          <t>Monday</t>
        </is>
      </c>
      <c r="C1064" s="5" t="inlineStr">
        <is>
          <t>MNQZ3</t>
        </is>
      </c>
      <c r="D1064" s="6" t="n">
        <v>14437.25</v>
      </c>
      <c r="E1064" s="6" t="n">
        <v>14334.75</v>
      </c>
      <c r="F1064" s="6">
        <f>D1064-E1064</f>
        <v/>
      </c>
      <c r="G1064" s="5" t="inlineStr">
        <is>
          <t>Long</t>
        </is>
      </c>
      <c r="H1064" s="6" t="n">
        <v>14437.25</v>
      </c>
      <c r="I1064" s="6" t="n">
        <v>14334.75</v>
      </c>
      <c r="J1064" s="6">
        <f>IF(G1064="Long",I1064-H1064,IF(G1064="Short",H1064-I1064,0))</f>
        <v/>
      </c>
      <c r="K1064" s="7" t="n">
        <v>100</v>
      </c>
      <c r="L1064" s="5" t="inlineStr">
        <is>
          <t>Loss</t>
        </is>
      </c>
      <c r="M1064" s="6">
        <f>M1063+J1064</f>
        <v/>
      </c>
    </row>
    <row r="1065">
      <c r="A1065" s="5" t="inlineStr">
        <is>
          <t>2023-10-30</t>
        </is>
      </c>
      <c r="B1065" s="5" t="inlineStr">
        <is>
          <t>Monday</t>
        </is>
      </c>
      <c r="C1065" s="5" t="inlineStr">
        <is>
          <t>MNQZ3</t>
        </is>
      </c>
      <c r="D1065" s="6" t="n">
        <v>14437.25</v>
      </c>
      <c r="E1065" s="6" t="n">
        <v>14334.75</v>
      </c>
      <c r="F1065" s="6">
        <f>D1065-E1065</f>
        <v/>
      </c>
      <c r="G1065" s="5" t="inlineStr">
        <is>
          <t>Short</t>
        </is>
      </c>
      <c r="H1065" s="6" t="n">
        <v>14334.75</v>
      </c>
      <c r="I1065" s="6" t="n">
        <v>14437.25</v>
      </c>
      <c r="J1065" s="6">
        <f>IF(G1065="Long",I1065-H1065,IF(G1065="Short",H1065-I1065,0))</f>
        <v/>
      </c>
      <c r="K1065" s="7" t="n">
        <v>100</v>
      </c>
      <c r="L1065" s="5" t="inlineStr">
        <is>
          <t>Loss</t>
        </is>
      </c>
      <c r="M1065" s="6">
        <f>M1064+J1065</f>
        <v/>
      </c>
    </row>
    <row r="1066">
      <c r="A1066" s="8" t="inlineStr">
        <is>
          <t>2023-10-31</t>
        </is>
      </c>
      <c r="B1066" s="8" t="inlineStr">
        <is>
          <t>Tuesday</t>
        </is>
      </c>
      <c r="C1066" s="8" t="inlineStr">
        <is>
          <t>MNQZ3</t>
        </is>
      </c>
      <c r="D1066" s="9" t="n">
        <v>14429</v>
      </c>
      <c r="E1066" s="9" t="n">
        <v>14327</v>
      </c>
      <c r="F1066" s="9">
        <f>D1066-E1066</f>
        <v/>
      </c>
      <c r="G1066" s="8" t="inlineStr">
        <is>
          <t>Long</t>
        </is>
      </c>
      <c r="H1066" s="9" t="n">
        <v>14429</v>
      </c>
      <c r="I1066" s="9" t="n">
        <v>14489.25</v>
      </c>
      <c r="J1066" s="9">
        <f>IF(G1066="Long",I1066-H1066,IF(G1066="Short",H1066-I1066,0))</f>
        <v/>
      </c>
      <c r="K1066" s="10" t="n">
        <v>15.69</v>
      </c>
      <c r="L1066" s="8" t="inlineStr">
        <is>
          <t>EOD-Close</t>
        </is>
      </c>
      <c r="M1066" s="9">
        <f>M1065+J1066</f>
        <v/>
      </c>
    </row>
    <row r="1067">
      <c r="A1067" s="2" t="inlineStr">
        <is>
          <t>2023-11-01</t>
        </is>
      </c>
      <c r="B1067" s="2" t="inlineStr">
        <is>
          <t>Wednesday</t>
        </is>
      </c>
      <c r="C1067" s="2" t="inlineStr">
        <is>
          <t>MNQZ3</t>
        </is>
      </c>
      <c r="D1067" s="3" t="n">
        <v>14568.75</v>
      </c>
      <c r="E1067" s="3" t="n">
        <v>14515.25</v>
      </c>
      <c r="F1067" s="3">
        <f>D1067-E1067</f>
        <v/>
      </c>
      <c r="G1067" s="2" t="inlineStr">
        <is>
          <t>Long</t>
        </is>
      </c>
      <c r="H1067" s="3" t="n">
        <v>14568.75</v>
      </c>
      <c r="I1067" s="3" t="n">
        <v>14622.25</v>
      </c>
      <c r="J1067" s="3">
        <f>IF(G1067="Long",I1067-H1067,IF(G1067="Short",H1067-I1067,0))</f>
        <v/>
      </c>
      <c r="K1067" s="4" t="n">
        <v>72.43000000000001</v>
      </c>
      <c r="L1067" s="2" t="inlineStr">
        <is>
          <t>Win</t>
        </is>
      </c>
      <c r="M1067" s="3">
        <f>M1066+J1067</f>
        <v/>
      </c>
    </row>
    <row r="1068">
      <c r="A1068" s="2" t="inlineStr">
        <is>
          <t>2023-11-01</t>
        </is>
      </c>
      <c r="B1068" s="2" t="inlineStr">
        <is>
          <t>Wednesday</t>
        </is>
      </c>
      <c r="C1068" s="2" t="inlineStr">
        <is>
          <t>MNQZ3</t>
        </is>
      </c>
      <c r="D1068" s="3" t="n">
        <v>14568.75</v>
      </c>
      <c r="E1068" s="3" t="n">
        <v>14515.25</v>
      </c>
      <c r="F1068" s="3">
        <f>D1068-E1068</f>
        <v/>
      </c>
      <c r="G1068" s="2" t="inlineStr">
        <is>
          <t>Long</t>
        </is>
      </c>
      <c r="H1068" s="3" t="n">
        <v>14568.75</v>
      </c>
      <c r="I1068" s="3" t="n">
        <v>14622.25</v>
      </c>
      <c r="J1068" s="3">
        <f>IF(G1068="Long",I1068-H1068,IF(G1068="Short",H1068-I1068,0))</f>
        <v/>
      </c>
      <c r="K1068" s="4" t="n">
        <v>12.15</v>
      </c>
      <c r="L1068" s="2" t="inlineStr">
        <is>
          <t>Win</t>
        </is>
      </c>
      <c r="M1068" s="3">
        <f>M1067+J1068</f>
        <v/>
      </c>
    </row>
    <row r="1069">
      <c r="A1069" s="5" t="inlineStr">
        <is>
          <t>2023-11-02</t>
        </is>
      </c>
      <c r="B1069" s="5" t="inlineStr">
        <is>
          <t>Thursday</t>
        </is>
      </c>
      <c r="C1069" s="5" t="inlineStr">
        <is>
          <t>MNQZ3</t>
        </is>
      </c>
      <c r="D1069" s="6" t="n">
        <v>14952.5</v>
      </c>
      <c r="E1069" s="6" t="n">
        <v>14904</v>
      </c>
      <c r="F1069" s="6">
        <f>D1069-E1069</f>
        <v/>
      </c>
      <c r="G1069" s="5" t="inlineStr">
        <is>
          <t>Short</t>
        </is>
      </c>
      <c r="H1069" s="6" t="n">
        <v>14904</v>
      </c>
      <c r="I1069" s="6" t="n">
        <v>14952.5</v>
      </c>
      <c r="J1069" s="6">
        <f>IF(G1069="Long",I1069-H1069,IF(G1069="Short",H1069-I1069,0))</f>
        <v/>
      </c>
      <c r="K1069" s="7" t="n">
        <v>100</v>
      </c>
      <c r="L1069" s="5" t="inlineStr">
        <is>
          <t>Loss</t>
        </is>
      </c>
      <c r="M1069" s="6">
        <f>M1068+J1069</f>
        <v/>
      </c>
    </row>
    <row r="1070">
      <c r="A1070" s="2" t="inlineStr">
        <is>
          <t>2023-11-02</t>
        </is>
      </c>
      <c r="B1070" s="2" t="inlineStr">
        <is>
          <t>Thursday</t>
        </is>
      </c>
      <c r="C1070" s="2" t="inlineStr">
        <is>
          <t>MNQZ3</t>
        </is>
      </c>
      <c r="D1070" s="3" t="n">
        <v>14952.5</v>
      </c>
      <c r="E1070" s="3" t="n">
        <v>14904</v>
      </c>
      <c r="F1070" s="3">
        <f>D1070-E1070</f>
        <v/>
      </c>
      <c r="G1070" s="2" t="inlineStr">
        <is>
          <t>Long</t>
        </is>
      </c>
      <c r="H1070" s="3" t="n">
        <v>14952.5</v>
      </c>
      <c r="I1070" s="3" t="n">
        <v>15001</v>
      </c>
      <c r="J1070" s="3">
        <f>IF(G1070="Long",I1070-H1070,IF(G1070="Short",H1070-I1070,0))</f>
        <v/>
      </c>
      <c r="K1070" s="4" t="n">
        <v>61.86</v>
      </c>
      <c r="L1070" s="2" t="inlineStr">
        <is>
          <t>Win</t>
        </is>
      </c>
      <c r="M1070" s="3">
        <f>M1069+J1070</f>
        <v/>
      </c>
    </row>
    <row r="1071">
      <c r="A1071" s="2" t="inlineStr">
        <is>
          <t>2023-11-03</t>
        </is>
      </c>
      <c r="B1071" s="2" t="inlineStr">
        <is>
          <t>Friday</t>
        </is>
      </c>
      <c r="C1071" s="2" t="inlineStr">
        <is>
          <t>MNQZ3</t>
        </is>
      </c>
      <c r="D1071" s="3" t="n">
        <v>15094.25</v>
      </c>
      <c r="E1071" s="3" t="n">
        <v>15040.25</v>
      </c>
      <c r="F1071" s="3">
        <f>D1071-E1071</f>
        <v/>
      </c>
      <c r="G1071" s="2" t="inlineStr">
        <is>
          <t>Long</t>
        </is>
      </c>
      <c r="H1071" s="3" t="n">
        <v>15094.25</v>
      </c>
      <c r="I1071" s="3" t="n">
        <v>15148.25</v>
      </c>
      <c r="J1071" s="3">
        <f>IF(G1071="Long",I1071-H1071,IF(G1071="Short",H1071-I1071,0))</f>
        <v/>
      </c>
      <c r="K1071" s="4" t="n">
        <v>0</v>
      </c>
      <c r="L1071" s="2" t="inlineStr">
        <is>
          <t>Win</t>
        </is>
      </c>
      <c r="M1071" s="3">
        <f>M1070+J1071</f>
        <v/>
      </c>
    </row>
    <row r="1072">
      <c r="A1072" s="2" t="inlineStr">
        <is>
          <t>2023-11-03</t>
        </is>
      </c>
      <c r="B1072" s="2" t="inlineStr">
        <is>
          <t>Friday</t>
        </is>
      </c>
      <c r="C1072" s="2" t="inlineStr">
        <is>
          <t>MNQZ3</t>
        </is>
      </c>
      <c r="D1072" s="3" t="n">
        <v>15094.25</v>
      </c>
      <c r="E1072" s="3" t="n">
        <v>15040.25</v>
      </c>
      <c r="F1072" s="3">
        <f>D1072-E1072</f>
        <v/>
      </c>
      <c r="G1072" s="2" t="inlineStr">
        <is>
          <t>Long</t>
        </is>
      </c>
      <c r="H1072" s="3" t="n">
        <v>15094.25</v>
      </c>
      <c r="I1072" s="3" t="n">
        <v>15148.25</v>
      </c>
      <c r="J1072" s="3">
        <f>IF(G1072="Long",I1072-H1072,IF(G1072="Short",H1072-I1072,0))</f>
        <v/>
      </c>
      <c r="K1072" s="4" t="n">
        <v>78.7</v>
      </c>
      <c r="L1072" s="2" t="inlineStr">
        <is>
          <t>Win</t>
        </is>
      </c>
      <c r="M1072" s="3">
        <f>M1071+J1072</f>
        <v/>
      </c>
    </row>
    <row r="1073">
      <c r="A1073" s="2" t="inlineStr">
        <is>
          <t>2023-11-06</t>
        </is>
      </c>
      <c r="B1073" s="2" t="inlineStr">
        <is>
          <t>Monday</t>
        </is>
      </c>
      <c r="C1073" s="2" t="inlineStr">
        <is>
          <t>MNQZ3</t>
        </is>
      </c>
      <c r="D1073" s="3" t="n">
        <v>15257.5</v>
      </c>
      <c r="E1073" s="3" t="n">
        <v>15203.25</v>
      </c>
      <c r="F1073" s="3">
        <f>D1073-E1073</f>
        <v/>
      </c>
      <c r="G1073" s="2" t="inlineStr">
        <is>
          <t>Short</t>
        </is>
      </c>
      <c r="H1073" s="3" t="n">
        <v>15203.25</v>
      </c>
      <c r="I1073" s="3" t="n">
        <v>15149</v>
      </c>
      <c r="J1073" s="3">
        <f>IF(G1073="Long",I1073-H1073,IF(G1073="Short",H1073-I1073,0))</f>
        <v/>
      </c>
      <c r="K1073" s="4" t="n">
        <v>79.26000000000001</v>
      </c>
      <c r="L1073" s="2" t="inlineStr">
        <is>
          <t>Win</t>
        </is>
      </c>
      <c r="M1073" s="3">
        <f>M1072+J1073</f>
        <v/>
      </c>
    </row>
    <row r="1074">
      <c r="A1074" s="8" t="inlineStr">
        <is>
          <t>2023-11-06</t>
        </is>
      </c>
      <c r="B1074" s="8" t="inlineStr">
        <is>
          <t>Monday</t>
        </is>
      </c>
      <c r="C1074" s="8" t="inlineStr">
        <is>
          <t>MNQZ3</t>
        </is>
      </c>
      <c r="D1074" s="9" t="n">
        <v>15257.5</v>
      </c>
      <c r="E1074" s="9" t="n">
        <v>15203.25</v>
      </c>
      <c r="F1074" s="9">
        <f>D1074-E1074</f>
        <v/>
      </c>
      <c r="G1074" s="8" t="inlineStr">
        <is>
          <t>Short</t>
        </is>
      </c>
      <c r="H1074" s="9" t="n">
        <v>15203.25</v>
      </c>
      <c r="I1074" s="9" t="n">
        <v>15233.5</v>
      </c>
      <c r="J1074" s="9">
        <f>IF(G1074="Long",I1074-H1074,IF(G1074="Short",H1074-I1074,0))</f>
        <v/>
      </c>
      <c r="K1074" s="10" t="n">
        <v>61.75</v>
      </c>
      <c r="L1074" s="8" t="inlineStr">
        <is>
          <t>EOD-Close</t>
        </is>
      </c>
      <c r="M1074" s="9">
        <f>M1073+J1074</f>
        <v/>
      </c>
    </row>
    <row r="1075">
      <c r="A1075" s="2" t="inlineStr">
        <is>
          <t>2023-11-07</t>
        </is>
      </c>
      <c r="B1075" s="2" t="inlineStr">
        <is>
          <t>Tuesday</t>
        </is>
      </c>
      <c r="C1075" s="2" t="inlineStr">
        <is>
          <t>MNQZ3</t>
        </is>
      </c>
      <c r="D1075" s="3" t="n">
        <v>15287</v>
      </c>
      <c r="E1075" s="3" t="n">
        <v>15224.5</v>
      </c>
      <c r="F1075" s="3">
        <f>D1075-E1075</f>
        <v/>
      </c>
      <c r="G1075" s="2" t="inlineStr">
        <is>
          <t>Long</t>
        </is>
      </c>
      <c r="H1075" s="3" t="n">
        <v>15287</v>
      </c>
      <c r="I1075" s="3" t="n">
        <v>15349.5</v>
      </c>
      <c r="J1075" s="3">
        <f>IF(G1075="Long",I1075-H1075,IF(G1075="Short",H1075-I1075,0))</f>
        <v/>
      </c>
      <c r="K1075" s="4" t="n">
        <v>22.4</v>
      </c>
      <c r="L1075" s="2" t="inlineStr">
        <is>
          <t>Win</t>
        </is>
      </c>
      <c r="M1075" s="3">
        <f>M1074+J1075</f>
        <v/>
      </c>
    </row>
    <row r="1076">
      <c r="A1076" s="2" t="inlineStr">
        <is>
          <t>2023-11-08</t>
        </is>
      </c>
      <c r="B1076" s="2" t="inlineStr">
        <is>
          <t>Wednesday</t>
        </is>
      </c>
      <c r="C1076" s="2" t="inlineStr">
        <is>
          <t>MNQZ3</t>
        </is>
      </c>
      <c r="D1076" s="3" t="n">
        <v>15416</v>
      </c>
      <c r="E1076" s="3" t="n">
        <v>15373.75</v>
      </c>
      <c r="F1076" s="3">
        <f>D1076-E1076</f>
        <v/>
      </c>
      <c r="G1076" s="2" t="inlineStr">
        <is>
          <t>Short</t>
        </is>
      </c>
      <c r="H1076" s="3" t="n">
        <v>15373.75</v>
      </c>
      <c r="I1076" s="3" t="n">
        <v>15331.5</v>
      </c>
      <c r="J1076" s="3">
        <f>IF(G1076="Long",I1076-H1076,IF(G1076="Short",H1076-I1076,0))</f>
        <v/>
      </c>
      <c r="K1076" s="4" t="n">
        <v>31.36</v>
      </c>
      <c r="L1076" s="2" t="inlineStr">
        <is>
          <t>Win</t>
        </is>
      </c>
      <c r="M1076" s="3">
        <f>M1075+J1076</f>
        <v/>
      </c>
    </row>
    <row r="1077">
      <c r="A1077" s="8" t="inlineStr">
        <is>
          <t>2023-11-08</t>
        </is>
      </c>
      <c r="B1077" s="8" t="inlineStr">
        <is>
          <t>Wednesday</t>
        </is>
      </c>
      <c r="C1077" s="8" t="inlineStr">
        <is>
          <t>MNQZ3</t>
        </is>
      </c>
      <c r="D1077" s="9" t="n">
        <v>15416</v>
      </c>
      <c r="E1077" s="9" t="n">
        <v>15373.75</v>
      </c>
      <c r="F1077" s="9">
        <f>D1077-E1077</f>
        <v/>
      </c>
      <c r="G1077" s="8" t="inlineStr">
        <is>
          <t>Short</t>
        </is>
      </c>
      <c r="H1077" s="9" t="n">
        <v>15373.75</v>
      </c>
      <c r="I1077" s="9" t="n">
        <v>15384</v>
      </c>
      <c r="J1077" s="9">
        <f>IF(G1077="Long",I1077-H1077,IF(G1077="Short",H1077-I1077,0))</f>
        <v/>
      </c>
      <c r="K1077" s="10" t="n">
        <v>49.11</v>
      </c>
      <c r="L1077" s="8" t="inlineStr">
        <is>
          <t>EOD-Close</t>
        </is>
      </c>
      <c r="M1077" s="9">
        <f>M1076+J1077</f>
        <v/>
      </c>
    </row>
    <row r="1078">
      <c r="A1078" s="5" t="inlineStr">
        <is>
          <t>2023-11-09</t>
        </is>
      </c>
      <c r="B1078" s="5" t="inlineStr">
        <is>
          <t>Thursday</t>
        </is>
      </c>
      <c r="C1078" s="5" t="inlineStr">
        <is>
          <t>MNQZ3</t>
        </is>
      </c>
      <c r="D1078" s="6" t="n">
        <v>15419.25</v>
      </c>
      <c r="E1078" s="6" t="n">
        <v>15365.75</v>
      </c>
      <c r="F1078" s="6">
        <f>D1078-E1078</f>
        <v/>
      </c>
      <c r="G1078" s="5" t="inlineStr">
        <is>
          <t>Long</t>
        </is>
      </c>
      <c r="H1078" s="6" t="n">
        <v>15419.25</v>
      </c>
      <c r="I1078" s="6" t="n">
        <v>15365.75</v>
      </c>
      <c r="J1078" s="6">
        <f>IF(G1078="Long",I1078-H1078,IF(G1078="Short",H1078-I1078,0))</f>
        <v/>
      </c>
      <c r="K1078" s="7" t="n">
        <v>100</v>
      </c>
      <c r="L1078" s="5" t="inlineStr">
        <is>
          <t>Loss</t>
        </is>
      </c>
      <c r="M1078" s="6">
        <f>M1077+J1078</f>
        <v/>
      </c>
    </row>
    <row r="1079">
      <c r="A1079" s="5" t="inlineStr">
        <is>
          <t>2023-11-09</t>
        </is>
      </c>
      <c r="B1079" s="5" t="inlineStr">
        <is>
          <t>Thursday</t>
        </is>
      </c>
      <c r="C1079" s="5" t="inlineStr">
        <is>
          <t>MNQZ3</t>
        </is>
      </c>
      <c r="D1079" s="6" t="n">
        <v>15419.25</v>
      </c>
      <c r="E1079" s="6" t="n">
        <v>15365.75</v>
      </c>
      <c r="F1079" s="6">
        <f>D1079-E1079</f>
        <v/>
      </c>
      <c r="G1079" s="5" t="inlineStr">
        <is>
          <t>Short</t>
        </is>
      </c>
      <c r="H1079" s="6" t="n">
        <v>15365.75</v>
      </c>
      <c r="I1079" s="6" t="n">
        <v>15419.25</v>
      </c>
      <c r="J1079" s="6">
        <f>IF(G1079="Long",I1079-H1079,IF(G1079="Short",H1079-I1079,0))</f>
        <v/>
      </c>
      <c r="K1079" s="7" t="n">
        <v>100</v>
      </c>
      <c r="L1079" s="5" t="inlineStr">
        <is>
          <t>Loss</t>
        </is>
      </c>
      <c r="M1079" s="6">
        <f>M1078+J1079</f>
        <v/>
      </c>
    </row>
    <row r="1080">
      <c r="A1080" s="2" t="inlineStr">
        <is>
          <t>2023-11-10</t>
        </is>
      </c>
      <c r="B1080" s="2" t="inlineStr">
        <is>
          <t>Friday</t>
        </is>
      </c>
      <c r="C1080" s="2" t="inlineStr">
        <is>
          <t>MNQZ3</t>
        </is>
      </c>
      <c r="D1080" s="3" t="n">
        <v>15380.75</v>
      </c>
      <c r="E1080" s="3" t="n">
        <v>15305.5</v>
      </c>
      <c r="F1080" s="3">
        <f>D1080-E1080</f>
        <v/>
      </c>
      <c r="G1080" s="2" t="inlineStr">
        <is>
          <t>Long</t>
        </is>
      </c>
      <c r="H1080" s="3" t="n">
        <v>15380.75</v>
      </c>
      <c r="I1080" s="3" t="n">
        <v>15456</v>
      </c>
      <c r="J1080" s="3">
        <f>IF(G1080="Long",I1080-H1080,IF(G1080="Short",H1080-I1080,0))</f>
        <v/>
      </c>
      <c r="K1080" s="4" t="n">
        <v>78.06999999999999</v>
      </c>
      <c r="L1080" s="2" t="inlineStr">
        <is>
          <t>Win</t>
        </is>
      </c>
      <c r="M1080" s="3">
        <f>M1079+J1080</f>
        <v/>
      </c>
    </row>
    <row r="1081">
      <c r="A1081" s="5" t="inlineStr">
        <is>
          <t>2023-11-13</t>
        </is>
      </c>
      <c r="B1081" s="5" t="inlineStr">
        <is>
          <t>Monday</t>
        </is>
      </c>
      <c r="C1081" s="5" t="inlineStr">
        <is>
          <t>MNQZ3</t>
        </is>
      </c>
      <c r="D1081" s="6" t="n">
        <v>15539</v>
      </c>
      <c r="E1081" s="6" t="n">
        <v>15484</v>
      </c>
      <c r="F1081" s="6">
        <f>D1081-E1081</f>
        <v/>
      </c>
      <c r="G1081" s="5" t="inlineStr">
        <is>
          <t>Short</t>
        </is>
      </c>
      <c r="H1081" s="6" t="n">
        <v>15484</v>
      </c>
      <c r="I1081" s="6" t="n">
        <v>15539</v>
      </c>
      <c r="J1081" s="6">
        <f>IF(G1081="Long",I1081-H1081,IF(G1081="Short",H1081-I1081,0))</f>
        <v/>
      </c>
      <c r="K1081" s="7" t="n">
        <v>100</v>
      </c>
      <c r="L1081" s="5" t="inlineStr">
        <is>
          <t>Loss</t>
        </is>
      </c>
      <c r="M1081" s="6">
        <f>M1080+J1081</f>
        <v/>
      </c>
    </row>
    <row r="1082">
      <c r="A1082" s="8" t="inlineStr">
        <is>
          <t>2023-11-13</t>
        </is>
      </c>
      <c r="B1082" s="8" t="inlineStr">
        <is>
          <t>Monday</t>
        </is>
      </c>
      <c r="C1082" s="8" t="inlineStr">
        <is>
          <t>MNQZ3</t>
        </is>
      </c>
      <c r="D1082" s="9" t="n">
        <v>15539</v>
      </c>
      <c r="E1082" s="9" t="n">
        <v>15484</v>
      </c>
      <c r="F1082" s="9">
        <f>D1082-E1082</f>
        <v/>
      </c>
      <c r="G1082" s="8" t="inlineStr">
        <is>
          <t>Long</t>
        </is>
      </c>
      <c r="H1082" s="9" t="n">
        <v>15539</v>
      </c>
      <c r="I1082" s="9" t="n">
        <v>15547.75</v>
      </c>
      <c r="J1082" s="9">
        <f>IF(G1082="Long",I1082-H1082,IF(G1082="Short",H1082-I1082,0))</f>
        <v/>
      </c>
      <c r="K1082" s="10" t="n">
        <v>17.27</v>
      </c>
      <c r="L1082" s="8" t="inlineStr">
        <is>
          <t>EOD-Close</t>
        </is>
      </c>
      <c r="M1082" s="9">
        <f>M1081+J1082</f>
        <v/>
      </c>
    </row>
    <row r="1083">
      <c r="A1083" s="8" t="inlineStr">
        <is>
          <t>2023-11-14</t>
        </is>
      </c>
      <c r="B1083" s="8" t="inlineStr">
        <is>
          <t>Tuesday</t>
        </is>
      </c>
      <c r="C1083" s="8" t="inlineStr">
        <is>
          <t>MNQZ3</t>
        </is>
      </c>
      <c r="D1083" s="9" t="n">
        <v>15856.75</v>
      </c>
      <c r="E1083" s="9" t="n">
        <v>15790</v>
      </c>
      <c r="F1083" s="9">
        <f>D1083-E1083</f>
        <v/>
      </c>
      <c r="G1083" s="8" t="inlineStr">
        <is>
          <t>Long</t>
        </is>
      </c>
      <c r="H1083" s="9" t="n">
        <v>15856.75</v>
      </c>
      <c r="I1083" s="9" t="n">
        <v>15878.75</v>
      </c>
      <c r="J1083" s="9">
        <f>IF(G1083="Long",I1083-H1083,IF(G1083="Short",H1083-I1083,0))</f>
        <v/>
      </c>
      <c r="K1083" s="10" t="n">
        <v>52.06</v>
      </c>
      <c r="L1083" s="8" t="inlineStr">
        <is>
          <t>EOD-Close</t>
        </is>
      </c>
      <c r="M1083" s="9">
        <f>M1082+J1083</f>
        <v/>
      </c>
    </row>
    <row r="1084">
      <c r="A1084" s="5" t="inlineStr">
        <is>
          <t>2023-11-15</t>
        </is>
      </c>
      <c r="B1084" s="5" t="inlineStr">
        <is>
          <t>Wednesday</t>
        </is>
      </c>
      <c r="C1084" s="5" t="inlineStr">
        <is>
          <t>MNQZ3</t>
        </is>
      </c>
      <c r="D1084" s="6" t="n">
        <v>15974</v>
      </c>
      <c r="E1084" s="6" t="n">
        <v>15934</v>
      </c>
      <c r="F1084" s="6">
        <f>D1084-E1084</f>
        <v/>
      </c>
      <c r="G1084" s="5" t="inlineStr">
        <is>
          <t>Short</t>
        </is>
      </c>
      <c r="H1084" s="6" t="n">
        <v>15934</v>
      </c>
      <c r="I1084" s="6" t="n">
        <v>15974</v>
      </c>
      <c r="J1084" s="6">
        <f>IF(G1084="Long",I1084-H1084,IF(G1084="Short",H1084-I1084,0))</f>
        <v/>
      </c>
      <c r="K1084" s="7" t="n">
        <v>100</v>
      </c>
      <c r="L1084" s="5" t="inlineStr">
        <is>
          <t>Loss</t>
        </is>
      </c>
      <c r="M1084" s="6">
        <f>M1083+J1084</f>
        <v/>
      </c>
    </row>
    <row r="1085">
      <c r="A1085" s="2" t="inlineStr">
        <is>
          <t>2023-11-15</t>
        </is>
      </c>
      <c r="B1085" s="2" t="inlineStr">
        <is>
          <t>Wednesday</t>
        </is>
      </c>
      <c r="C1085" s="2" t="inlineStr">
        <is>
          <t>MNQZ3</t>
        </is>
      </c>
      <c r="D1085" s="3" t="n">
        <v>15974</v>
      </c>
      <c r="E1085" s="3" t="n">
        <v>15934</v>
      </c>
      <c r="F1085" s="3">
        <f>D1085-E1085</f>
        <v/>
      </c>
      <c r="G1085" s="2" t="inlineStr">
        <is>
          <t>Short</t>
        </is>
      </c>
      <c r="H1085" s="3" t="n">
        <v>15934</v>
      </c>
      <c r="I1085" s="3" t="n">
        <v>15894</v>
      </c>
      <c r="J1085" s="3">
        <f>IF(G1085="Long",I1085-H1085,IF(G1085="Short",H1085-I1085,0))</f>
        <v/>
      </c>
      <c r="K1085" s="4" t="n">
        <v>0</v>
      </c>
      <c r="L1085" s="2" t="inlineStr">
        <is>
          <t>Win</t>
        </is>
      </c>
      <c r="M1085" s="3">
        <f>M1084+J1085</f>
        <v/>
      </c>
    </row>
    <row r="1086">
      <c r="A1086" s="2" t="inlineStr">
        <is>
          <t>2023-11-16</t>
        </is>
      </c>
      <c r="B1086" s="2" t="inlineStr">
        <is>
          <t>Thursday</t>
        </is>
      </c>
      <c r="C1086" s="2" t="inlineStr">
        <is>
          <t>MNQZ3</t>
        </is>
      </c>
      <c r="D1086" s="3" t="n">
        <v>15855.25</v>
      </c>
      <c r="E1086" s="3" t="n">
        <v>15825</v>
      </c>
      <c r="F1086" s="3">
        <f>D1086-E1086</f>
        <v/>
      </c>
      <c r="G1086" s="2" t="inlineStr">
        <is>
          <t>Long</t>
        </is>
      </c>
      <c r="H1086" s="3" t="n">
        <v>15855.25</v>
      </c>
      <c r="I1086" s="3" t="n">
        <v>15885.5</v>
      </c>
      <c r="J1086" s="3">
        <f>IF(G1086="Long",I1086-H1086,IF(G1086="Short",H1086-I1086,0))</f>
        <v/>
      </c>
      <c r="K1086" s="4" t="n">
        <v>0</v>
      </c>
      <c r="L1086" s="2" t="inlineStr">
        <is>
          <t>Win</t>
        </is>
      </c>
      <c r="M1086" s="3">
        <f>M1085+J1086</f>
        <v/>
      </c>
    </row>
    <row r="1087">
      <c r="A1087" s="2" t="inlineStr">
        <is>
          <t>2023-11-16</t>
        </is>
      </c>
      <c r="B1087" s="2" t="inlineStr">
        <is>
          <t>Thursday</t>
        </is>
      </c>
      <c r="C1087" s="2" t="inlineStr">
        <is>
          <t>MNQZ3</t>
        </is>
      </c>
      <c r="D1087" s="3" t="n">
        <v>15855.25</v>
      </c>
      <c r="E1087" s="3" t="n">
        <v>15825</v>
      </c>
      <c r="F1087" s="3">
        <f>D1087-E1087</f>
        <v/>
      </c>
      <c r="G1087" s="2" t="inlineStr">
        <is>
          <t>Long</t>
        </is>
      </c>
      <c r="H1087" s="3" t="n">
        <v>15855.25</v>
      </c>
      <c r="I1087" s="3" t="n">
        <v>15885.5</v>
      </c>
      <c r="J1087" s="3">
        <f>IF(G1087="Long",I1087-H1087,IF(G1087="Short",H1087-I1087,0))</f>
        <v/>
      </c>
      <c r="K1087" s="4" t="n">
        <v>32.23</v>
      </c>
      <c r="L1087" s="2" t="inlineStr">
        <is>
          <t>Win</t>
        </is>
      </c>
      <c r="M1087" s="3">
        <f>M1086+J1087</f>
        <v/>
      </c>
    </row>
    <row r="1088">
      <c r="A1088" s="5" t="inlineStr">
        <is>
          <t>2023-11-17</t>
        </is>
      </c>
      <c r="B1088" s="5" t="inlineStr">
        <is>
          <t>Friday</t>
        </is>
      </c>
      <c r="C1088" s="5" t="inlineStr">
        <is>
          <t>MNQZ3</t>
        </is>
      </c>
      <c r="D1088" s="6" t="n">
        <v>15873.25</v>
      </c>
      <c r="E1088" s="6" t="n">
        <v>15831.5</v>
      </c>
      <c r="F1088" s="6">
        <f>D1088-E1088</f>
        <v/>
      </c>
      <c r="G1088" s="5" t="inlineStr">
        <is>
          <t>Long</t>
        </is>
      </c>
      <c r="H1088" s="6" t="n">
        <v>15873.25</v>
      </c>
      <c r="I1088" s="6" t="n">
        <v>15831.5</v>
      </c>
      <c r="J1088" s="6">
        <f>IF(G1088="Long",I1088-H1088,IF(G1088="Short",H1088-I1088,0))</f>
        <v/>
      </c>
      <c r="K1088" s="7" t="n">
        <v>100</v>
      </c>
      <c r="L1088" s="5" t="inlineStr">
        <is>
          <t>Loss</t>
        </is>
      </c>
      <c r="M1088" s="6">
        <f>M1087+J1088</f>
        <v/>
      </c>
    </row>
    <row r="1089">
      <c r="A1089" s="5" t="inlineStr">
        <is>
          <t>2023-11-17</t>
        </is>
      </c>
      <c r="B1089" s="5" t="inlineStr">
        <is>
          <t>Friday</t>
        </is>
      </c>
      <c r="C1089" s="5" t="inlineStr">
        <is>
          <t>MNQZ3</t>
        </is>
      </c>
      <c r="D1089" s="6" t="n">
        <v>15873.25</v>
      </c>
      <c r="E1089" s="6" t="n">
        <v>15831.5</v>
      </c>
      <c r="F1089" s="6">
        <f>D1089-E1089</f>
        <v/>
      </c>
      <c r="G1089" s="5" t="inlineStr">
        <is>
          <t>Long</t>
        </is>
      </c>
      <c r="H1089" s="6" t="n">
        <v>15873.25</v>
      </c>
      <c r="I1089" s="6" t="n">
        <v>15831.5</v>
      </c>
      <c r="J1089" s="6">
        <f>IF(G1089="Long",I1089-H1089,IF(G1089="Short",H1089-I1089,0))</f>
        <v/>
      </c>
      <c r="K1089" s="7" t="n">
        <v>100</v>
      </c>
      <c r="L1089" s="5" t="inlineStr">
        <is>
          <t>Loss</t>
        </is>
      </c>
      <c r="M1089" s="6">
        <f>M1088+J1089</f>
        <v/>
      </c>
    </row>
    <row r="1090">
      <c r="A1090" s="2" t="inlineStr">
        <is>
          <t>2023-11-20</t>
        </is>
      </c>
      <c r="B1090" s="2" t="inlineStr">
        <is>
          <t>Monday</t>
        </is>
      </c>
      <c r="C1090" s="2" t="inlineStr">
        <is>
          <t>MNQZ3</t>
        </is>
      </c>
      <c r="D1090" s="3" t="n">
        <v>15983</v>
      </c>
      <c r="E1090" s="3" t="n">
        <v>15894.75</v>
      </c>
      <c r="F1090" s="3">
        <f>D1090-E1090</f>
        <v/>
      </c>
      <c r="G1090" s="2" t="inlineStr">
        <is>
          <t>Long</t>
        </is>
      </c>
      <c r="H1090" s="3" t="n">
        <v>15983</v>
      </c>
      <c r="I1090" s="3" t="n">
        <v>16071.25</v>
      </c>
      <c r="J1090" s="3">
        <f>IF(G1090="Long",I1090-H1090,IF(G1090="Short",H1090-I1090,0))</f>
        <v/>
      </c>
      <c r="K1090" s="4" t="n">
        <v>51.56</v>
      </c>
      <c r="L1090" s="2" t="inlineStr">
        <is>
          <t>Win</t>
        </is>
      </c>
      <c r="M1090" s="3">
        <f>M1089+J1090</f>
        <v/>
      </c>
    </row>
    <row r="1091">
      <c r="A1091" s="2" t="inlineStr">
        <is>
          <t>2023-11-21</t>
        </is>
      </c>
      <c r="B1091" s="2" t="inlineStr">
        <is>
          <t>Tuesday</t>
        </is>
      </c>
      <c r="C1091" s="2" t="inlineStr">
        <is>
          <t>MNQZ3</t>
        </is>
      </c>
      <c r="D1091" s="3" t="n">
        <v>16021.25</v>
      </c>
      <c r="E1091" s="3" t="n">
        <v>15980.5</v>
      </c>
      <c r="F1091" s="3">
        <f>D1091-E1091</f>
        <v/>
      </c>
      <c r="G1091" s="2" t="inlineStr">
        <is>
          <t>Short</t>
        </is>
      </c>
      <c r="H1091" s="3" t="n">
        <v>15980.5</v>
      </c>
      <c r="I1091" s="3" t="n">
        <v>15939.75</v>
      </c>
      <c r="J1091" s="3">
        <f>IF(G1091="Long",I1091-H1091,IF(G1091="Short",H1091-I1091,0))</f>
        <v/>
      </c>
      <c r="K1091" s="4" t="n">
        <v>0</v>
      </c>
      <c r="L1091" s="2" t="inlineStr">
        <is>
          <t>Win</t>
        </is>
      </c>
      <c r="M1091" s="3">
        <f>M1090+J1091</f>
        <v/>
      </c>
    </row>
    <row r="1092">
      <c r="A1092" s="8" t="inlineStr">
        <is>
          <t>2023-11-21</t>
        </is>
      </c>
      <c r="B1092" s="8" t="inlineStr">
        <is>
          <t>Tuesday</t>
        </is>
      </c>
      <c r="C1092" s="8" t="inlineStr">
        <is>
          <t>MNQZ3</t>
        </is>
      </c>
      <c r="D1092" s="9" t="n">
        <v>16021.25</v>
      </c>
      <c r="E1092" s="9" t="n">
        <v>15980.5</v>
      </c>
      <c r="F1092" s="9">
        <f>D1092-E1092</f>
        <v/>
      </c>
      <c r="G1092" s="8" t="inlineStr">
        <is>
          <t>Short</t>
        </is>
      </c>
      <c r="H1092" s="9" t="n">
        <v>15980.5</v>
      </c>
      <c r="I1092" s="9" t="n">
        <v>15988.75</v>
      </c>
      <c r="J1092" s="9">
        <f>IF(G1092="Long",I1092-H1092,IF(G1092="Short",H1092-I1092,0))</f>
        <v/>
      </c>
      <c r="K1092" s="10" t="n">
        <v>49.69</v>
      </c>
      <c r="L1092" s="8" t="inlineStr">
        <is>
          <t>EOD-Close</t>
        </is>
      </c>
      <c r="M1092" s="9">
        <f>M1091+J1092</f>
        <v/>
      </c>
    </row>
    <row r="1093">
      <c r="A1093" s="8" t="inlineStr">
        <is>
          <t>2023-11-22</t>
        </is>
      </c>
      <c r="B1093" s="8" t="inlineStr">
        <is>
          <t>Wednesday</t>
        </is>
      </c>
      <c r="C1093" s="8" t="inlineStr">
        <is>
          <t>MNQZ3</t>
        </is>
      </c>
      <c r="D1093" s="9" t="n">
        <v>16173.25</v>
      </c>
      <c r="E1093" s="9" t="n">
        <v>16069.5</v>
      </c>
      <c r="F1093" s="9">
        <f>D1093-E1093</f>
        <v/>
      </c>
      <c r="G1093" s="8" t="inlineStr">
        <is>
          <t>Short</t>
        </is>
      </c>
      <c r="H1093" s="9" t="n">
        <v>16069.5</v>
      </c>
      <c r="I1093" s="9" t="n">
        <v>16047.5</v>
      </c>
      <c r="J1093" s="9">
        <f>IF(G1093="Long",I1093-H1093,IF(G1093="Short",H1093-I1093,0))</f>
        <v/>
      </c>
      <c r="K1093" s="10" t="n">
        <v>33.98</v>
      </c>
      <c r="L1093" s="8" t="inlineStr">
        <is>
          <t>EOD-Close</t>
        </is>
      </c>
      <c r="M1093" s="9">
        <f>M1092+J1093</f>
        <v/>
      </c>
    </row>
    <row r="1094">
      <c r="A1094" s="5" t="inlineStr">
        <is>
          <t>2023-11-23</t>
        </is>
      </c>
      <c r="B1094" s="5" t="inlineStr">
        <is>
          <t>Thursday</t>
        </is>
      </c>
      <c r="C1094" s="5" t="inlineStr">
        <is>
          <t>MNQZ3</t>
        </is>
      </c>
      <c r="D1094" s="6" t="n">
        <v>16069.5</v>
      </c>
      <c r="E1094" s="6" t="n">
        <v>16055</v>
      </c>
      <c r="F1094" s="6">
        <f>D1094-E1094</f>
        <v/>
      </c>
      <c r="G1094" s="5" t="inlineStr">
        <is>
          <t>Short</t>
        </is>
      </c>
      <c r="H1094" s="6" t="n">
        <v>16055</v>
      </c>
      <c r="I1094" s="6" t="n">
        <v>16069.5</v>
      </c>
      <c r="J1094" s="6">
        <f>IF(G1094="Long",I1094-H1094,IF(G1094="Short",H1094-I1094,0))</f>
        <v/>
      </c>
      <c r="K1094" s="7" t="n">
        <v>100</v>
      </c>
      <c r="L1094" s="5" t="inlineStr">
        <is>
          <t>Loss</t>
        </is>
      </c>
      <c r="M1094" s="6">
        <f>M1093+J1094</f>
        <v/>
      </c>
    </row>
    <row r="1095">
      <c r="A1095" s="8" t="inlineStr">
        <is>
          <t>2023-11-23</t>
        </is>
      </c>
      <c r="B1095" s="8" t="inlineStr">
        <is>
          <t>Thursday</t>
        </is>
      </c>
      <c r="C1095" s="8" t="inlineStr">
        <is>
          <t>MNQZ3</t>
        </is>
      </c>
      <c r="D1095" s="9" t="n">
        <v>16069.5</v>
      </c>
      <c r="E1095" s="9" t="n">
        <v>16055</v>
      </c>
      <c r="F1095" s="9">
        <f>D1095-E1095</f>
        <v/>
      </c>
      <c r="G1095" s="8" t="inlineStr">
        <is>
          <t>Long</t>
        </is>
      </c>
      <c r="H1095" s="9" t="n">
        <v>16069.5</v>
      </c>
      <c r="I1095" s="9" t="n">
        <v>16062.25</v>
      </c>
      <c r="J1095" s="9">
        <f>IF(G1095="Long",I1095-H1095,IF(G1095="Short",H1095-I1095,0))</f>
        <v/>
      </c>
      <c r="K1095" s="10" t="n">
        <v>75.86</v>
      </c>
      <c r="L1095" s="8" t="inlineStr">
        <is>
          <t>EOD-Close</t>
        </is>
      </c>
      <c r="M1095" s="9">
        <f>M1094+J1095</f>
        <v/>
      </c>
    </row>
    <row r="1096">
      <c r="A1096" s="8" t="inlineStr">
        <is>
          <t>2023-11-24</t>
        </is>
      </c>
      <c r="B1096" s="8" t="inlineStr">
        <is>
          <t>Friday</t>
        </is>
      </c>
      <c r="C1096" s="8" t="inlineStr">
        <is>
          <t>MNQZ3</t>
        </is>
      </c>
      <c r="D1096" s="9" t="n">
        <v>16053.25</v>
      </c>
      <c r="E1096" s="9" t="n">
        <v>16002.25</v>
      </c>
      <c r="F1096" s="9">
        <f>D1096-E1096</f>
        <v/>
      </c>
      <c r="G1096" s="8" t="inlineStr">
        <is>
          <t>Short</t>
        </is>
      </c>
      <c r="H1096" s="9" t="n">
        <v>16002.25</v>
      </c>
      <c r="I1096" s="9" t="n">
        <v>16010.75</v>
      </c>
      <c r="J1096" s="9">
        <f>IF(G1096="Long",I1096-H1096,IF(G1096="Short",H1096-I1096,0))</f>
        <v/>
      </c>
      <c r="K1096" s="10" t="n">
        <v>46.57</v>
      </c>
      <c r="L1096" s="8" t="inlineStr">
        <is>
          <t>EOD-Close</t>
        </is>
      </c>
      <c r="M1096" s="9">
        <f>M1095+J1096</f>
        <v/>
      </c>
    </row>
    <row r="1097">
      <c r="A1097" s="8" t="inlineStr">
        <is>
          <t>2023-11-27</t>
        </is>
      </c>
      <c r="B1097" s="8" t="inlineStr">
        <is>
          <t>Monday</t>
        </is>
      </c>
      <c r="C1097" s="8" t="inlineStr">
        <is>
          <t>MNQZ3</t>
        </is>
      </c>
      <c r="D1097" s="9" t="n">
        <v>16037.25</v>
      </c>
      <c r="E1097" s="9" t="n">
        <v>15970.25</v>
      </c>
      <c r="F1097" s="9">
        <f>D1097-E1097</f>
        <v/>
      </c>
      <c r="G1097" s="8" t="inlineStr">
        <is>
          <t>Long</t>
        </is>
      </c>
      <c r="H1097" s="9" t="n">
        <v>16037.25</v>
      </c>
      <c r="I1097" s="9" t="n">
        <v>16007.25</v>
      </c>
      <c r="J1097" s="9">
        <f>IF(G1097="Long",I1097-H1097,IF(G1097="Short",H1097-I1097,0))</f>
        <v/>
      </c>
      <c r="K1097" s="10" t="n">
        <v>58.96</v>
      </c>
      <c r="L1097" s="8" t="inlineStr">
        <is>
          <t>EOD-Close</t>
        </is>
      </c>
      <c r="M1097" s="9">
        <f>M1096+J1097</f>
        <v/>
      </c>
    </row>
    <row r="1098">
      <c r="A1098" s="5" t="inlineStr">
        <is>
          <t>2023-11-28</t>
        </is>
      </c>
      <c r="B1098" s="5" t="inlineStr">
        <is>
          <t>Tuesday</t>
        </is>
      </c>
      <c r="C1098" s="5" t="inlineStr">
        <is>
          <t>MNQZ3</t>
        </is>
      </c>
      <c r="D1098" s="6" t="n">
        <v>16007.25</v>
      </c>
      <c r="E1098" s="6" t="n">
        <v>15963.25</v>
      </c>
      <c r="F1098" s="6">
        <f>D1098-E1098</f>
        <v/>
      </c>
      <c r="G1098" s="5" t="inlineStr">
        <is>
          <t>Short</t>
        </is>
      </c>
      <c r="H1098" s="6" t="n">
        <v>15963.25</v>
      </c>
      <c r="I1098" s="6" t="n">
        <v>16007.25</v>
      </c>
      <c r="J1098" s="6">
        <f>IF(G1098="Long",I1098-H1098,IF(G1098="Short",H1098-I1098,0))</f>
        <v/>
      </c>
      <c r="K1098" s="7" t="n">
        <v>100</v>
      </c>
      <c r="L1098" s="5" t="inlineStr">
        <is>
          <t>Loss</t>
        </is>
      </c>
      <c r="M1098" s="6">
        <f>M1097+J1098</f>
        <v/>
      </c>
    </row>
    <row r="1099">
      <c r="A1099" s="2" t="inlineStr">
        <is>
          <t>2023-11-28</t>
        </is>
      </c>
      <c r="B1099" s="2" t="inlineStr">
        <is>
          <t>Tuesday</t>
        </is>
      </c>
      <c r="C1099" s="2" t="inlineStr">
        <is>
          <t>MNQZ3</t>
        </is>
      </c>
      <c r="D1099" s="3" t="n">
        <v>16007.25</v>
      </c>
      <c r="E1099" s="3" t="n">
        <v>15963.25</v>
      </c>
      <c r="F1099" s="3">
        <f>D1099-E1099</f>
        <v/>
      </c>
      <c r="G1099" s="2" t="inlineStr">
        <is>
          <t>Long</t>
        </is>
      </c>
      <c r="H1099" s="3" t="n">
        <v>16007.25</v>
      </c>
      <c r="I1099" s="3" t="n">
        <v>16051.25</v>
      </c>
      <c r="J1099" s="3">
        <f>IF(G1099="Long",I1099-H1099,IF(G1099="Short",H1099-I1099,0))</f>
        <v/>
      </c>
      <c r="K1099" s="4" t="n">
        <v>32.95</v>
      </c>
      <c r="L1099" s="2" t="inlineStr">
        <is>
          <t>Win</t>
        </is>
      </c>
      <c r="M1099" s="3">
        <f>M1098+J1099</f>
        <v/>
      </c>
    </row>
    <row r="1100">
      <c r="A1100" s="2" t="inlineStr">
        <is>
          <t>2023-11-29</t>
        </is>
      </c>
      <c r="B1100" s="2" t="inlineStr">
        <is>
          <t>Wednesday</t>
        </is>
      </c>
      <c r="C1100" s="2" t="inlineStr">
        <is>
          <t>MNQZ3</t>
        </is>
      </c>
      <c r="D1100" s="3" t="n">
        <v>16207.75</v>
      </c>
      <c r="E1100" s="3" t="n">
        <v>16146.5</v>
      </c>
      <c r="F1100" s="3">
        <f>D1100-E1100</f>
        <v/>
      </c>
      <c r="G1100" s="2" t="inlineStr">
        <is>
          <t>Short</t>
        </is>
      </c>
      <c r="H1100" s="3" t="n">
        <v>16146.5</v>
      </c>
      <c r="I1100" s="3" t="n">
        <v>16085.25</v>
      </c>
      <c r="J1100" s="3">
        <f>IF(G1100="Long",I1100-H1100,IF(G1100="Short",H1100-I1100,0))</f>
        <v/>
      </c>
      <c r="K1100" s="4" t="n">
        <v>0</v>
      </c>
      <c r="L1100" s="2" t="inlineStr">
        <is>
          <t>Win</t>
        </is>
      </c>
      <c r="M1100" s="3">
        <f>M1099+J1100</f>
        <v/>
      </c>
    </row>
    <row r="1101">
      <c r="A1101" s="2" t="inlineStr">
        <is>
          <t>2023-11-30</t>
        </is>
      </c>
      <c r="B1101" s="2" t="inlineStr">
        <is>
          <t>Thursday</t>
        </is>
      </c>
      <c r="C1101" s="2" t="inlineStr">
        <is>
          <t>MNQZ3</t>
        </is>
      </c>
      <c r="D1101" s="3" t="n">
        <v>16051.5</v>
      </c>
      <c r="E1101" s="3" t="n">
        <v>15961</v>
      </c>
      <c r="F1101" s="3">
        <f>D1101-E1101</f>
        <v/>
      </c>
      <c r="G1101" s="2" t="inlineStr">
        <is>
          <t>Short</t>
        </is>
      </c>
      <c r="H1101" s="3" t="n">
        <v>15961</v>
      </c>
      <c r="I1101" s="3" t="n">
        <v>15870.5</v>
      </c>
      <c r="J1101" s="3">
        <f>IF(G1101="Long",I1101-H1101,IF(G1101="Short",H1101-I1101,0))</f>
        <v/>
      </c>
      <c r="K1101" s="4" t="n">
        <v>41.99</v>
      </c>
      <c r="L1101" s="2" t="inlineStr">
        <is>
          <t>Win</t>
        </is>
      </c>
      <c r="M1101" s="3">
        <f>M1100+J1101</f>
        <v/>
      </c>
    </row>
    <row r="1102">
      <c r="A1102" s="8" t="inlineStr">
        <is>
          <t>2023-11-30</t>
        </is>
      </c>
      <c r="B1102" s="8" t="inlineStr">
        <is>
          <t>Thursday</t>
        </is>
      </c>
      <c r="C1102" s="8" t="inlineStr">
        <is>
          <t>MNQZ3</t>
        </is>
      </c>
      <c r="D1102" s="9" t="n">
        <v>16051.5</v>
      </c>
      <c r="E1102" s="9" t="n">
        <v>15961</v>
      </c>
      <c r="F1102" s="9">
        <f>D1102-E1102</f>
        <v/>
      </c>
      <c r="G1102" s="8" t="inlineStr">
        <is>
          <t>Short</t>
        </is>
      </c>
      <c r="H1102" s="9" t="n">
        <v>15961</v>
      </c>
      <c r="I1102" s="9" t="n">
        <v>15980.75</v>
      </c>
      <c r="J1102" s="9">
        <f>IF(G1102="Long",I1102-H1102,IF(G1102="Short",H1102-I1102,0))</f>
        <v/>
      </c>
      <c r="K1102" s="10" t="n">
        <v>33.7</v>
      </c>
      <c r="L1102" s="8" t="inlineStr">
        <is>
          <t>EOD-Close</t>
        </is>
      </c>
      <c r="M1102" s="9">
        <f>M1101+J1102</f>
        <v/>
      </c>
    </row>
    <row r="1103">
      <c r="A1103" s="5" t="inlineStr">
        <is>
          <t>2023-12-01</t>
        </is>
      </c>
      <c r="B1103" s="5" t="inlineStr">
        <is>
          <t>Friday</t>
        </is>
      </c>
      <c r="C1103" s="5" t="inlineStr">
        <is>
          <t>MNQZ3</t>
        </is>
      </c>
      <c r="D1103" s="6" t="n">
        <v>15936.75</v>
      </c>
      <c r="E1103" s="6" t="n">
        <v>15875.5</v>
      </c>
      <c r="F1103" s="6">
        <f>D1103-E1103</f>
        <v/>
      </c>
      <c r="G1103" s="5" t="inlineStr">
        <is>
          <t>Long</t>
        </is>
      </c>
      <c r="H1103" s="6" t="n">
        <v>15936.75</v>
      </c>
      <c r="I1103" s="6" t="n">
        <v>15875.5</v>
      </c>
      <c r="J1103" s="6">
        <f>IF(G1103="Long",I1103-H1103,IF(G1103="Short",H1103-I1103,0))</f>
        <v/>
      </c>
      <c r="K1103" s="7" t="n">
        <v>100</v>
      </c>
      <c r="L1103" s="5" t="inlineStr">
        <is>
          <t>Loss</t>
        </is>
      </c>
      <c r="M1103" s="6">
        <f>M1102+J1103</f>
        <v/>
      </c>
    </row>
    <row r="1104">
      <c r="A1104" s="2" t="inlineStr">
        <is>
          <t>2023-12-01</t>
        </is>
      </c>
      <c r="B1104" s="2" t="inlineStr">
        <is>
          <t>Friday</t>
        </is>
      </c>
      <c r="C1104" s="2" t="inlineStr">
        <is>
          <t>MNQZ3</t>
        </is>
      </c>
      <c r="D1104" s="3" t="n">
        <v>15936.75</v>
      </c>
      <c r="E1104" s="3" t="n">
        <v>15875.5</v>
      </c>
      <c r="F1104" s="3">
        <f>D1104-E1104</f>
        <v/>
      </c>
      <c r="G1104" s="2" t="inlineStr">
        <is>
          <t>Long</t>
        </is>
      </c>
      <c r="H1104" s="3" t="n">
        <v>15936.75</v>
      </c>
      <c r="I1104" s="3" t="n">
        <v>15998</v>
      </c>
      <c r="J1104" s="3">
        <f>IF(G1104="Long",I1104-H1104,IF(G1104="Short",H1104-I1104,0))</f>
        <v/>
      </c>
      <c r="K1104" s="4" t="n">
        <v>10.61</v>
      </c>
      <c r="L1104" s="2" t="inlineStr">
        <is>
          <t>Win</t>
        </is>
      </c>
      <c r="M1104" s="3">
        <f>M1103+J1104</f>
        <v/>
      </c>
    </row>
    <row r="1105">
      <c r="A1105" s="2" t="inlineStr">
        <is>
          <t>2023-12-04</t>
        </is>
      </c>
      <c r="B1105" s="2" t="inlineStr">
        <is>
          <t>Monday</t>
        </is>
      </c>
      <c r="C1105" s="2" t="inlineStr">
        <is>
          <t>MNQZ3</t>
        </is>
      </c>
      <c r="D1105" s="3" t="n">
        <v>15876.25</v>
      </c>
      <c r="E1105" s="3" t="n">
        <v>15831.75</v>
      </c>
      <c r="F1105" s="3">
        <f>D1105-E1105</f>
        <v/>
      </c>
      <c r="G1105" s="2" t="inlineStr">
        <is>
          <t>Short</t>
        </is>
      </c>
      <c r="H1105" s="3" t="n">
        <v>15831.75</v>
      </c>
      <c r="I1105" s="3" t="n">
        <v>15787.25</v>
      </c>
      <c r="J1105" s="3">
        <f>IF(G1105="Long",I1105-H1105,IF(G1105="Short",H1105-I1105,0))</f>
        <v/>
      </c>
      <c r="K1105" s="4" t="n">
        <v>5.06</v>
      </c>
      <c r="L1105" s="2" t="inlineStr">
        <is>
          <t>Win</t>
        </is>
      </c>
      <c r="M1105" s="3">
        <f>M1104+J1105</f>
        <v/>
      </c>
    </row>
    <row r="1106">
      <c r="A1106" s="5" t="inlineStr">
        <is>
          <t>2023-12-04</t>
        </is>
      </c>
      <c r="B1106" s="5" t="inlineStr">
        <is>
          <t>Monday</t>
        </is>
      </c>
      <c r="C1106" s="5" t="inlineStr">
        <is>
          <t>MNQZ3</t>
        </is>
      </c>
      <c r="D1106" s="6" t="n">
        <v>15876.25</v>
      </c>
      <c r="E1106" s="6" t="n">
        <v>15831.75</v>
      </c>
      <c r="F1106" s="6">
        <f>D1106-E1106</f>
        <v/>
      </c>
      <c r="G1106" s="5" t="inlineStr">
        <is>
          <t>Short</t>
        </is>
      </c>
      <c r="H1106" s="6" t="n">
        <v>15831.75</v>
      </c>
      <c r="I1106" s="6" t="n">
        <v>15876.25</v>
      </c>
      <c r="J1106" s="6">
        <f>IF(G1106="Long",I1106-H1106,IF(G1106="Short",H1106-I1106,0))</f>
        <v/>
      </c>
      <c r="K1106" s="7" t="n">
        <v>100</v>
      </c>
      <c r="L1106" s="5" t="inlineStr">
        <is>
          <t>Loss</t>
        </is>
      </c>
      <c r="M1106" s="6">
        <f>M1105+J1106</f>
        <v/>
      </c>
    </row>
    <row r="1107">
      <c r="A1107" s="2" t="inlineStr">
        <is>
          <t>2023-12-05</t>
        </is>
      </c>
      <c r="B1107" s="2" t="inlineStr">
        <is>
          <t>Tuesday</t>
        </is>
      </c>
      <c r="C1107" s="2" t="inlineStr">
        <is>
          <t>MNQZ3</t>
        </is>
      </c>
      <c r="D1107" s="3" t="n">
        <v>15848.25</v>
      </c>
      <c r="E1107" s="3" t="n">
        <v>15783.25</v>
      </c>
      <c r="F1107" s="3">
        <f>D1107-E1107</f>
        <v/>
      </c>
      <c r="G1107" s="2" t="inlineStr">
        <is>
          <t>Long</t>
        </is>
      </c>
      <c r="H1107" s="3" t="n">
        <v>15848.25</v>
      </c>
      <c r="I1107" s="3" t="n">
        <v>15913.25</v>
      </c>
      <c r="J1107" s="3">
        <f>IF(G1107="Long",I1107-H1107,IF(G1107="Short",H1107-I1107,0))</f>
        <v/>
      </c>
      <c r="K1107" s="4" t="n">
        <v>2.31</v>
      </c>
      <c r="L1107" s="2" t="inlineStr">
        <is>
          <t>Win</t>
        </is>
      </c>
      <c r="M1107" s="3">
        <f>M1106+J1107</f>
        <v/>
      </c>
    </row>
    <row r="1108">
      <c r="A1108" s="8" t="inlineStr">
        <is>
          <t>2023-12-05</t>
        </is>
      </c>
      <c r="B1108" s="8" t="inlineStr">
        <is>
          <t>Tuesday</t>
        </is>
      </c>
      <c r="C1108" s="8" t="inlineStr">
        <is>
          <t>MNQZ3</t>
        </is>
      </c>
      <c r="D1108" s="9" t="n">
        <v>15848.25</v>
      </c>
      <c r="E1108" s="9" t="n">
        <v>15783.25</v>
      </c>
      <c r="F1108" s="9">
        <f>D1108-E1108</f>
        <v/>
      </c>
      <c r="G1108" s="8" t="inlineStr">
        <is>
          <t>Long</t>
        </is>
      </c>
      <c r="H1108" s="9" t="n">
        <v>15848.25</v>
      </c>
      <c r="I1108" s="9" t="n">
        <v>15912</v>
      </c>
      <c r="J1108" s="9">
        <f>IF(G1108="Long",I1108-H1108,IF(G1108="Short",H1108-I1108,0))</f>
        <v/>
      </c>
      <c r="K1108" s="10" t="n">
        <v>31.92</v>
      </c>
      <c r="L1108" s="8" t="inlineStr">
        <is>
          <t>EOD-Close</t>
        </is>
      </c>
      <c r="M1108" s="9">
        <f>M1107+J1108</f>
        <v/>
      </c>
    </row>
    <row r="1109">
      <c r="A1109" s="2" t="inlineStr">
        <is>
          <t>2023-12-06</t>
        </is>
      </c>
      <c r="B1109" s="2" t="inlineStr">
        <is>
          <t>Wednesday</t>
        </is>
      </c>
      <c r="C1109" s="2" t="inlineStr">
        <is>
          <t>MNQZ3</t>
        </is>
      </c>
      <c r="D1109" s="3" t="n">
        <v>16039</v>
      </c>
      <c r="E1109" s="3" t="n">
        <v>15936.5</v>
      </c>
      <c r="F1109" s="3">
        <f>D1109-E1109</f>
        <v/>
      </c>
      <c r="G1109" s="2" t="inlineStr">
        <is>
          <t>Short</t>
        </is>
      </c>
      <c r="H1109" s="3" t="n">
        <v>15936.5</v>
      </c>
      <c r="I1109" s="3" t="n">
        <v>15834</v>
      </c>
      <c r="J1109" s="3">
        <f>IF(G1109="Long",I1109-H1109,IF(G1109="Short",H1109-I1109,0))</f>
        <v/>
      </c>
      <c r="K1109" s="4" t="n">
        <v>35.12</v>
      </c>
      <c r="L1109" s="2" t="inlineStr">
        <is>
          <t>Win</t>
        </is>
      </c>
      <c r="M1109" s="3">
        <f>M1108+J1109</f>
        <v/>
      </c>
    </row>
    <row r="1110">
      <c r="A1110" s="2" t="inlineStr">
        <is>
          <t>2023-12-07</t>
        </is>
      </c>
      <c r="B1110" s="2" t="inlineStr">
        <is>
          <t>Thursday</t>
        </is>
      </c>
      <c r="C1110" s="2" t="inlineStr">
        <is>
          <t>MNQZ3</t>
        </is>
      </c>
      <c r="D1110" s="3" t="n">
        <v>15982</v>
      </c>
      <c r="E1110" s="3" t="n">
        <v>15907</v>
      </c>
      <c r="F1110" s="3">
        <f>D1110-E1110</f>
        <v/>
      </c>
      <c r="G1110" s="2" t="inlineStr">
        <is>
          <t>Long</t>
        </is>
      </c>
      <c r="H1110" s="3" t="n">
        <v>15982</v>
      </c>
      <c r="I1110" s="3" t="n">
        <v>16057</v>
      </c>
      <c r="J1110" s="3">
        <f>IF(G1110="Long",I1110-H1110,IF(G1110="Short",H1110-I1110,0))</f>
        <v/>
      </c>
      <c r="K1110" s="4" t="n">
        <v>68.33</v>
      </c>
      <c r="L1110" s="2" t="inlineStr">
        <is>
          <t>Win</t>
        </is>
      </c>
      <c r="M1110" s="3">
        <f>M1109+J1110</f>
        <v/>
      </c>
    </row>
    <row r="1111">
      <c r="A1111" s="2" t="inlineStr">
        <is>
          <t>2023-12-08</t>
        </is>
      </c>
      <c r="B1111" s="2" t="inlineStr">
        <is>
          <t>Friday</t>
        </is>
      </c>
      <c r="C1111" s="2" t="inlineStr">
        <is>
          <t>MNQZ3</t>
        </is>
      </c>
      <c r="D1111" s="3" t="n">
        <v>16024</v>
      </c>
      <c r="E1111" s="3" t="n">
        <v>15946.75</v>
      </c>
      <c r="F1111" s="3">
        <f>D1111-E1111</f>
        <v/>
      </c>
      <c r="G1111" s="2" t="inlineStr">
        <is>
          <t>Long</t>
        </is>
      </c>
      <c r="H1111" s="3" t="n">
        <v>16024</v>
      </c>
      <c r="I1111" s="3" t="n">
        <v>16101.25</v>
      </c>
      <c r="J1111" s="3">
        <f>IF(G1111="Long",I1111-H1111,IF(G1111="Short",H1111-I1111,0))</f>
        <v/>
      </c>
      <c r="K1111" s="4" t="n">
        <v>0</v>
      </c>
      <c r="L1111" s="2" t="inlineStr">
        <is>
          <t>Win</t>
        </is>
      </c>
      <c r="M1111" s="3">
        <f>M1110+J1111</f>
        <v/>
      </c>
    </row>
    <row r="1112">
      <c r="A1112" s="2" t="inlineStr">
        <is>
          <t>2023-12-08</t>
        </is>
      </c>
      <c r="B1112" s="2" t="inlineStr">
        <is>
          <t>Friday</t>
        </is>
      </c>
      <c r="C1112" s="2" t="inlineStr">
        <is>
          <t>MNQZ3</t>
        </is>
      </c>
      <c r="D1112" s="3" t="n">
        <v>16024</v>
      </c>
      <c r="E1112" s="3" t="n">
        <v>15946.75</v>
      </c>
      <c r="F1112" s="3">
        <f>D1112-E1112</f>
        <v/>
      </c>
      <c r="G1112" s="2" t="inlineStr">
        <is>
          <t>Long</t>
        </is>
      </c>
      <c r="H1112" s="3" t="n">
        <v>16024</v>
      </c>
      <c r="I1112" s="3" t="n">
        <v>16101.25</v>
      </c>
      <c r="J1112" s="3">
        <f>IF(G1112="Long",I1112-H1112,IF(G1112="Short",H1112-I1112,0))</f>
        <v/>
      </c>
      <c r="K1112" s="4" t="n">
        <v>4.85</v>
      </c>
      <c r="L1112" s="2" t="inlineStr">
        <is>
          <t>Win</t>
        </is>
      </c>
      <c r="M1112" s="3">
        <f>M1111+J1112</f>
        <v/>
      </c>
    </row>
    <row r="1113">
      <c r="A1113" s="2" t="inlineStr">
        <is>
          <t>2023-12-11</t>
        </is>
      </c>
      <c r="B1113" s="2" t="inlineStr">
        <is>
          <t>Monday</t>
        </is>
      </c>
      <c r="C1113" s="2" t="inlineStr">
        <is>
          <t>MNQH4</t>
        </is>
      </c>
      <c r="D1113" s="3" t="n">
        <v>16359.75</v>
      </c>
      <c r="E1113" s="3" t="n">
        <v>16281.5</v>
      </c>
      <c r="F1113" s="3">
        <f>D1113-E1113</f>
        <v/>
      </c>
      <c r="G1113" s="2" t="inlineStr">
        <is>
          <t>Long</t>
        </is>
      </c>
      <c r="H1113" s="3" t="n">
        <v>16359.75</v>
      </c>
      <c r="I1113" s="3" t="n">
        <v>16438</v>
      </c>
      <c r="J1113" s="3">
        <f>IF(G1113="Long",I1113-H1113,IF(G1113="Short",H1113-I1113,0))</f>
        <v/>
      </c>
      <c r="K1113" s="4" t="n">
        <v>32.91</v>
      </c>
      <c r="L1113" s="2" t="inlineStr">
        <is>
          <t>Win</t>
        </is>
      </c>
      <c r="M1113" s="3">
        <f>M1112+J1113</f>
        <v/>
      </c>
    </row>
    <row r="1114">
      <c r="A1114" s="2" t="inlineStr">
        <is>
          <t>2023-12-12</t>
        </is>
      </c>
      <c r="B1114" s="2" t="inlineStr">
        <is>
          <t>Tuesday</t>
        </is>
      </c>
      <c r="C1114" s="2" t="inlineStr">
        <is>
          <t>MNQH4</t>
        </is>
      </c>
      <c r="D1114" s="3" t="n">
        <v>16449</v>
      </c>
      <c r="E1114" s="3" t="n">
        <v>16396.5</v>
      </c>
      <c r="F1114" s="3">
        <f>D1114-E1114</f>
        <v/>
      </c>
      <c r="G1114" s="2" t="inlineStr">
        <is>
          <t>Long</t>
        </is>
      </c>
      <c r="H1114" s="3" t="n">
        <v>16449</v>
      </c>
      <c r="I1114" s="3" t="n">
        <v>16501.5</v>
      </c>
      <c r="J1114" s="3">
        <f>IF(G1114="Long",I1114-H1114,IF(G1114="Short",H1114-I1114,0))</f>
        <v/>
      </c>
      <c r="K1114" s="4" t="n">
        <v>0</v>
      </c>
      <c r="L1114" s="2" t="inlineStr">
        <is>
          <t>Win</t>
        </is>
      </c>
      <c r="M1114" s="3">
        <f>M1113+J1114</f>
        <v/>
      </c>
    </row>
    <row r="1115">
      <c r="A1115" s="5" t="inlineStr">
        <is>
          <t>2023-12-13</t>
        </is>
      </c>
      <c r="B1115" s="5" t="inlineStr">
        <is>
          <t>Wednesday</t>
        </is>
      </c>
      <c r="C1115" s="5" t="inlineStr">
        <is>
          <t>MNQH4</t>
        </is>
      </c>
      <c r="D1115" s="6" t="n">
        <v>16657.25</v>
      </c>
      <c r="E1115" s="6" t="n">
        <v>16606</v>
      </c>
      <c r="F1115" s="6">
        <f>D1115-E1115</f>
        <v/>
      </c>
      <c r="G1115" s="5" t="inlineStr">
        <is>
          <t>Short</t>
        </is>
      </c>
      <c r="H1115" s="6" t="n">
        <v>16606</v>
      </c>
      <c r="I1115" s="6" t="n">
        <v>16657.25</v>
      </c>
      <c r="J1115" s="6">
        <f>IF(G1115="Long",I1115-H1115,IF(G1115="Short",H1115-I1115,0))</f>
        <v/>
      </c>
      <c r="K1115" s="7" t="n">
        <v>100</v>
      </c>
      <c r="L1115" s="5" t="inlineStr">
        <is>
          <t>Loss</t>
        </is>
      </c>
      <c r="M1115" s="6">
        <f>M1114+J1115</f>
        <v/>
      </c>
    </row>
    <row r="1116">
      <c r="A1116" s="2" t="inlineStr">
        <is>
          <t>2023-12-13</t>
        </is>
      </c>
      <c r="B1116" s="2" t="inlineStr">
        <is>
          <t>Wednesday</t>
        </is>
      </c>
      <c r="C1116" s="2" t="inlineStr">
        <is>
          <t>MNQH4</t>
        </is>
      </c>
      <c r="D1116" s="3" t="n">
        <v>16657.25</v>
      </c>
      <c r="E1116" s="3" t="n">
        <v>16606</v>
      </c>
      <c r="F1116" s="3">
        <f>D1116-E1116</f>
        <v/>
      </c>
      <c r="G1116" s="2" t="inlineStr">
        <is>
          <t>Long</t>
        </is>
      </c>
      <c r="H1116" s="3" t="n">
        <v>16657.25</v>
      </c>
      <c r="I1116" s="3" t="n">
        <v>16708.5</v>
      </c>
      <c r="J1116" s="3">
        <f>IF(G1116="Long",I1116-H1116,IF(G1116="Short",H1116-I1116,0))</f>
        <v/>
      </c>
      <c r="K1116" s="4" t="n">
        <v>0</v>
      </c>
      <c r="L1116" s="2" t="inlineStr">
        <is>
          <t>Win</t>
        </is>
      </c>
      <c r="M1116" s="3">
        <f>M1115+J1116</f>
        <v/>
      </c>
    </row>
    <row r="1117">
      <c r="A1117" s="2" t="inlineStr">
        <is>
          <t>2023-12-14</t>
        </is>
      </c>
      <c r="B1117" s="2" t="inlineStr">
        <is>
          <t>Thursday</t>
        </is>
      </c>
      <c r="C1117" s="2" t="inlineStr">
        <is>
          <t>MNQH4</t>
        </is>
      </c>
      <c r="D1117" s="3" t="n">
        <v>16863.25</v>
      </c>
      <c r="E1117" s="3" t="n">
        <v>16811.5</v>
      </c>
      <c r="F1117" s="3">
        <f>D1117-E1117</f>
        <v/>
      </c>
      <c r="G1117" s="2" t="inlineStr">
        <is>
          <t>Short</t>
        </is>
      </c>
      <c r="H1117" s="3" t="n">
        <v>16811.5</v>
      </c>
      <c r="I1117" s="3" t="n">
        <v>16759.75</v>
      </c>
      <c r="J1117" s="3">
        <f>IF(G1117="Long",I1117-H1117,IF(G1117="Short",H1117-I1117,0))</f>
        <v/>
      </c>
      <c r="K1117" s="4" t="n">
        <v>16.91</v>
      </c>
      <c r="L1117" s="2" t="inlineStr">
        <is>
          <t>Win</t>
        </is>
      </c>
      <c r="M1117" s="3">
        <f>M1116+J1117</f>
        <v/>
      </c>
    </row>
    <row r="1118">
      <c r="A1118" s="2" t="inlineStr">
        <is>
          <t>2023-12-14</t>
        </is>
      </c>
      <c r="B1118" s="2" t="inlineStr">
        <is>
          <t>Thursday</t>
        </is>
      </c>
      <c r="C1118" s="2" t="inlineStr">
        <is>
          <t>MNQH4</t>
        </is>
      </c>
      <c r="D1118" s="3" t="n">
        <v>16863.25</v>
      </c>
      <c r="E1118" s="3" t="n">
        <v>16811.5</v>
      </c>
      <c r="F1118" s="3">
        <f>D1118-E1118</f>
        <v/>
      </c>
      <c r="G1118" s="2" t="inlineStr">
        <is>
          <t>Short</t>
        </is>
      </c>
      <c r="H1118" s="3" t="n">
        <v>16811.5</v>
      </c>
      <c r="I1118" s="3" t="n">
        <v>16759.75</v>
      </c>
      <c r="J1118" s="3">
        <f>IF(G1118="Long",I1118-H1118,IF(G1118="Short",H1118-I1118,0))</f>
        <v/>
      </c>
      <c r="K1118" s="4" t="n">
        <v>12.56</v>
      </c>
      <c r="L1118" s="2" t="inlineStr">
        <is>
          <t>Win</t>
        </is>
      </c>
      <c r="M1118" s="3">
        <f>M1117+J1118</f>
        <v/>
      </c>
    </row>
    <row r="1119">
      <c r="A1119" s="5" t="inlineStr">
        <is>
          <t>2023-12-15</t>
        </is>
      </c>
      <c r="B1119" s="5" t="inlineStr">
        <is>
          <t>Friday</t>
        </is>
      </c>
      <c r="C1119" s="5" t="inlineStr">
        <is>
          <t>MNQH4</t>
        </is>
      </c>
      <c r="D1119" s="6" t="n">
        <v>16844.25</v>
      </c>
      <c r="E1119" s="6" t="n">
        <v>16780.25</v>
      </c>
      <c r="F1119" s="6">
        <f>D1119-E1119</f>
        <v/>
      </c>
      <c r="G1119" s="5" t="inlineStr">
        <is>
          <t>Long</t>
        </is>
      </c>
      <c r="H1119" s="6" t="n">
        <v>16844.25</v>
      </c>
      <c r="I1119" s="6" t="n">
        <v>16780.25</v>
      </c>
      <c r="J1119" s="6">
        <f>IF(G1119="Long",I1119-H1119,IF(G1119="Short",H1119-I1119,0))</f>
        <v/>
      </c>
      <c r="K1119" s="7" t="n">
        <v>100</v>
      </c>
      <c r="L1119" s="5" t="inlineStr">
        <is>
          <t>Loss</t>
        </is>
      </c>
      <c r="M1119" s="6">
        <f>M1118+J1119</f>
        <v/>
      </c>
    </row>
    <row r="1120">
      <c r="A1120" s="5" t="inlineStr">
        <is>
          <t>2023-12-15</t>
        </is>
      </c>
      <c r="B1120" s="5" t="inlineStr">
        <is>
          <t>Friday</t>
        </is>
      </c>
      <c r="C1120" s="5" t="inlineStr">
        <is>
          <t>MNQH4</t>
        </is>
      </c>
      <c r="D1120" s="6" t="n">
        <v>16844.25</v>
      </c>
      <c r="E1120" s="6" t="n">
        <v>16780.25</v>
      </c>
      <c r="F1120" s="6">
        <f>D1120-E1120</f>
        <v/>
      </c>
      <c r="G1120" s="5" t="inlineStr">
        <is>
          <t>Short</t>
        </is>
      </c>
      <c r="H1120" s="6" t="n">
        <v>16780.25</v>
      </c>
      <c r="I1120" s="6" t="n">
        <v>16844.25</v>
      </c>
      <c r="J1120" s="6">
        <f>IF(G1120="Long",I1120-H1120,IF(G1120="Short",H1120-I1120,0))</f>
        <v/>
      </c>
      <c r="K1120" s="7" t="n">
        <v>100</v>
      </c>
      <c r="L1120" s="5" t="inlineStr">
        <is>
          <t>Loss</t>
        </is>
      </c>
      <c r="M1120" s="6">
        <f>M1119+J1120</f>
        <v/>
      </c>
    </row>
    <row r="1121">
      <c r="A1121" s="2" t="inlineStr">
        <is>
          <t>2023-12-18</t>
        </is>
      </c>
      <c r="B1121" s="2" t="inlineStr">
        <is>
          <t>Monday</t>
        </is>
      </c>
      <c r="C1121" s="2" t="inlineStr">
        <is>
          <t>MNQH4</t>
        </is>
      </c>
      <c r="D1121" s="3" t="n">
        <v>16878.25</v>
      </c>
      <c r="E1121" s="3" t="n">
        <v>16832</v>
      </c>
      <c r="F1121" s="3">
        <f>D1121-E1121</f>
        <v/>
      </c>
      <c r="G1121" s="2" t="inlineStr">
        <is>
          <t>Long</t>
        </is>
      </c>
      <c r="H1121" s="3" t="n">
        <v>16878.25</v>
      </c>
      <c r="I1121" s="3" t="n">
        <v>16924.5</v>
      </c>
      <c r="J1121" s="3">
        <f>IF(G1121="Long",I1121-H1121,IF(G1121="Short",H1121-I1121,0))</f>
        <v/>
      </c>
      <c r="K1121" s="4" t="n">
        <v>48.65</v>
      </c>
      <c r="L1121" s="2" t="inlineStr">
        <is>
          <t>Win</t>
        </is>
      </c>
      <c r="M1121" s="3">
        <f>M1120+J1121</f>
        <v/>
      </c>
    </row>
    <row r="1122">
      <c r="A1122" s="8" t="inlineStr">
        <is>
          <t>2023-12-19</t>
        </is>
      </c>
      <c r="B1122" s="8" t="inlineStr">
        <is>
          <t>Tuesday</t>
        </is>
      </c>
      <c r="C1122" s="8" t="inlineStr">
        <is>
          <t>MNQH4</t>
        </is>
      </c>
      <c r="D1122" s="9" t="n">
        <v>16995.25</v>
      </c>
      <c r="E1122" s="9" t="n">
        <v>16944.5</v>
      </c>
      <c r="F1122" s="9">
        <f>D1122-E1122</f>
        <v/>
      </c>
      <c r="G1122" s="8" t="inlineStr">
        <is>
          <t>Long</t>
        </is>
      </c>
      <c r="H1122" s="9" t="n">
        <v>16995.25</v>
      </c>
      <c r="I1122" s="9" t="n">
        <v>17021</v>
      </c>
      <c r="J1122" s="9">
        <f>IF(G1122="Long",I1122-H1122,IF(G1122="Short",H1122-I1122,0))</f>
        <v/>
      </c>
      <c r="K1122" s="10" t="n">
        <v>59.61</v>
      </c>
      <c r="L1122" s="8" t="inlineStr">
        <is>
          <t>EOD-Close</t>
        </is>
      </c>
      <c r="M1122" s="9">
        <f>M1121+J1122</f>
        <v/>
      </c>
    </row>
    <row r="1123">
      <c r="A1123" s="2" t="inlineStr">
        <is>
          <t>2023-12-20</t>
        </is>
      </c>
      <c r="B1123" s="2" t="inlineStr">
        <is>
          <t>Wednesday</t>
        </is>
      </c>
      <c r="C1123" s="2" t="inlineStr">
        <is>
          <t>MNQH4</t>
        </is>
      </c>
      <c r="D1123" s="3" t="n">
        <v>17020.5</v>
      </c>
      <c r="E1123" s="3" t="n">
        <v>16970.75</v>
      </c>
      <c r="F1123" s="3">
        <f>D1123-E1123</f>
        <v/>
      </c>
      <c r="G1123" s="2" t="inlineStr">
        <is>
          <t>Long</t>
        </is>
      </c>
      <c r="H1123" s="3" t="n">
        <v>17020.5</v>
      </c>
      <c r="I1123" s="3" t="n">
        <v>17070.25</v>
      </c>
      <c r="J1123" s="3">
        <f>IF(G1123="Long",I1123-H1123,IF(G1123="Short",H1123-I1123,0))</f>
        <v/>
      </c>
      <c r="K1123" s="4" t="n">
        <v>0</v>
      </c>
      <c r="L1123" s="2" t="inlineStr">
        <is>
          <t>Win</t>
        </is>
      </c>
      <c r="M1123" s="3">
        <f>M1122+J1123</f>
        <v/>
      </c>
    </row>
    <row r="1124">
      <c r="A1124" s="5" t="inlineStr">
        <is>
          <t>2023-12-20</t>
        </is>
      </c>
      <c r="B1124" s="5" t="inlineStr">
        <is>
          <t>Wednesday</t>
        </is>
      </c>
      <c r="C1124" s="5" t="inlineStr">
        <is>
          <t>MNQH4</t>
        </is>
      </c>
      <c r="D1124" s="6" t="n">
        <v>17020.5</v>
      </c>
      <c r="E1124" s="6" t="n">
        <v>16970.75</v>
      </c>
      <c r="F1124" s="6">
        <f>D1124-E1124</f>
        <v/>
      </c>
      <c r="G1124" s="5" t="inlineStr">
        <is>
          <t>Long</t>
        </is>
      </c>
      <c r="H1124" s="6" t="n">
        <v>17020.5</v>
      </c>
      <c r="I1124" s="6" t="n">
        <v>16970.75</v>
      </c>
      <c r="J1124" s="6">
        <f>IF(G1124="Long",I1124-H1124,IF(G1124="Short",H1124-I1124,0))</f>
        <v/>
      </c>
      <c r="K1124" s="7" t="n">
        <v>100</v>
      </c>
      <c r="L1124" s="5" t="inlineStr">
        <is>
          <t>Loss</t>
        </is>
      </c>
      <c r="M1124" s="6">
        <f>M1123+J1124</f>
        <v/>
      </c>
    </row>
    <row r="1125">
      <c r="A1125" s="2" t="inlineStr">
        <is>
          <t>2023-12-21</t>
        </is>
      </c>
      <c r="B1125" s="2" t="inlineStr">
        <is>
          <t>Thursday</t>
        </is>
      </c>
      <c r="C1125" s="2" t="inlineStr">
        <is>
          <t>MNQH4</t>
        </is>
      </c>
      <c r="D1125" s="3" t="n">
        <v>16958.75</v>
      </c>
      <c r="E1125" s="3" t="n">
        <v>16900.75</v>
      </c>
      <c r="F1125" s="3">
        <f>D1125-E1125</f>
        <v/>
      </c>
      <c r="G1125" s="2" t="inlineStr">
        <is>
          <t>Short</t>
        </is>
      </c>
      <c r="H1125" s="3" t="n">
        <v>16900.75</v>
      </c>
      <c r="I1125" s="3" t="n">
        <v>16842.75</v>
      </c>
      <c r="J1125" s="3">
        <f>IF(G1125="Long",I1125-H1125,IF(G1125="Short",H1125-I1125,0))</f>
        <v/>
      </c>
      <c r="K1125" s="4" t="n">
        <v>56.47</v>
      </c>
      <c r="L1125" s="2" t="inlineStr">
        <is>
          <t>Win</t>
        </is>
      </c>
      <c r="M1125" s="3">
        <f>M1124+J1125</f>
        <v/>
      </c>
    </row>
    <row r="1126">
      <c r="A1126" s="5" t="inlineStr">
        <is>
          <t>2023-12-21</t>
        </is>
      </c>
      <c r="B1126" s="5" t="inlineStr">
        <is>
          <t>Thursday</t>
        </is>
      </c>
      <c r="C1126" s="5" t="inlineStr">
        <is>
          <t>MNQH4</t>
        </is>
      </c>
      <c r="D1126" s="6" t="n">
        <v>16958.75</v>
      </c>
      <c r="E1126" s="6" t="n">
        <v>16900.75</v>
      </c>
      <c r="F1126" s="6">
        <f>D1126-E1126</f>
        <v/>
      </c>
      <c r="G1126" s="5" t="inlineStr">
        <is>
          <t>Short</t>
        </is>
      </c>
      <c r="H1126" s="6" t="n">
        <v>16900.75</v>
      </c>
      <c r="I1126" s="6" t="n">
        <v>16958.75</v>
      </c>
      <c r="J1126" s="6">
        <f>IF(G1126="Long",I1126-H1126,IF(G1126="Short",H1126-I1126,0))</f>
        <v/>
      </c>
      <c r="K1126" s="7" t="n">
        <v>100</v>
      </c>
      <c r="L1126" s="5" t="inlineStr">
        <is>
          <t>Loss</t>
        </is>
      </c>
      <c r="M1126" s="6">
        <f>M1125+J1126</f>
        <v/>
      </c>
    </row>
    <row r="1127">
      <c r="A1127" s="2" t="inlineStr">
        <is>
          <t>2023-12-22</t>
        </is>
      </c>
      <c r="B1127" s="2" t="inlineStr">
        <is>
          <t>Friday</t>
        </is>
      </c>
      <c r="C1127" s="2" t="inlineStr">
        <is>
          <t>MNQH4</t>
        </is>
      </c>
      <c r="D1127" s="3" t="n">
        <v>17035</v>
      </c>
      <c r="E1127" s="3" t="n">
        <v>16989.25</v>
      </c>
      <c r="F1127" s="3">
        <f>D1127-E1127</f>
        <v/>
      </c>
      <c r="G1127" s="2" t="inlineStr">
        <is>
          <t>Short</t>
        </is>
      </c>
      <c r="H1127" s="3" t="n">
        <v>16989.25</v>
      </c>
      <c r="I1127" s="3" t="n">
        <v>16943.5</v>
      </c>
      <c r="J1127" s="3">
        <f>IF(G1127="Long",I1127-H1127,IF(G1127="Short",H1127-I1127,0))</f>
        <v/>
      </c>
      <c r="K1127" s="4" t="n">
        <v>70.48999999999999</v>
      </c>
      <c r="L1127" s="2" t="inlineStr">
        <is>
          <t>Win</t>
        </is>
      </c>
      <c r="M1127" s="3">
        <f>M1126+J1127</f>
        <v/>
      </c>
    </row>
    <row r="1128">
      <c r="A1128" s="8" t="inlineStr">
        <is>
          <t>2023-12-22</t>
        </is>
      </c>
      <c r="B1128" s="8" t="inlineStr">
        <is>
          <t>Friday</t>
        </is>
      </c>
      <c r="C1128" s="8" t="inlineStr">
        <is>
          <t>MNQH4</t>
        </is>
      </c>
      <c r="D1128" s="9" t="n">
        <v>17035</v>
      </c>
      <c r="E1128" s="9" t="n">
        <v>16989.25</v>
      </c>
      <c r="F1128" s="9">
        <f>D1128-E1128</f>
        <v/>
      </c>
      <c r="G1128" s="8" t="inlineStr">
        <is>
          <t>Short</t>
        </is>
      </c>
      <c r="H1128" s="9" t="n">
        <v>16989.25</v>
      </c>
      <c r="I1128" s="9" t="n">
        <v>16980.25</v>
      </c>
      <c r="J1128" s="9">
        <f>IF(G1128="Long",I1128-H1128,IF(G1128="Short",H1128-I1128,0))</f>
        <v/>
      </c>
      <c r="K1128" s="10" t="n">
        <v>6.01</v>
      </c>
      <c r="L1128" s="8" t="inlineStr">
        <is>
          <t>EOD-Close</t>
        </is>
      </c>
      <c r="M1128" s="9">
        <f>M1127+J1128</f>
        <v/>
      </c>
    </row>
    <row r="1129">
      <c r="A1129" s="2" t="inlineStr">
        <is>
          <t>2023-12-26</t>
        </is>
      </c>
      <c r="B1129" s="2" t="inlineStr">
        <is>
          <t>Tuesday</t>
        </is>
      </c>
      <c r="C1129" s="2" t="inlineStr">
        <is>
          <t>MNQH4</t>
        </is>
      </c>
      <c r="D1129" s="3" t="n">
        <v>17052</v>
      </c>
      <c r="E1129" s="3" t="n">
        <v>17005.25</v>
      </c>
      <c r="F1129" s="3">
        <f>D1129-E1129</f>
        <v/>
      </c>
      <c r="G1129" s="2" t="inlineStr">
        <is>
          <t>Long</t>
        </is>
      </c>
      <c r="H1129" s="3" t="n">
        <v>17052</v>
      </c>
      <c r="I1129" s="3" t="n">
        <v>17098.75</v>
      </c>
      <c r="J1129" s="3">
        <f>IF(G1129="Long",I1129-H1129,IF(G1129="Short",H1129-I1129,0))</f>
        <v/>
      </c>
      <c r="K1129" s="4" t="n">
        <v>62.57</v>
      </c>
      <c r="L1129" s="2" t="inlineStr">
        <is>
          <t>Win</t>
        </is>
      </c>
      <c r="M1129" s="3">
        <f>M1128+J1129</f>
        <v/>
      </c>
    </row>
    <row r="1130">
      <c r="A1130" s="2" t="inlineStr">
        <is>
          <t>2023-12-27</t>
        </is>
      </c>
      <c r="B1130" s="2" t="inlineStr">
        <is>
          <t>Wednesday</t>
        </is>
      </c>
      <c r="C1130" s="2" t="inlineStr">
        <is>
          <t>MNQH4</t>
        </is>
      </c>
      <c r="D1130" s="3" t="n">
        <v>17121.75</v>
      </c>
      <c r="E1130" s="3" t="n">
        <v>17091.75</v>
      </c>
      <c r="F1130" s="3">
        <f>D1130-E1130</f>
        <v/>
      </c>
      <c r="G1130" s="2" t="inlineStr">
        <is>
          <t>Short</t>
        </is>
      </c>
      <c r="H1130" s="3" t="n">
        <v>17091.75</v>
      </c>
      <c r="I1130" s="3" t="n">
        <v>17061.75</v>
      </c>
      <c r="J1130" s="3">
        <f>IF(G1130="Long",I1130-H1130,IF(G1130="Short",H1130-I1130,0))</f>
        <v/>
      </c>
      <c r="K1130" s="4" t="n">
        <v>0</v>
      </c>
      <c r="L1130" s="2" t="inlineStr">
        <is>
          <t>Win</t>
        </is>
      </c>
      <c r="M1130" s="3">
        <f>M1129+J1130</f>
        <v/>
      </c>
    </row>
    <row r="1131">
      <c r="A1131" s="5" t="inlineStr">
        <is>
          <t>2023-12-27</t>
        </is>
      </c>
      <c r="B1131" s="5" t="inlineStr">
        <is>
          <t>Wednesday</t>
        </is>
      </c>
      <c r="C1131" s="5" t="inlineStr">
        <is>
          <t>MNQH4</t>
        </is>
      </c>
      <c r="D1131" s="6" t="n">
        <v>17121.75</v>
      </c>
      <c r="E1131" s="6" t="n">
        <v>17091.75</v>
      </c>
      <c r="F1131" s="6">
        <f>D1131-E1131</f>
        <v/>
      </c>
      <c r="G1131" s="5" t="inlineStr">
        <is>
          <t>Short</t>
        </is>
      </c>
      <c r="H1131" s="6" t="n">
        <v>17091.75</v>
      </c>
      <c r="I1131" s="6" t="n">
        <v>17121.75</v>
      </c>
      <c r="J1131" s="6">
        <f>IF(G1131="Long",I1131-H1131,IF(G1131="Short",H1131-I1131,0))</f>
        <v/>
      </c>
      <c r="K1131" s="7" t="n">
        <v>100</v>
      </c>
      <c r="L1131" s="5" t="inlineStr">
        <is>
          <t>Loss</t>
        </is>
      </c>
      <c r="M1131" s="6">
        <f>M1130+J1131</f>
        <v/>
      </c>
    </row>
    <row r="1132">
      <c r="A1132" s="8" t="inlineStr">
        <is>
          <t>2023-12-28</t>
        </is>
      </c>
      <c r="B1132" s="8" t="inlineStr">
        <is>
          <t>Thursday</t>
        </is>
      </c>
      <c r="C1132" s="8" t="inlineStr">
        <is>
          <t>MNQH4</t>
        </is>
      </c>
      <c r="D1132" s="9" t="n">
        <v>17159</v>
      </c>
      <c r="E1132" s="9" t="n">
        <v>17116.75</v>
      </c>
      <c r="F1132" s="9">
        <f>D1132-E1132</f>
        <v/>
      </c>
      <c r="G1132" s="8" t="inlineStr">
        <is>
          <t>Short</t>
        </is>
      </c>
      <c r="H1132" s="9" t="n">
        <v>17116.75</v>
      </c>
      <c r="I1132" s="9" t="n">
        <v>17090.75</v>
      </c>
      <c r="J1132" s="9">
        <f>IF(G1132="Long",I1132-H1132,IF(G1132="Short",H1132-I1132,0))</f>
        <v/>
      </c>
      <c r="K1132" s="10" t="n">
        <v>65.68000000000001</v>
      </c>
      <c r="L1132" s="8" t="inlineStr">
        <is>
          <t>EOD-Close</t>
        </is>
      </c>
      <c r="M1132" s="9">
        <f>M1131+J1132</f>
        <v/>
      </c>
    </row>
    <row r="1133">
      <c r="A1133" s="5" t="inlineStr">
        <is>
          <t>2023-12-29</t>
        </is>
      </c>
      <c r="B1133" s="5" t="inlineStr">
        <is>
          <t>Friday</t>
        </is>
      </c>
      <c r="C1133" s="5" t="inlineStr">
        <is>
          <t>MNQH4</t>
        </is>
      </c>
      <c r="D1133" s="6" t="n">
        <v>17100</v>
      </c>
      <c r="E1133" s="6" t="n">
        <v>17072</v>
      </c>
      <c r="F1133" s="6">
        <f>D1133-E1133</f>
        <v/>
      </c>
      <c r="G1133" s="5" t="inlineStr">
        <is>
          <t>Long</t>
        </is>
      </c>
      <c r="H1133" s="6" t="n">
        <v>17100</v>
      </c>
      <c r="I1133" s="6" t="n">
        <v>17072</v>
      </c>
      <c r="J1133" s="6">
        <f>IF(G1133="Long",I1133-H1133,IF(G1133="Short",H1133-I1133,0))</f>
        <v/>
      </c>
      <c r="K1133" s="7" t="n">
        <v>100</v>
      </c>
      <c r="L1133" s="5" t="inlineStr">
        <is>
          <t>Loss</t>
        </is>
      </c>
      <c r="M1133" s="6">
        <f>M1132+J1133</f>
        <v/>
      </c>
    </row>
    <row r="1134">
      <c r="A1134" s="2" t="inlineStr">
        <is>
          <t>2023-12-29</t>
        </is>
      </c>
      <c r="B1134" s="2" t="inlineStr">
        <is>
          <t>Friday</t>
        </is>
      </c>
      <c r="C1134" s="2" t="inlineStr">
        <is>
          <t>MNQH4</t>
        </is>
      </c>
      <c r="D1134" s="3" t="n">
        <v>17100</v>
      </c>
      <c r="E1134" s="3" t="n">
        <v>17072</v>
      </c>
      <c r="F1134" s="3">
        <f>D1134-E1134</f>
        <v/>
      </c>
      <c r="G1134" s="2" t="inlineStr">
        <is>
          <t>Short</t>
        </is>
      </c>
      <c r="H1134" s="3" t="n">
        <v>17072</v>
      </c>
      <c r="I1134" s="3" t="n">
        <v>17044</v>
      </c>
      <c r="J1134" s="3">
        <f>IF(G1134="Long",I1134-H1134,IF(G1134="Short",H1134-I1134,0))</f>
        <v/>
      </c>
      <c r="K1134" s="4" t="n">
        <v>0</v>
      </c>
      <c r="L1134" s="2" t="inlineStr">
        <is>
          <t>Win</t>
        </is>
      </c>
      <c r="M1134" s="3">
        <f>M1133+J1134</f>
        <v/>
      </c>
    </row>
    <row r="1135">
      <c r="A1135" s="2" t="inlineStr">
        <is>
          <t>2024-01-02</t>
        </is>
      </c>
      <c r="B1135" s="2" t="inlineStr">
        <is>
          <t>Tuesday</t>
        </is>
      </c>
      <c r="C1135" s="2" t="inlineStr">
        <is>
          <t>MNQH4</t>
        </is>
      </c>
      <c r="D1135" s="3" t="n">
        <v>16873.5</v>
      </c>
      <c r="E1135" s="3" t="n">
        <v>16768</v>
      </c>
      <c r="F1135" s="3">
        <f>D1135-E1135</f>
        <v/>
      </c>
      <c r="G1135" s="2" t="inlineStr">
        <is>
          <t>Short</t>
        </is>
      </c>
      <c r="H1135" s="3" t="n">
        <v>16768</v>
      </c>
      <c r="I1135" s="3" t="n">
        <v>16662.5</v>
      </c>
      <c r="J1135" s="3">
        <f>IF(G1135="Long",I1135-H1135,IF(G1135="Short",H1135-I1135,0))</f>
        <v/>
      </c>
      <c r="K1135" s="4" t="n">
        <v>19.67</v>
      </c>
      <c r="L1135" s="2" t="inlineStr">
        <is>
          <t>Win</t>
        </is>
      </c>
      <c r="M1135" s="3">
        <f>M1134+J1135</f>
        <v/>
      </c>
    </row>
    <row r="1136">
      <c r="A1136" s="8" t="inlineStr">
        <is>
          <t>2024-01-03</t>
        </is>
      </c>
      <c r="B1136" s="8" t="inlineStr">
        <is>
          <t>Wednesday</t>
        </is>
      </c>
      <c r="C1136" s="8" t="inlineStr">
        <is>
          <t>MNQH4</t>
        </is>
      </c>
      <c r="D1136" s="9" t="n">
        <v>16642</v>
      </c>
      <c r="E1136" s="9" t="n">
        <v>16581.5</v>
      </c>
      <c r="F1136" s="9">
        <f>D1136-E1136</f>
        <v/>
      </c>
      <c r="G1136" s="8" t="inlineStr">
        <is>
          <t>Short</t>
        </is>
      </c>
      <c r="H1136" s="9" t="n">
        <v>16581.5</v>
      </c>
      <c r="I1136" s="9" t="n">
        <v>16540.5</v>
      </c>
      <c r="J1136" s="9">
        <f>IF(G1136="Long",I1136-H1136,IF(G1136="Short",H1136-I1136,0))</f>
        <v/>
      </c>
      <c r="K1136" s="10" t="n">
        <v>77.69</v>
      </c>
      <c r="L1136" s="8" t="inlineStr">
        <is>
          <t>EOD-Close</t>
        </is>
      </c>
      <c r="M1136" s="9">
        <f>M1135+J1136</f>
        <v/>
      </c>
    </row>
    <row r="1137">
      <c r="A1137" s="2" t="inlineStr">
        <is>
          <t>2024-01-04</t>
        </is>
      </c>
      <c r="B1137" s="2" t="inlineStr">
        <is>
          <t>Thursday</t>
        </is>
      </c>
      <c r="C1137" s="2" t="inlineStr">
        <is>
          <t>MNQH4</t>
        </is>
      </c>
      <c r="D1137" s="3" t="n">
        <v>16500</v>
      </c>
      <c r="E1137" s="3" t="n">
        <v>16443</v>
      </c>
      <c r="F1137" s="3">
        <f>D1137-E1137</f>
        <v/>
      </c>
      <c r="G1137" s="2" t="inlineStr">
        <is>
          <t>Long</t>
        </is>
      </c>
      <c r="H1137" s="3" t="n">
        <v>16500</v>
      </c>
      <c r="I1137" s="3" t="n">
        <v>16557</v>
      </c>
      <c r="J1137" s="3">
        <f>IF(G1137="Long",I1137-H1137,IF(G1137="Short",H1137-I1137,0))</f>
        <v/>
      </c>
      <c r="K1137" s="4" t="n">
        <v>7.02</v>
      </c>
      <c r="L1137" s="2" t="inlineStr">
        <is>
          <t>Win</t>
        </is>
      </c>
      <c r="M1137" s="3">
        <f>M1136+J1137</f>
        <v/>
      </c>
    </row>
    <row r="1138">
      <c r="A1138" s="5" t="inlineStr">
        <is>
          <t>2024-01-04</t>
        </is>
      </c>
      <c r="B1138" s="5" t="inlineStr">
        <is>
          <t>Thursday</t>
        </is>
      </c>
      <c r="C1138" s="5" t="inlineStr">
        <is>
          <t>MNQH4</t>
        </is>
      </c>
      <c r="D1138" s="6" t="n">
        <v>16500</v>
      </c>
      <c r="E1138" s="6" t="n">
        <v>16443</v>
      </c>
      <c r="F1138" s="6">
        <f>D1138-E1138</f>
        <v/>
      </c>
      <c r="G1138" s="5" t="inlineStr">
        <is>
          <t>Long</t>
        </is>
      </c>
      <c r="H1138" s="6" t="n">
        <v>16500</v>
      </c>
      <c r="I1138" s="6" t="n">
        <v>16443</v>
      </c>
      <c r="J1138" s="6">
        <f>IF(G1138="Long",I1138-H1138,IF(G1138="Short",H1138-I1138,0))</f>
        <v/>
      </c>
      <c r="K1138" s="7" t="n">
        <v>100</v>
      </c>
      <c r="L1138" s="5" t="inlineStr">
        <is>
          <t>Loss</t>
        </is>
      </c>
      <c r="M1138" s="6">
        <f>M1137+J1138</f>
        <v/>
      </c>
    </row>
    <row r="1139">
      <c r="A1139" s="2" t="inlineStr">
        <is>
          <t>2024-01-05</t>
        </is>
      </c>
      <c r="B1139" s="2" t="inlineStr">
        <is>
          <t>Friday</t>
        </is>
      </c>
      <c r="C1139" s="2" t="inlineStr">
        <is>
          <t>MNQH4</t>
        </is>
      </c>
      <c r="D1139" s="3" t="n">
        <v>16494.25</v>
      </c>
      <c r="E1139" s="3" t="n">
        <v>16437.25</v>
      </c>
      <c r="F1139" s="3">
        <f>D1139-E1139</f>
        <v/>
      </c>
      <c r="G1139" s="2" t="inlineStr">
        <is>
          <t>Long</t>
        </is>
      </c>
      <c r="H1139" s="3" t="n">
        <v>16494.25</v>
      </c>
      <c r="I1139" s="3" t="n">
        <v>16551.25</v>
      </c>
      <c r="J1139" s="3">
        <f>IF(G1139="Long",I1139-H1139,IF(G1139="Short",H1139-I1139,0))</f>
        <v/>
      </c>
      <c r="K1139" s="4" t="n">
        <v>0</v>
      </c>
      <c r="L1139" s="2" t="inlineStr">
        <is>
          <t>Win</t>
        </is>
      </c>
      <c r="M1139" s="3">
        <f>M1138+J1139</f>
        <v/>
      </c>
    </row>
    <row r="1140">
      <c r="A1140" s="5" t="inlineStr">
        <is>
          <t>2024-01-05</t>
        </is>
      </c>
      <c r="B1140" s="5" t="inlineStr">
        <is>
          <t>Friday</t>
        </is>
      </c>
      <c r="C1140" s="5" t="inlineStr">
        <is>
          <t>MNQH4</t>
        </is>
      </c>
      <c r="D1140" s="6" t="n">
        <v>16494.25</v>
      </c>
      <c r="E1140" s="6" t="n">
        <v>16437.25</v>
      </c>
      <c r="F1140" s="6">
        <f>D1140-E1140</f>
        <v/>
      </c>
      <c r="G1140" s="5" t="inlineStr">
        <is>
          <t>Long</t>
        </is>
      </c>
      <c r="H1140" s="6" t="n">
        <v>16494.25</v>
      </c>
      <c r="I1140" s="6" t="n">
        <v>16437.25</v>
      </c>
      <c r="J1140" s="6">
        <f>IF(G1140="Long",I1140-H1140,IF(G1140="Short",H1140-I1140,0))</f>
        <v/>
      </c>
      <c r="K1140" s="7" t="n">
        <v>100</v>
      </c>
      <c r="L1140" s="5" t="inlineStr">
        <is>
          <t>Loss</t>
        </is>
      </c>
      <c r="M1140" s="6">
        <f>M1139+J1140</f>
        <v/>
      </c>
    </row>
    <row r="1141">
      <c r="A1141" s="2" t="inlineStr">
        <is>
          <t>2024-01-08</t>
        </is>
      </c>
      <c r="B1141" s="2" t="inlineStr">
        <is>
          <t>Monday</t>
        </is>
      </c>
      <c r="C1141" s="2" t="inlineStr">
        <is>
          <t>MNQH4</t>
        </is>
      </c>
      <c r="D1141" s="3" t="n">
        <v>16578.25</v>
      </c>
      <c r="E1141" s="3" t="n">
        <v>16505.25</v>
      </c>
      <c r="F1141" s="3">
        <f>D1141-E1141</f>
        <v/>
      </c>
      <c r="G1141" s="2" t="inlineStr">
        <is>
          <t>Long</t>
        </is>
      </c>
      <c r="H1141" s="3" t="n">
        <v>16578.25</v>
      </c>
      <c r="I1141" s="3" t="n">
        <v>16651.25</v>
      </c>
      <c r="J1141" s="3">
        <f>IF(G1141="Long",I1141-H1141,IF(G1141="Short",H1141-I1141,0))</f>
        <v/>
      </c>
      <c r="K1141" s="4" t="n">
        <v>2.4</v>
      </c>
      <c r="L1141" s="2" t="inlineStr">
        <is>
          <t>Win</t>
        </is>
      </c>
      <c r="M1141" s="3">
        <f>M1140+J1141</f>
        <v/>
      </c>
    </row>
    <row r="1142">
      <c r="A1142" s="2" t="inlineStr">
        <is>
          <t>2024-01-09</t>
        </is>
      </c>
      <c r="B1142" s="2" t="inlineStr">
        <is>
          <t>Tuesday</t>
        </is>
      </c>
      <c r="C1142" s="2" t="inlineStr">
        <is>
          <t>MNQH4</t>
        </is>
      </c>
      <c r="D1142" s="3" t="n">
        <v>16714.5</v>
      </c>
      <c r="E1142" s="3" t="n">
        <v>16660.75</v>
      </c>
      <c r="F1142" s="3">
        <f>D1142-E1142</f>
        <v/>
      </c>
      <c r="G1142" s="2" t="inlineStr">
        <is>
          <t>Long</t>
        </is>
      </c>
      <c r="H1142" s="3" t="n">
        <v>16714.5</v>
      </c>
      <c r="I1142" s="3" t="n">
        <v>16768.25</v>
      </c>
      <c r="J1142" s="3">
        <f>IF(G1142="Long",I1142-H1142,IF(G1142="Short",H1142-I1142,0))</f>
        <v/>
      </c>
      <c r="K1142" s="4" t="n">
        <v>5.12</v>
      </c>
      <c r="L1142" s="2" t="inlineStr">
        <is>
          <t>Win</t>
        </is>
      </c>
      <c r="M1142" s="3">
        <f>M1141+J1142</f>
        <v/>
      </c>
    </row>
    <row r="1143">
      <c r="A1143" s="2" t="inlineStr">
        <is>
          <t>2024-01-10</t>
        </is>
      </c>
      <c r="B1143" s="2" t="inlineStr">
        <is>
          <t>Wednesday</t>
        </is>
      </c>
      <c r="C1143" s="2" t="inlineStr">
        <is>
          <t>MNQH4</t>
        </is>
      </c>
      <c r="D1143" s="3" t="n">
        <v>16874</v>
      </c>
      <c r="E1143" s="3" t="n">
        <v>16839.5</v>
      </c>
      <c r="F1143" s="3">
        <f>D1143-E1143</f>
        <v/>
      </c>
      <c r="G1143" s="2" t="inlineStr">
        <is>
          <t>Short</t>
        </is>
      </c>
      <c r="H1143" s="3" t="n">
        <v>16839.5</v>
      </c>
      <c r="I1143" s="3" t="n">
        <v>16805</v>
      </c>
      <c r="J1143" s="3">
        <f>IF(G1143="Long",I1143-H1143,IF(G1143="Short",H1143-I1143,0))</f>
        <v/>
      </c>
      <c r="K1143" s="4" t="n">
        <v>0</v>
      </c>
      <c r="L1143" s="2" t="inlineStr">
        <is>
          <t>Win</t>
        </is>
      </c>
      <c r="M1143" s="3">
        <f>M1142+J1143</f>
        <v/>
      </c>
    </row>
    <row r="1144">
      <c r="A1144" s="5" t="inlineStr">
        <is>
          <t>2024-01-10</t>
        </is>
      </c>
      <c r="B1144" s="5" t="inlineStr">
        <is>
          <t>Wednesday</t>
        </is>
      </c>
      <c r="C1144" s="5" t="inlineStr">
        <is>
          <t>MNQH4</t>
        </is>
      </c>
      <c r="D1144" s="6" t="n">
        <v>16874</v>
      </c>
      <c r="E1144" s="6" t="n">
        <v>16839.5</v>
      </c>
      <c r="F1144" s="6">
        <f>D1144-E1144</f>
        <v/>
      </c>
      <c r="G1144" s="5" t="inlineStr">
        <is>
          <t>Short</t>
        </is>
      </c>
      <c r="H1144" s="6" t="n">
        <v>16839.5</v>
      </c>
      <c r="I1144" s="6" t="n">
        <v>16874</v>
      </c>
      <c r="J1144" s="6">
        <f>IF(G1144="Long",I1144-H1144,IF(G1144="Short",H1144-I1144,0))</f>
        <v/>
      </c>
      <c r="K1144" s="7" t="n">
        <v>100</v>
      </c>
      <c r="L1144" s="5" t="inlineStr">
        <is>
          <t>Loss</t>
        </is>
      </c>
      <c r="M1144" s="6">
        <f>M1143+J1144</f>
        <v/>
      </c>
    </row>
    <row r="1145">
      <c r="A1145" s="2" t="inlineStr">
        <is>
          <t>2024-01-11</t>
        </is>
      </c>
      <c r="B1145" s="2" t="inlineStr">
        <is>
          <t>Thursday</t>
        </is>
      </c>
      <c r="C1145" s="2" t="inlineStr">
        <is>
          <t>MNQH4</t>
        </is>
      </c>
      <c r="D1145" s="3" t="n">
        <v>17043</v>
      </c>
      <c r="E1145" s="3" t="n">
        <v>16974.75</v>
      </c>
      <c r="F1145" s="3">
        <f>D1145-E1145</f>
        <v/>
      </c>
      <c r="G1145" s="2" t="inlineStr">
        <is>
          <t>Short</t>
        </is>
      </c>
      <c r="H1145" s="3" t="n">
        <v>16974.75</v>
      </c>
      <c r="I1145" s="3" t="n">
        <v>16906.5</v>
      </c>
      <c r="J1145" s="3">
        <f>IF(G1145="Long",I1145-H1145,IF(G1145="Short",H1145-I1145,0))</f>
        <v/>
      </c>
      <c r="K1145" s="4" t="n">
        <v>0</v>
      </c>
      <c r="L1145" s="2" t="inlineStr">
        <is>
          <t>Win</t>
        </is>
      </c>
      <c r="M1145" s="3">
        <f>M1144+J1145</f>
        <v/>
      </c>
    </row>
    <row r="1146">
      <c r="A1146" s="8" t="inlineStr">
        <is>
          <t>2024-01-11</t>
        </is>
      </c>
      <c r="B1146" s="8" t="inlineStr">
        <is>
          <t>Thursday</t>
        </is>
      </c>
      <c r="C1146" s="8" t="inlineStr">
        <is>
          <t>MNQH4</t>
        </is>
      </c>
      <c r="D1146" s="9" t="n">
        <v>17043</v>
      </c>
      <c r="E1146" s="9" t="n">
        <v>16974.75</v>
      </c>
      <c r="F1146" s="9">
        <f>D1146-E1146</f>
        <v/>
      </c>
      <c r="G1146" s="8" t="inlineStr">
        <is>
          <t>Short</t>
        </is>
      </c>
      <c r="H1146" s="9" t="n">
        <v>16974.75</v>
      </c>
      <c r="I1146" s="9" t="n">
        <v>16965.25</v>
      </c>
      <c r="J1146" s="9">
        <f>IF(G1146="Long",I1146-H1146,IF(G1146="Short",H1146-I1146,0))</f>
        <v/>
      </c>
      <c r="K1146" s="10" t="n">
        <v>13.19</v>
      </c>
      <c r="L1146" s="8" t="inlineStr">
        <is>
          <t>EOD-Close</t>
        </is>
      </c>
      <c r="M1146" s="9">
        <f>M1145+J1146</f>
        <v/>
      </c>
    </row>
    <row r="1147">
      <c r="A1147" s="8" t="inlineStr">
        <is>
          <t>2024-01-12</t>
        </is>
      </c>
      <c r="B1147" s="8" t="inlineStr">
        <is>
          <t>Friday</t>
        </is>
      </c>
      <c r="C1147" s="8" t="inlineStr">
        <is>
          <t>MNQH4</t>
        </is>
      </c>
      <c r="D1147" s="9" t="n">
        <v>17039</v>
      </c>
      <c r="E1147" s="9" t="n">
        <v>16974</v>
      </c>
      <c r="F1147" s="9">
        <f>D1147-E1147</f>
        <v/>
      </c>
      <c r="G1147" s="8" t="inlineStr">
        <is>
          <t>Short</t>
        </is>
      </c>
      <c r="H1147" s="9" t="n">
        <v>16974</v>
      </c>
      <c r="I1147" s="9" t="n">
        <v>16972</v>
      </c>
      <c r="J1147" s="9">
        <f>IF(G1147="Long",I1147-H1147,IF(G1147="Short",H1147-I1147,0))</f>
        <v/>
      </c>
      <c r="K1147" s="10" t="n">
        <v>47.69</v>
      </c>
      <c r="L1147" s="8" t="inlineStr">
        <is>
          <t>EOD-Close</t>
        </is>
      </c>
      <c r="M1147" s="9">
        <f>M1146+J1147</f>
        <v/>
      </c>
    </row>
    <row r="1148">
      <c r="A1148" s="2" t="inlineStr">
        <is>
          <t>2024-01-15</t>
        </is>
      </c>
      <c r="B1148" s="2" t="inlineStr">
        <is>
          <t>Monday</t>
        </is>
      </c>
      <c r="C1148" s="2" t="inlineStr">
        <is>
          <t>MNQH4</t>
        </is>
      </c>
      <c r="D1148" s="3" t="n">
        <v>16967.5</v>
      </c>
      <c r="E1148" s="3" t="n">
        <v>16952</v>
      </c>
      <c r="F1148" s="3">
        <f>D1148-E1148</f>
        <v/>
      </c>
      <c r="G1148" s="2" t="inlineStr">
        <is>
          <t>Short</t>
        </is>
      </c>
      <c r="H1148" s="3" t="n">
        <v>16952</v>
      </c>
      <c r="I1148" s="3" t="n">
        <v>16936.5</v>
      </c>
      <c r="J1148" s="3">
        <f>IF(G1148="Long",I1148-H1148,IF(G1148="Short",H1148-I1148,0))</f>
        <v/>
      </c>
      <c r="K1148" s="4" t="n">
        <v>0</v>
      </c>
      <c r="L1148" s="2" t="inlineStr">
        <is>
          <t>Win</t>
        </is>
      </c>
      <c r="M1148" s="3">
        <f>M1147+J1148</f>
        <v/>
      </c>
    </row>
    <row r="1149">
      <c r="A1149" s="5" t="inlineStr">
        <is>
          <t>2024-01-15</t>
        </is>
      </c>
      <c r="B1149" s="5" t="inlineStr">
        <is>
          <t>Monday</t>
        </is>
      </c>
      <c r="C1149" s="5" t="inlineStr">
        <is>
          <t>MNQH4</t>
        </is>
      </c>
      <c r="D1149" s="6" t="n">
        <v>16967.5</v>
      </c>
      <c r="E1149" s="6" t="n">
        <v>16952</v>
      </c>
      <c r="F1149" s="6">
        <f>D1149-E1149</f>
        <v/>
      </c>
      <c r="G1149" s="5" t="inlineStr">
        <is>
          <t>Short</t>
        </is>
      </c>
      <c r="H1149" s="6" t="n">
        <v>16952</v>
      </c>
      <c r="I1149" s="6" t="n">
        <v>16967.5</v>
      </c>
      <c r="J1149" s="6">
        <f>IF(G1149="Long",I1149-H1149,IF(G1149="Short",H1149-I1149,0))</f>
        <v/>
      </c>
      <c r="K1149" s="7" t="n">
        <v>100</v>
      </c>
      <c r="L1149" s="5" t="inlineStr">
        <is>
          <t>Loss</t>
        </is>
      </c>
      <c r="M1149" s="6">
        <f>M1148+J1149</f>
        <v/>
      </c>
    </row>
    <row r="1150">
      <c r="A1150" s="2" t="inlineStr">
        <is>
          <t>2024-01-16</t>
        </is>
      </c>
      <c r="B1150" s="2" t="inlineStr">
        <is>
          <t>Tuesday</t>
        </is>
      </c>
      <c r="C1150" s="2" t="inlineStr">
        <is>
          <t>MNQH4</t>
        </is>
      </c>
      <c r="D1150" s="3" t="n">
        <v>16946</v>
      </c>
      <c r="E1150" s="3" t="n">
        <v>16870.25</v>
      </c>
      <c r="F1150" s="3">
        <f>D1150-E1150</f>
        <v/>
      </c>
      <c r="G1150" s="2" t="inlineStr">
        <is>
          <t>Long</t>
        </is>
      </c>
      <c r="H1150" s="3" t="n">
        <v>16946</v>
      </c>
      <c r="I1150" s="3" t="n">
        <v>17021.75</v>
      </c>
      <c r="J1150" s="3">
        <f>IF(G1150="Long",I1150-H1150,IF(G1150="Short",H1150-I1150,0))</f>
        <v/>
      </c>
      <c r="K1150" s="4" t="n">
        <v>0</v>
      </c>
      <c r="L1150" s="2" t="inlineStr">
        <is>
          <t>Win</t>
        </is>
      </c>
      <c r="M1150" s="3">
        <f>M1149+J1150</f>
        <v/>
      </c>
    </row>
    <row r="1151">
      <c r="A1151" s="2" t="inlineStr">
        <is>
          <t>2024-01-16</t>
        </is>
      </c>
      <c r="B1151" s="2" t="inlineStr">
        <is>
          <t>Tuesday</t>
        </is>
      </c>
      <c r="C1151" s="2" t="inlineStr">
        <is>
          <t>MNQH4</t>
        </is>
      </c>
      <c r="D1151" s="3" t="n">
        <v>16946</v>
      </c>
      <c r="E1151" s="3" t="n">
        <v>16870.25</v>
      </c>
      <c r="F1151" s="3">
        <f>D1151-E1151</f>
        <v/>
      </c>
      <c r="G1151" s="2" t="inlineStr">
        <is>
          <t>Long</t>
        </is>
      </c>
      <c r="H1151" s="3" t="n">
        <v>16946</v>
      </c>
      <c r="I1151" s="3" t="n">
        <v>17021.75</v>
      </c>
      <c r="J1151" s="3">
        <f>IF(G1151="Long",I1151-H1151,IF(G1151="Short",H1151-I1151,0))</f>
        <v/>
      </c>
      <c r="K1151" s="4" t="n">
        <v>15.51</v>
      </c>
      <c r="L1151" s="2" t="inlineStr">
        <is>
          <t>Win</t>
        </is>
      </c>
      <c r="M1151" s="3">
        <f>M1150+J1151</f>
        <v/>
      </c>
    </row>
    <row r="1152">
      <c r="A1152" s="5" t="inlineStr">
        <is>
          <t>2024-01-17</t>
        </is>
      </c>
      <c r="B1152" s="5" t="inlineStr">
        <is>
          <t>Wednesday</t>
        </is>
      </c>
      <c r="C1152" s="5" t="inlineStr">
        <is>
          <t>MNQH4</t>
        </is>
      </c>
      <c r="D1152" s="6" t="n">
        <v>16842.75</v>
      </c>
      <c r="E1152" s="6" t="n">
        <v>16733</v>
      </c>
      <c r="F1152" s="6">
        <f>D1152-E1152</f>
        <v/>
      </c>
      <c r="G1152" s="5" t="inlineStr">
        <is>
          <t>Short</t>
        </is>
      </c>
      <c r="H1152" s="6" t="n">
        <v>16733</v>
      </c>
      <c r="I1152" s="6" t="n">
        <v>16842.75</v>
      </c>
      <c r="J1152" s="6">
        <f>IF(G1152="Long",I1152-H1152,IF(G1152="Short",H1152-I1152,0))</f>
        <v/>
      </c>
      <c r="K1152" s="7" t="n">
        <v>100</v>
      </c>
      <c r="L1152" s="5" t="inlineStr">
        <is>
          <t>Loss</t>
        </is>
      </c>
      <c r="M1152" s="6">
        <f>M1151+J1152</f>
        <v/>
      </c>
    </row>
    <row r="1153">
      <c r="A1153" s="8" t="inlineStr">
        <is>
          <t>2024-01-17</t>
        </is>
      </c>
      <c r="B1153" s="8" t="inlineStr">
        <is>
          <t>Wednesday</t>
        </is>
      </c>
      <c r="C1153" s="8" t="inlineStr">
        <is>
          <t>MNQH4</t>
        </is>
      </c>
      <c r="D1153" s="9" t="n">
        <v>16842.75</v>
      </c>
      <c r="E1153" s="9" t="n">
        <v>16733</v>
      </c>
      <c r="F1153" s="9">
        <f>D1153-E1153</f>
        <v/>
      </c>
      <c r="G1153" s="8" t="inlineStr">
        <is>
          <t>Long</t>
        </is>
      </c>
      <c r="H1153" s="9" t="n">
        <v>16842.75</v>
      </c>
      <c r="I1153" s="9" t="n">
        <v>16868.75</v>
      </c>
      <c r="J1153" s="9">
        <f>IF(G1153="Long",I1153-H1153,IF(G1153="Short",H1153-I1153,0))</f>
        <v/>
      </c>
      <c r="K1153" s="10" t="n">
        <v>0</v>
      </c>
      <c r="L1153" s="8" t="inlineStr">
        <is>
          <t>EOD-Close</t>
        </is>
      </c>
      <c r="M1153" s="9">
        <f>M1152+J1153</f>
        <v/>
      </c>
    </row>
    <row r="1154">
      <c r="A1154" s="5" t="inlineStr">
        <is>
          <t>2024-01-18</t>
        </is>
      </c>
      <c r="B1154" s="5" t="inlineStr">
        <is>
          <t>Thursday</t>
        </is>
      </c>
      <c r="C1154" s="5" t="inlineStr">
        <is>
          <t>MNQH4</t>
        </is>
      </c>
      <c r="D1154" s="6" t="n">
        <v>17054.75</v>
      </c>
      <c r="E1154" s="6" t="n">
        <v>16995.5</v>
      </c>
      <c r="F1154" s="6">
        <f>D1154-E1154</f>
        <v/>
      </c>
      <c r="G1154" s="5" t="inlineStr">
        <is>
          <t>Short</t>
        </is>
      </c>
      <c r="H1154" s="6" t="n">
        <v>16995.5</v>
      </c>
      <c r="I1154" s="6" t="n">
        <v>17054.75</v>
      </c>
      <c r="J1154" s="6">
        <f>IF(G1154="Long",I1154-H1154,IF(G1154="Short",H1154-I1154,0))</f>
        <v/>
      </c>
      <c r="K1154" s="7" t="n">
        <v>100</v>
      </c>
      <c r="L1154" s="5" t="inlineStr">
        <is>
          <t>Loss</t>
        </is>
      </c>
      <c r="M1154" s="6">
        <f>M1153+J1154</f>
        <v/>
      </c>
    </row>
    <row r="1155">
      <c r="A1155" s="5" t="inlineStr">
        <is>
          <t>2024-01-18</t>
        </is>
      </c>
      <c r="B1155" s="5" t="inlineStr">
        <is>
          <t>Thursday</t>
        </is>
      </c>
      <c r="C1155" s="5" t="inlineStr">
        <is>
          <t>MNQH4</t>
        </is>
      </c>
      <c r="D1155" s="6" t="n">
        <v>17054.75</v>
      </c>
      <c r="E1155" s="6" t="n">
        <v>16995.5</v>
      </c>
      <c r="F1155" s="6">
        <f>D1155-E1155</f>
        <v/>
      </c>
      <c r="G1155" s="5" t="inlineStr">
        <is>
          <t>Long</t>
        </is>
      </c>
      <c r="H1155" s="6" t="n">
        <v>17054.75</v>
      </c>
      <c r="I1155" s="6" t="n">
        <v>16995.5</v>
      </c>
      <c r="J1155" s="6">
        <f>IF(G1155="Long",I1155-H1155,IF(G1155="Short",H1155-I1155,0))</f>
        <v/>
      </c>
      <c r="K1155" s="7" t="n">
        <v>100</v>
      </c>
      <c r="L1155" s="5" t="inlineStr">
        <is>
          <t>Loss</t>
        </is>
      </c>
      <c r="M1155" s="6">
        <f>M1154+J1155</f>
        <v/>
      </c>
    </row>
    <row r="1156">
      <c r="A1156" s="2" t="inlineStr">
        <is>
          <t>2024-01-19</t>
        </is>
      </c>
      <c r="B1156" s="2" t="inlineStr">
        <is>
          <t>Friday</t>
        </is>
      </c>
      <c r="C1156" s="2" t="inlineStr">
        <is>
          <t>MNQH4</t>
        </is>
      </c>
      <c r="D1156" s="3" t="n">
        <v>17208.5</v>
      </c>
      <c r="E1156" s="3" t="n">
        <v>17166.25</v>
      </c>
      <c r="F1156" s="3">
        <f>D1156-E1156</f>
        <v/>
      </c>
      <c r="G1156" s="2" t="inlineStr">
        <is>
          <t>Long</t>
        </is>
      </c>
      <c r="H1156" s="3" t="n">
        <v>17208.5</v>
      </c>
      <c r="I1156" s="3" t="n">
        <v>17250.75</v>
      </c>
      <c r="J1156" s="3">
        <f>IF(G1156="Long",I1156-H1156,IF(G1156="Short",H1156-I1156,0))</f>
        <v/>
      </c>
      <c r="K1156" s="4" t="n">
        <v>94.08</v>
      </c>
      <c r="L1156" s="2" t="inlineStr">
        <is>
          <t>Win</t>
        </is>
      </c>
      <c r="M1156" s="3">
        <f>M1155+J1156</f>
        <v/>
      </c>
    </row>
    <row r="1157">
      <c r="A1157" s="8" t="inlineStr">
        <is>
          <t>2024-01-22</t>
        </is>
      </c>
      <c r="B1157" s="8" t="inlineStr">
        <is>
          <t>Monday</t>
        </is>
      </c>
      <c r="C1157" s="8" t="inlineStr">
        <is>
          <t>MNQH4</t>
        </is>
      </c>
      <c r="D1157" s="9" t="n">
        <v>17584.75</v>
      </c>
      <c r="E1157" s="9" t="n">
        <v>17491.75</v>
      </c>
      <c r="F1157" s="9">
        <f>D1157-E1157</f>
        <v/>
      </c>
      <c r="G1157" s="8" t="inlineStr">
        <is>
          <t>Short</t>
        </is>
      </c>
      <c r="H1157" s="9" t="n">
        <v>17491.75</v>
      </c>
      <c r="I1157" s="9" t="n">
        <v>17460.5</v>
      </c>
      <c r="J1157" s="9">
        <f>IF(G1157="Long",I1157-H1157,IF(G1157="Short",H1157-I1157,0))</f>
        <v/>
      </c>
      <c r="K1157" s="10" t="n">
        <v>23.92</v>
      </c>
      <c r="L1157" s="8" t="inlineStr">
        <is>
          <t>EOD-Close</t>
        </is>
      </c>
      <c r="M1157" s="9">
        <f>M1156+J1157</f>
        <v/>
      </c>
    </row>
    <row r="1158">
      <c r="A1158" s="8" t="inlineStr">
        <is>
          <t>2024-01-23</t>
        </is>
      </c>
      <c r="B1158" s="8" t="inlineStr">
        <is>
          <t>Tuesday</t>
        </is>
      </c>
      <c r="C1158" s="8" t="inlineStr">
        <is>
          <t>MNQH4</t>
        </is>
      </c>
      <c r="D1158" s="9" t="n">
        <v>17488.25</v>
      </c>
      <c r="E1158" s="9" t="n">
        <v>17409.25</v>
      </c>
      <c r="F1158" s="9">
        <f>D1158-E1158</f>
        <v/>
      </c>
      <c r="G1158" s="8" t="inlineStr">
        <is>
          <t>Long</t>
        </is>
      </c>
      <c r="H1158" s="9" t="n">
        <v>17488.25</v>
      </c>
      <c r="I1158" s="9" t="n">
        <v>17529.25</v>
      </c>
      <c r="J1158" s="9">
        <f>IF(G1158="Long",I1158-H1158,IF(G1158="Short",H1158-I1158,0))</f>
        <v/>
      </c>
      <c r="K1158" s="10" t="n">
        <v>35.76</v>
      </c>
      <c r="L1158" s="8" t="inlineStr">
        <is>
          <t>EOD-Close</t>
        </is>
      </c>
      <c r="M1158" s="9">
        <f>M1157+J1158</f>
        <v/>
      </c>
    </row>
    <row r="1159">
      <c r="A1159" s="2" t="inlineStr">
        <is>
          <t>2024-01-24</t>
        </is>
      </c>
      <c r="B1159" s="2" t="inlineStr">
        <is>
          <t>Wednesday</t>
        </is>
      </c>
      <c r="C1159" s="2" t="inlineStr">
        <is>
          <t>MNQH4</t>
        </is>
      </c>
      <c r="D1159" s="3" t="n">
        <v>17695.5</v>
      </c>
      <c r="E1159" s="3" t="n">
        <v>17637.25</v>
      </c>
      <c r="F1159" s="3">
        <f>D1159-E1159</f>
        <v/>
      </c>
      <c r="G1159" s="2" t="inlineStr">
        <is>
          <t>Long</t>
        </is>
      </c>
      <c r="H1159" s="3" t="n">
        <v>17695.5</v>
      </c>
      <c r="I1159" s="3" t="n">
        <v>17753.75</v>
      </c>
      <c r="J1159" s="3">
        <f>IF(G1159="Long",I1159-H1159,IF(G1159="Short",H1159-I1159,0))</f>
        <v/>
      </c>
      <c r="K1159" s="4" t="n">
        <v>1.29</v>
      </c>
      <c r="L1159" s="2" t="inlineStr">
        <is>
          <t>Win</t>
        </is>
      </c>
      <c r="M1159" s="3">
        <f>M1158+J1159</f>
        <v/>
      </c>
    </row>
    <row r="1160">
      <c r="A1160" s="2" t="inlineStr">
        <is>
          <t>2024-01-24</t>
        </is>
      </c>
      <c r="B1160" s="2" t="inlineStr">
        <is>
          <t>Wednesday</t>
        </is>
      </c>
      <c r="C1160" s="2" t="inlineStr">
        <is>
          <t>MNQH4</t>
        </is>
      </c>
      <c r="D1160" s="3" t="n">
        <v>17695.5</v>
      </c>
      <c r="E1160" s="3" t="n">
        <v>17637.25</v>
      </c>
      <c r="F1160" s="3">
        <f>D1160-E1160</f>
        <v/>
      </c>
      <c r="G1160" s="2" t="inlineStr">
        <is>
          <t>Long</t>
        </is>
      </c>
      <c r="H1160" s="3" t="n">
        <v>17695.5</v>
      </c>
      <c r="I1160" s="3" t="n">
        <v>17753.75</v>
      </c>
      <c r="J1160" s="3">
        <f>IF(G1160="Long",I1160-H1160,IF(G1160="Short",H1160-I1160,0))</f>
        <v/>
      </c>
      <c r="K1160" s="4" t="n">
        <v>12.88</v>
      </c>
      <c r="L1160" s="2" t="inlineStr">
        <is>
          <t>Win</t>
        </is>
      </c>
      <c r="M1160" s="3">
        <f>M1159+J1160</f>
        <v/>
      </c>
    </row>
    <row r="1161">
      <c r="A1161" s="5" t="inlineStr">
        <is>
          <t>2024-01-25</t>
        </is>
      </c>
      <c r="B1161" s="5" t="inlineStr">
        <is>
          <t>Thursday</t>
        </is>
      </c>
      <c r="C1161" s="5" t="inlineStr">
        <is>
          <t>MNQH4</t>
        </is>
      </c>
      <c r="D1161" s="6" t="n">
        <v>17728</v>
      </c>
      <c r="E1161" s="6" t="n">
        <v>17674.75</v>
      </c>
      <c r="F1161" s="6">
        <f>D1161-E1161</f>
        <v/>
      </c>
      <c r="G1161" s="5" t="inlineStr">
        <is>
          <t>Short</t>
        </is>
      </c>
      <c r="H1161" s="6" t="n">
        <v>17674.75</v>
      </c>
      <c r="I1161" s="6" t="n">
        <v>17728</v>
      </c>
      <c r="J1161" s="6">
        <f>IF(G1161="Long",I1161-H1161,IF(G1161="Short",H1161-I1161,0))</f>
        <v/>
      </c>
      <c r="K1161" s="7" t="n">
        <v>100</v>
      </c>
      <c r="L1161" s="5" t="inlineStr">
        <is>
          <t>Loss</t>
        </is>
      </c>
      <c r="M1161" s="6">
        <f>M1160+J1161</f>
        <v/>
      </c>
    </row>
    <row r="1162">
      <c r="A1162" s="5" t="inlineStr">
        <is>
          <t>2024-01-25</t>
        </is>
      </c>
      <c r="B1162" s="5" t="inlineStr">
        <is>
          <t>Thursday</t>
        </is>
      </c>
      <c r="C1162" s="5" t="inlineStr">
        <is>
          <t>MNQH4</t>
        </is>
      </c>
      <c r="D1162" s="6" t="n">
        <v>17728</v>
      </c>
      <c r="E1162" s="6" t="n">
        <v>17674.75</v>
      </c>
      <c r="F1162" s="6">
        <f>D1162-E1162</f>
        <v/>
      </c>
      <c r="G1162" s="5" t="inlineStr">
        <is>
          <t>Long</t>
        </is>
      </c>
      <c r="H1162" s="6" t="n">
        <v>17728</v>
      </c>
      <c r="I1162" s="6" t="n">
        <v>17674.75</v>
      </c>
      <c r="J1162" s="6">
        <f>IF(G1162="Long",I1162-H1162,IF(G1162="Short",H1162-I1162,0))</f>
        <v/>
      </c>
      <c r="K1162" s="7" t="n">
        <v>100</v>
      </c>
      <c r="L1162" s="5" t="inlineStr">
        <is>
          <t>Loss</t>
        </is>
      </c>
      <c r="M1162" s="6">
        <f>M1161+J1162</f>
        <v/>
      </c>
    </row>
    <row r="1163">
      <c r="A1163" s="5" t="inlineStr">
        <is>
          <t>2024-01-26</t>
        </is>
      </c>
      <c r="B1163" s="5" t="inlineStr">
        <is>
          <t>Friday</t>
        </is>
      </c>
      <c r="C1163" s="5" t="inlineStr">
        <is>
          <t>MNQH4</t>
        </is>
      </c>
      <c r="D1163" s="6" t="n">
        <v>17571.5</v>
      </c>
      <c r="E1163" s="6" t="n">
        <v>17528</v>
      </c>
      <c r="F1163" s="6">
        <f>D1163-E1163</f>
        <v/>
      </c>
      <c r="G1163" s="5" t="inlineStr">
        <is>
          <t>Short</t>
        </is>
      </c>
      <c r="H1163" s="6" t="n">
        <v>17528</v>
      </c>
      <c r="I1163" s="6" t="n">
        <v>17571.5</v>
      </c>
      <c r="J1163" s="6">
        <f>IF(G1163="Long",I1163-H1163,IF(G1163="Short",H1163-I1163,0))</f>
        <v/>
      </c>
      <c r="K1163" s="7" t="n">
        <v>100</v>
      </c>
      <c r="L1163" s="5" t="inlineStr">
        <is>
          <t>Loss</t>
        </is>
      </c>
      <c r="M1163" s="6">
        <f>M1162+J1163</f>
        <v/>
      </c>
    </row>
    <row r="1164">
      <c r="A1164" s="2" t="inlineStr">
        <is>
          <t>2024-01-26</t>
        </is>
      </c>
      <c r="B1164" s="2" t="inlineStr">
        <is>
          <t>Friday</t>
        </is>
      </c>
      <c r="C1164" s="2" t="inlineStr">
        <is>
          <t>MNQH4</t>
        </is>
      </c>
      <c r="D1164" s="3" t="n">
        <v>17571.5</v>
      </c>
      <c r="E1164" s="3" t="n">
        <v>17528</v>
      </c>
      <c r="F1164" s="3">
        <f>D1164-E1164</f>
        <v/>
      </c>
      <c r="G1164" s="2" t="inlineStr">
        <is>
          <t>Long</t>
        </is>
      </c>
      <c r="H1164" s="3" t="n">
        <v>17571.5</v>
      </c>
      <c r="I1164" s="3" t="n">
        <v>17615</v>
      </c>
      <c r="J1164" s="3">
        <f>IF(G1164="Long",I1164-H1164,IF(G1164="Short",H1164-I1164,0))</f>
        <v/>
      </c>
      <c r="K1164" s="4" t="n">
        <v>0</v>
      </c>
      <c r="L1164" s="2" t="inlineStr">
        <is>
          <t>Win</t>
        </is>
      </c>
      <c r="M1164" s="3">
        <f>M1163+J1164</f>
        <v/>
      </c>
    </row>
    <row r="1165">
      <c r="A1165" s="2" t="inlineStr">
        <is>
          <t>2024-01-29</t>
        </is>
      </c>
      <c r="B1165" s="2" t="inlineStr">
        <is>
          <t>Monday</t>
        </is>
      </c>
      <c r="C1165" s="2" t="inlineStr">
        <is>
          <t>MNQH4</t>
        </is>
      </c>
      <c r="D1165" s="3" t="n">
        <v>17584.75</v>
      </c>
      <c r="E1165" s="3" t="n">
        <v>17529.75</v>
      </c>
      <c r="F1165" s="3">
        <f>D1165-E1165</f>
        <v/>
      </c>
      <c r="G1165" s="2" t="inlineStr">
        <is>
          <t>Long</t>
        </is>
      </c>
      <c r="H1165" s="3" t="n">
        <v>17584.75</v>
      </c>
      <c r="I1165" s="3" t="n">
        <v>17639.75</v>
      </c>
      <c r="J1165" s="3">
        <f>IF(G1165="Long",I1165-H1165,IF(G1165="Short",H1165-I1165,0))</f>
        <v/>
      </c>
      <c r="K1165" s="4" t="n">
        <v>12.27</v>
      </c>
      <c r="L1165" s="2" t="inlineStr">
        <is>
          <t>Win</t>
        </is>
      </c>
      <c r="M1165" s="3">
        <f>M1164+J1165</f>
        <v/>
      </c>
    </row>
    <row r="1166">
      <c r="A1166" s="2" t="inlineStr">
        <is>
          <t>2024-01-30</t>
        </is>
      </c>
      <c r="B1166" s="2" t="inlineStr">
        <is>
          <t>Tuesday</t>
        </is>
      </c>
      <c r="C1166" s="2" t="inlineStr">
        <is>
          <t>MNQH4</t>
        </is>
      </c>
      <c r="D1166" s="3" t="n">
        <v>17685</v>
      </c>
      <c r="E1166" s="3" t="n">
        <v>17654</v>
      </c>
      <c r="F1166" s="3">
        <f>D1166-E1166</f>
        <v/>
      </c>
      <c r="G1166" s="2" t="inlineStr">
        <is>
          <t>Short</t>
        </is>
      </c>
      <c r="H1166" s="3" t="n">
        <v>17654</v>
      </c>
      <c r="I1166" s="3" t="n">
        <v>17623</v>
      </c>
      <c r="J1166" s="3">
        <f>IF(G1166="Long",I1166-H1166,IF(G1166="Short",H1166-I1166,0))</f>
        <v/>
      </c>
      <c r="K1166" s="4" t="n">
        <v>43.55</v>
      </c>
      <c r="L1166" s="2" t="inlineStr">
        <is>
          <t>Win</t>
        </is>
      </c>
      <c r="M1166" s="3">
        <f>M1165+J1166</f>
        <v/>
      </c>
    </row>
    <row r="1167">
      <c r="A1167" s="2" t="inlineStr">
        <is>
          <t>2024-01-30</t>
        </is>
      </c>
      <c r="B1167" s="2" t="inlineStr">
        <is>
          <t>Tuesday</t>
        </is>
      </c>
      <c r="C1167" s="2" t="inlineStr">
        <is>
          <t>MNQH4</t>
        </is>
      </c>
      <c r="D1167" s="3" t="n">
        <v>17685</v>
      </c>
      <c r="E1167" s="3" t="n">
        <v>17654</v>
      </c>
      <c r="F1167" s="3">
        <f>D1167-E1167</f>
        <v/>
      </c>
      <c r="G1167" s="2" t="inlineStr">
        <is>
          <t>Short</t>
        </is>
      </c>
      <c r="H1167" s="3" t="n">
        <v>17654</v>
      </c>
      <c r="I1167" s="3" t="n">
        <v>17623</v>
      </c>
      <c r="J1167" s="3">
        <f>IF(G1167="Long",I1167-H1167,IF(G1167="Short",H1167-I1167,0))</f>
        <v/>
      </c>
      <c r="K1167" s="4" t="n">
        <v>2.42</v>
      </c>
      <c r="L1167" s="2" t="inlineStr">
        <is>
          <t>Win</t>
        </is>
      </c>
      <c r="M1167" s="3">
        <f>M1166+J1167</f>
        <v/>
      </c>
    </row>
    <row r="1168">
      <c r="A1168" s="2" t="inlineStr">
        <is>
          <t>2024-01-31</t>
        </is>
      </c>
      <c r="B1168" s="2" t="inlineStr">
        <is>
          <t>Wednesday</t>
        </is>
      </c>
      <c r="C1168" s="2" t="inlineStr">
        <is>
          <t>MNQH4</t>
        </is>
      </c>
      <c r="D1168" s="3" t="n">
        <v>17426.25</v>
      </c>
      <c r="E1168" s="3" t="n">
        <v>17355</v>
      </c>
      <c r="F1168" s="3">
        <f>D1168-E1168</f>
        <v/>
      </c>
      <c r="G1168" s="2" t="inlineStr">
        <is>
          <t>Short</t>
        </is>
      </c>
      <c r="H1168" s="3" t="n">
        <v>17355</v>
      </c>
      <c r="I1168" s="3" t="n">
        <v>17283.75</v>
      </c>
      <c r="J1168" s="3">
        <f>IF(G1168="Long",I1168-H1168,IF(G1168="Short",H1168-I1168,0))</f>
        <v/>
      </c>
      <c r="K1168" s="4" t="n">
        <v>5.61</v>
      </c>
      <c r="L1168" s="2" t="inlineStr">
        <is>
          <t>Win</t>
        </is>
      </c>
      <c r="M1168" s="3">
        <f>M1167+J1168</f>
        <v/>
      </c>
    </row>
    <row r="1169">
      <c r="A1169" s="5" t="inlineStr">
        <is>
          <t>2024-01-31</t>
        </is>
      </c>
      <c r="B1169" s="5" t="inlineStr">
        <is>
          <t>Wednesday</t>
        </is>
      </c>
      <c r="C1169" s="5" t="inlineStr">
        <is>
          <t>MNQH4</t>
        </is>
      </c>
      <c r="D1169" s="6" t="n">
        <v>17426.25</v>
      </c>
      <c r="E1169" s="6" t="n">
        <v>17355</v>
      </c>
      <c r="F1169" s="6">
        <f>D1169-E1169</f>
        <v/>
      </c>
      <c r="G1169" s="5" t="inlineStr">
        <is>
          <t>Short</t>
        </is>
      </c>
      <c r="H1169" s="6" t="n">
        <v>17355</v>
      </c>
      <c r="I1169" s="6" t="n">
        <v>17426.25</v>
      </c>
      <c r="J1169" s="6">
        <f>IF(G1169="Long",I1169-H1169,IF(G1169="Short",H1169-I1169,0))</f>
        <v/>
      </c>
      <c r="K1169" s="7" t="n">
        <v>100</v>
      </c>
      <c r="L1169" s="5" t="inlineStr">
        <is>
          <t>Loss</t>
        </is>
      </c>
      <c r="M1169" s="6">
        <f>M1168+J1169</f>
        <v/>
      </c>
    </row>
    <row r="1170">
      <c r="A1170" s="5" t="inlineStr">
        <is>
          <t>2024-02-01</t>
        </is>
      </c>
      <c r="B1170" s="5" t="inlineStr">
        <is>
          <t>Thursday</t>
        </is>
      </c>
      <c r="C1170" s="5" t="inlineStr">
        <is>
          <t>MNQH4</t>
        </is>
      </c>
      <c r="D1170" s="6" t="n">
        <v>17337.5</v>
      </c>
      <c r="E1170" s="6" t="n">
        <v>17294</v>
      </c>
      <c r="F1170" s="6">
        <f>D1170-E1170</f>
        <v/>
      </c>
      <c r="G1170" s="5" t="inlineStr">
        <is>
          <t>Long</t>
        </is>
      </c>
      <c r="H1170" s="6" t="n">
        <v>17337.5</v>
      </c>
      <c r="I1170" s="6" t="n">
        <v>17294</v>
      </c>
      <c r="J1170" s="6">
        <f>IF(G1170="Long",I1170-H1170,IF(G1170="Short",H1170-I1170,0))</f>
        <v/>
      </c>
      <c r="K1170" s="7" t="n">
        <v>100</v>
      </c>
      <c r="L1170" s="5" t="inlineStr">
        <is>
          <t>Loss</t>
        </is>
      </c>
      <c r="M1170" s="6">
        <f>M1169+J1170</f>
        <v/>
      </c>
    </row>
    <row r="1171">
      <c r="A1171" s="5" t="inlineStr">
        <is>
          <t>2024-02-01</t>
        </is>
      </c>
      <c r="B1171" s="5" t="inlineStr">
        <is>
          <t>Thursday</t>
        </is>
      </c>
      <c r="C1171" s="5" t="inlineStr">
        <is>
          <t>MNQH4</t>
        </is>
      </c>
      <c r="D1171" s="6" t="n">
        <v>17337.5</v>
      </c>
      <c r="E1171" s="6" t="n">
        <v>17294</v>
      </c>
      <c r="F1171" s="6">
        <f>D1171-E1171</f>
        <v/>
      </c>
      <c r="G1171" s="5" t="inlineStr">
        <is>
          <t>Short</t>
        </is>
      </c>
      <c r="H1171" s="6" t="n">
        <v>17294</v>
      </c>
      <c r="I1171" s="6" t="n">
        <v>17337.5</v>
      </c>
      <c r="J1171" s="6">
        <f>IF(G1171="Long",I1171-H1171,IF(G1171="Short",H1171-I1171,0))</f>
        <v/>
      </c>
      <c r="K1171" s="7" t="n">
        <v>100</v>
      </c>
      <c r="L1171" s="5" t="inlineStr">
        <is>
          <t>Loss</t>
        </is>
      </c>
      <c r="M1171" s="6">
        <f>M1170+J1171</f>
        <v/>
      </c>
    </row>
    <row r="1172">
      <c r="A1172" s="2" t="inlineStr">
        <is>
          <t>2024-02-02</t>
        </is>
      </c>
      <c r="B1172" s="2" t="inlineStr">
        <is>
          <t>Friday</t>
        </is>
      </c>
      <c r="C1172" s="2" t="inlineStr">
        <is>
          <t>MNQH4</t>
        </is>
      </c>
      <c r="D1172" s="3" t="n">
        <v>17578.25</v>
      </c>
      <c r="E1172" s="3" t="n">
        <v>17465.75</v>
      </c>
      <c r="F1172" s="3">
        <f>D1172-E1172</f>
        <v/>
      </c>
      <c r="G1172" s="2" t="inlineStr">
        <is>
          <t>Long</t>
        </is>
      </c>
      <c r="H1172" s="3" t="n">
        <v>17578.25</v>
      </c>
      <c r="I1172" s="3" t="n">
        <v>17690.75</v>
      </c>
      <c r="J1172" s="3">
        <f>IF(G1172="Long",I1172-H1172,IF(G1172="Short",H1172-I1172,0))</f>
        <v/>
      </c>
      <c r="K1172" s="4" t="n">
        <v>26.67</v>
      </c>
      <c r="L1172" s="2" t="inlineStr">
        <is>
          <t>Win</t>
        </is>
      </c>
      <c r="M1172" s="3">
        <f>M1171+J1172</f>
        <v/>
      </c>
    </row>
    <row r="1173">
      <c r="A1173" s="2" t="inlineStr">
        <is>
          <t>2024-02-05</t>
        </is>
      </c>
      <c r="B1173" s="2" t="inlineStr">
        <is>
          <t>Monday</t>
        </is>
      </c>
      <c r="C1173" s="2" t="inlineStr">
        <is>
          <t>MNQH4</t>
        </is>
      </c>
      <c r="D1173" s="3" t="n">
        <v>17737.25</v>
      </c>
      <c r="E1173" s="3" t="n">
        <v>17691.25</v>
      </c>
      <c r="F1173" s="3">
        <f>D1173-E1173</f>
        <v/>
      </c>
      <c r="G1173" s="2" t="inlineStr">
        <is>
          <t>Short</t>
        </is>
      </c>
      <c r="H1173" s="3" t="n">
        <v>17691.25</v>
      </c>
      <c r="I1173" s="3" t="n">
        <v>17645.25</v>
      </c>
      <c r="J1173" s="3">
        <f>IF(G1173="Long",I1173-H1173,IF(G1173="Short",H1173-I1173,0))</f>
        <v/>
      </c>
      <c r="K1173" s="4" t="n">
        <v>35.87</v>
      </c>
      <c r="L1173" s="2" t="inlineStr">
        <is>
          <t>Win</t>
        </is>
      </c>
      <c r="M1173" s="3">
        <f>M1172+J1173</f>
        <v/>
      </c>
    </row>
    <row r="1174">
      <c r="A1174" s="5" t="inlineStr">
        <is>
          <t>2024-02-05</t>
        </is>
      </c>
      <c r="B1174" s="5" t="inlineStr">
        <is>
          <t>Monday</t>
        </is>
      </c>
      <c r="C1174" s="5" t="inlineStr">
        <is>
          <t>MNQH4</t>
        </is>
      </c>
      <c r="D1174" s="6" t="n">
        <v>17737.25</v>
      </c>
      <c r="E1174" s="6" t="n">
        <v>17691.25</v>
      </c>
      <c r="F1174" s="6">
        <f>D1174-E1174</f>
        <v/>
      </c>
      <c r="G1174" s="5" t="inlineStr">
        <is>
          <t>Short</t>
        </is>
      </c>
      <c r="H1174" s="6" t="n">
        <v>17691.25</v>
      </c>
      <c r="I1174" s="6" t="n">
        <v>17737.25</v>
      </c>
      <c r="J1174" s="6">
        <f>IF(G1174="Long",I1174-H1174,IF(G1174="Short",H1174-I1174,0))</f>
        <v/>
      </c>
      <c r="K1174" s="7" t="n">
        <v>100</v>
      </c>
      <c r="L1174" s="5" t="inlineStr">
        <is>
          <t>Loss</t>
        </is>
      </c>
      <c r="M1174" s="6">
        <f>M1173+J1174</f>
        <v/>
      </c>
    </row>
    <row r="1175">
      <c r="A1175" s="2" t="inlineStr">
        <is>
          <t>2024-02-06</t>
        </is>
      </c>
      <c r="B1175" s="2" t="inlineStr">
        <is>
          <t>Tuesday</t>
        </is>
      </c>
      <c r="C1175" s="2" t="inlineStr">
        <is>
          <t>MNQH4</t>
        </is>
      </c>
      <c r="D1175" s="3" t="n">
        <v>17767.5</v>
      </c>
      <c r="E1175" s="3" t="n">
        <v>17702.25</v>
      </c>
      <c r="F1175" s="3">
        <f>D1175-E1175</f>
        <v/>
      </c>
      <c r="G1175" s="2" t="inlineStr">
        <is>
          <t>Short</t>
        </is>
      </c>
      <c r="H1175" s="3" t="n">
        <v>17702.25</v>
      </c>
      <c r="I1175" s="3" t="n">
        <v>17637</v>
      </c>
      <c r="J1175" s="3">
        <f>IF(G1175="Long",I1175-H1175,IF(G1175="Short",H1175-I1175,0))</f>
        <v/>
      </c>
      <c r="K1175" s="4" t="n">
        <v>0</v>
      </c>
      <c r="L1175" s="2" t="inlineStr">
        <is>
          <t>Win</t>
        </is>
      </c>
      <c r="M1175" s="3">
        <f>M1174+J1175</f>
        <v/>
      </c>
    </row>
    <row r="1176">
      <c r="A1176" s="2" t="inlineStr">
        <is>
          <t>2024-02-07</t>
        </is>
      </c>
      <c r="B1176" s="2" t="inlineStr">
        <is>
          <t>Wednesday</t>
        </is>
      </c>
      <c r="C1176" s="2" t="inlineStr">
        <is>
          <t>MNQH4</t>
        </is>
      </c>
      <c r="D1176" s="3" t="n">
        <v>17778</v>
      </c>
      <c r="E1176" s="3" t="n">
        <v>17722.75</v>
      </c>
      <c r="F1176" s="3">
        <f>D1176-E1176</f>
        <v/>
      </c>
      <c r="G1176" s="2" t="inlineStr">
        <is>
          <t>Long</t>
        </is>
      </c>
      <c r="H1176" s="3" t="n">
        <v>17778</v>
      </c>
      <c r="I1176" s="3" t="n">
        <v>17833.25</v>
      </c>
      <c r="J1176" s="3">
        <f>IF(G1176="Long",I1176-H1176,IF(G1176="Short",H1176-I1176,0))</f>
        <v/>
      </c>
      <c r="K1176" s="4" t="n">
        <v>0</v>
      </c>
      <c r="L1176" s="2" t="inlineStr">
        <is>
          <t>Win</t>
        </is>
      </c>
      <c r="M1176" s="3">
        <f>M1175+J1176</f>
        <v/>
      </c>
    </row>
    <row r="1177">
      <c r="A1177" s="8" t="inlineStr">
        <is>
          <t>2024-02-08</t>
        </is>
      </c>
      <c r="B1177" s="8" t="inlineStr">
        <is>
          <t>Thursday</t>
        </is>
      </c>
      <c r="C1177" s="8" t="inlineStr">
        <is>
          <t>MNQH4</t>
        </is>
      </c>
      <c r="D1177" s="9" t="n">
        <v>17852.5</v>
      </c>
      <c r="E1177" s="9" t="n">
        <v>17807.5</v>
      </c>
      <c r="F1177" s="9">
        <f>D1177-E1177</f>
        <v/>
      </c>
      <c r="G1177" s="8" t="inlineStr">
        <is>
          <t>Long</t>
        </is>
      </c>
      <c r="H1177" s="9" t="n">
        <v>17852.5</v>
      </c>
      <c r="I1177" s="9" t="n">
        <v>17865.25</v>
      </c>
      <c r="J1177" s="9">
        <f>IF(G1177="Long",I1177-H1177,IF(G1177="Short",H1177-I1177,0))</f>
        <v/>
      </c>
      <c r="K1177" s="10" t="n">
        <v>64.44</v>
      </c>
      <c r="L1177" s="8" t="inlineStr">
        <is>
          <t>EOD-Close</t>
        </is>
      </c>
      <c r="M1177" s="9">
        <f>M1176+J1177</f>
        <v/>
      </c>
    </row>
    <row r="1178">
      <c r="A1178" s="2" t="inlineStr">
        <is>
          <t>2024-02-09</t>
        </is>
      </c>
      <c r="B1178" s="2" t="inlineStr">
        <is>
          <t>Friday</t>
        </is>
      </c>
      <c r="C1178" s="2" t="inlineStr">
        <is>
          <t>MNQH4</t>
        </is>
      </c>
      <c r="D1178" s="3" t="n">
        <v>17911.25</v>
      </c>
      <c r="E1178" s="3" t="n">
        <v>17875.25</v>
      </c>
      <c r="F1178" s="3">
        <f>D1178-E1178</f>
        <v/>
      </c>
      <c r="G1178" s="2" t="inlineStr">
        <is>
          <t>Long</t>
        </is>
      </c>
      <c r="H1178" s="3" t="n">
        <v>17911.25</v>
      </c>
      <c r="I1178" s="3" t="n">
        <v>17947.25</v>
      </c>
      <c r="J1178" s="3">
        <f>IF(G1178="Long",I1178-H1178,IF(G1178="Short",H1178-I1178,0))</f>
        <v/>
      </c>
      <c r="K1178" s="4" t="n">
        <v>8.33</v>
      </c>
      <c r="L1178" s="2" t="inlineStr">
        <is>
          <t>Win</t>
        </is>
      </c>
      <c r="M1178" s="3">
        <f>M1177+J1178</f>
        <v/>
      </c>
    </row>
    <row r="1179">
      <c r="A1179" s="2" t="inlineStr">
        <is>
          <t>2024-02-12</t>
        </is>
      </c>
      <c r="B1179" s="2" t="inlineStr">
        <is>
          <t>Monday</t>
        </is>
      </c>
      <c r="C1179" s="2" t="inlineStr">
        <is>
          <t>MNQH4</t>
        </is>
      </c>
      <c r="D1179" s="3" t="n">
        <v>18051</v>
      </c>
      <c r="E1179" s="3" t="n">
        <v>18007.25</v>
      </c>
      <c r="F1179" s="3">
        <f>D1179-E1179</f>
        <v/>
      </c>
      <c r="G1179" s="2" t="inlineStr">
        <is>
          <t>Long</t>
        </is>
      </c>
      <c r="H1179" s="3" t="n">
        <v>18051</v>
      </c>
      <c r="I1179" s="3" t="n">
        <v>18094.75</v>
      </c>
      <c r="J1179" s="3">
        <f>IF(G1179="Long",I1179-H1179,IF(G1179="Short",H1179-I1179,0))</f>
        <v/>
      </c>
      <c r="K1179" s="4" t="n">
        <v>0</v>
      </c>
      <c r="L1179" s="2" t="inlineStr">
        <is>
          <t>Win</t>
        </is>
      </c>
      <c r="M1179" s="3">
        <f>M1178+J1179</f>
        <v/>
      </c>
    </row>
    <row r="1180">
      <c r="A1180" s="5" t="inlineStr">
        <is>
          <t>2024-02-12</t>
        </is>
      </c>
      <c r="B1180" s="5" t="inlineStr">
        <is>
          <t>Monday</t>
        </is>
      </c>
      <c r="C1180" s="5" t="inlineStr">
        <is>
          <t>MNQH4</t>
        </is>
      </c>
      <c r="D1180" s="6" t="n">
        <v>18051</v>
      </c>
      <c r="E1180" s="6" t="n">
        <v>18007.25</v>
      </c>
      <c r="F1180" s="6">
        <f>D1180-E1180</f>
        <v/>
      </c>
      <c r="G1180" s="5" t="inlineStr">
        <is>
          <t>Long</t>
        </is>
      </c>
      <c r="H1180" s="6" t="n">
        <v>18051</v>
      </c>
      <c r="I1180" s="6" t="n">
        <v>18007.25</v>
      </c>
      <c r="J1180" s="6">
        <f>IF(G1180="Long",I1180-H1180,IF(G1180="Short",H1180-I1180,0))</f>
        <v/>
      </c>
      <c r="K1180" s="7" t="n">
        <v>100</v>
      </c>
      <c r="L1180" s="5" t="inlineStr">
        <is>
          <t>Loss</t>
        </is>
      </c>
      <c r="M1180" s="6">
        <f>M1179+J1180</f>
        <v/>
      </c>
    </row>
    <row r="1181">
      <c r="A1181" s="2" t="inlineStr">
        <is>
          <t>2024-02-13</t>
        </is>
      </c>
      <c r="B1181" s="2" t="inlineStr">
        <is>
          <t>Tuesday</t>
        </is>
      </c>
      <c r="C1181" s="2" t="inlineStr">
        <is>
          <t>MNQH4</t>
        </is>
      </c>
      <c r="D1181" s="3" t="n">
        <v>17665.5</v>
      </c>
      <c r="E1181" s="3" t="n">
        <v>17586.5</v>
      </c>
      <c r="F1181" s="3">
        <f>D1181-E1181</f>
        <v/>
      </c>
      <c r="G1181" s="2" t="inlineStr">
        <is>
          <t>Long</t>
        </is>
      </c>
      <c r="H1181" s="3" t="n">
        <v>17665.5</v>
      </c>
      <c r="I1181" s="3" t="n">
        <v>17744.5</v>
      </c>
      <c r="J1181" s="3">
        <f>IF(G1181="Long",I1181-H1181,IF(G1181="Short",H1181-I1181,0))</f>
        <v/>
      </c>
      <c r="K1181" s="4" t="n">
        <v>43.67</v>
      </c>
      <c r="L1181" s="2" t="inlineStr">
        <is>
          <t>Win</t>
        </is>
      </c>
      <c r="M1181" s="3">
        <f>M1180+J1181</f>
        <v/>
      </c>
    </row>
    <row r="1182">
      <c r="A1182" s="5" t="inlineStr">
        <is>
          <t>2024-02-13</t>
        </is>
      </c>
      <c r="B1182" s="5" t="inlineStr">
        <is>
          <t>Tuesday</t>
        </is>
      </c>
      <c r="C1182" s="5" t="inlineStr">
        <is>
          <t>MNQH4</t>
        </is>
      </c>
      <c r="D1182" s="6" t="n">
        <v>17665.5</v>
      </c>
      <c r="E1182" s="6" t="n">
        <v>17586.5</v>
      </c>
      <c r="F1182" s="6">
        <f>D1182-E1182</f>
        <v/>
      </c>
      <c r="G1182" s="5" t="inlineStr">
        <is>
          <t>Long</t>
        </is>
      </c>
      <c r="H1182" s="6" t="n">
        <v>17665.5</v>
      </c>
      <c r="I1182" s="6" t="n">
        <v>17586.5</v>
      </c>
      <c r="J1182" s="6">
        <f>IF(G1182="Long",I1182-H1182,IF(G1182="Short",H1182-I1182,0))</f>
        <v/>
      </c>
      <c r="K1182" s="7" t="n">
        <v>100</v>
      </c>
      <c r="L1182" s="5" t="inlineStr">
        <is>
          <t>Loss</t>
        </is>
      </c>
      <c r="M1182" s="6">
        <f>M1181+J1182</f>
        <v/>
      </c>
    </row>
    <row r="1183">
      <c r="A1183" s="5" t="inlineStr">
        <is>
          <t>2024-02-14</t>
        </is>
      </c>
      <c r="B1183" s="5" t="inlineStr">
        <is>
          <t>Wednesday</t>
        </is>
      </c>
      <c r="C1183" s="5" t="inlineStr">
        <is>
          <t>MNQH4</t>
        </is>
      </c>
      <c r="D1183" s="6" t="n">
        <v>17818.75</v>
      </c>
      <c r="E1183" s="6" t="n">
        <v>17743</v>
      </c>
      <c r="F1183" s="6">
        <f>D1183-E1183</f>
        <v/>
      </c>
      <c r="G1183" s="5" t="inlineStr">
        <is>
          <t>Long</t>
        </is>
      </c>
      <c r="H1183" s="6" t="n">
        <v>17818.75</v>
      </c>
      <c r="I1183" s="6" t="n">
        <v>17743</v>
      </c>
      <c r="J1183" s="6">
        <f>IF(G1183="Long",I1183-H1183,IF(G1183="Short",H1183-I1183,0))</f>
        <v/>
      </c>
      <c r="K1183" s="7" t="n">
        <v>100</v>
      </c>
      <c r="L1183" s="5" t="inlineStr">
        <is>
          <t>Loss</t>
        </is>
      </c>
      <c r="M1183" s="6">
        <f>M1182+J1183</f>
        <v/>
      </c>
    </row>
    <row r="1184">
      <c r="A1184" s="5" t="inlineStr">
        <is>
          <t>2024-02-14</t>
        </is>
      </c>
      <c r="B1184" s="5" t="inlineStr">
        <is>
          <t>Wednesday</t>
        </is>
      </c>
      <c r="C1184" s="5" t="inlineStr">
        <is>
          <t>MNQH4</t>
        </is>
      </c>
      <c r="D1184" s="6" t="n">
        <v>17818.75</v>
      </c>
      <c r="E1184" s="6" t="n">
        <v>17743</v>
      </c>
      <c r="F1184" s="6">
        <f>D1184-E1184</f>
        <v/>
      </c>
      <c r="G1184" s="5" t="inlineStr">
        <is>
          <t>Short</t>
        </is>
      </c>
      <c r="H1184" s="6" t="n">
        <v>17743</v>
      </c>
      <c r="I1184" s="6" t="n">
        <v>17818.75</v>
      </c>
      <c r="J1184" s="6">
        <f>IF(G1184="Long",I1184-H1184,IF(G1184="Short",H1184-I1184,0))</f>
        <v/>
      </c>
      <c r="K1184" s="7" t="n">
        <v>100</v>
      </c>
      <c r="L1184" s="5" t="inlineStr">
        <is>
          <t>Loss</t>
        </is>
      </c>
      <c r="M1184" s="6">
        <f>M1183+J1184</f>
        <v/>
      </c>
    </row>
    <row r="1185">
      <c r="A1185" s="5" t="inlineStr">
        <is>
          <t>2024-02-15</t>
        </is>
      </c>
      <c r="B1185" s="5" t="inlineStr">
        <is>
          <t>Thursday</t>
        </is>
      </c>
      <c r="C1185" s="5" t="inlineStr">
        <is>
          <t>MNQH4</t>
        </is>
      </c>
      <c r="D1185" s="6" t="n">
        <v>17903</v>
      </c>
      <c r="E1185" s="6" t="n">
        <v>17838.5</v>
      </c>
      <c r="F1185" s="6">
        <f>D1185-E1185</f>
        <v/>
      </c>
      <c r="G1185" s="5" t="inlineStr">
        <is>
          <t>Short</t>
        </is>
      </c>
      <c r="H1185" s="6" t="n">
        <v>17838.5</v>
      </c>
      <c r="I1185" s="6" t="n">
        <v>17903</v>
      </c>
      <c r="J1185" s="6">
        <f>IF(G1185="Long",I1185-H1185,IF(G1185="Short",H1185-I1185,0))</f>
        <v/>
      </c>
      <c r="K1185" s="7" t="n">
        <v>100</v>
      </c>
      <c r="L1185" s="5" t="inlineStr">
        <is>
          <t>Loss</t>
        </is>
      </c>
      <c r="M1185" s="6">
        <f>M1184+J1185</f>
        <v/>
      </c>
    </row>
    <row r="1186">
      <c r="A1186" s="8" t="inlineStr">
        <is>
          <t>2024-02-15</t>
        </is>
      </c>
      <c r="B1186" s="8" t="inlineStr">
        <is>
          <t>Thursday</t>
        </is>
      </c>
      <c r="C1186" s="8" t="inlineStr">
        <is>
          <t>MNQH4</t>
        </is>
      </c>
      <c r="D1186" s="9" t="n">
        <v>17903</v>
      </c>
      <c r="E1186" s="9" t="n">
        <v>17838.5</v>
      </c>
      <c r="F1186" s="9">
        <f>D1186-E1186</f>
        <v/>
      </c>
      <c r="G1186" s="8" t="inlineStr">
        <is>
          <t>Long</t>
        </is>
      </c>
      <c r="H1186" s="9" t="n">
        <v>17903</v>
      </c>
      <c r="I1186" s="9" t="n">
        <v>17914</v>
      </c>
      <c r="J1186" s="9">
        <f>IF(G1186="Long",I1186-H1186,IF(G1186="Short",H1186-I1186,0))</f>
        <v/>
      </c>
      <c r="K1186" s="10" t="n">
        <v>46.12</v>
      </c>
      <c r="L1186" s="8" t="inlineStr">
        <is>
          <t>EOD-Close</t>
        </is>
      </c>
      <c r="M1186" s="9">
        <f>M1185+J1186</f>
        <v/>
      </c>
    </row>
    <row r="1187">
      <c r="A1187" s="2" t="inlineStr">
        <is>
          <t>2024-02-16</t>
        </is>
      </c>
      <c r="B1187" s="2" t="inlineStr">
        <is>
          <t>Friday</t>
        </is>
      </c>
      <c r="C1187" s="2" t="inlineStr">
        <is>
          <t>MNQH4</t>
        </is>
      </c>
      <c r="D1187" s="3" t="n">
        <v>17930.5</v>
      </c>
      <c r="E1187" s="3" t="n">
        <v>17877.5</v>
      </c>
      <c r="F1187" s="3">
        <f>D1187-E1187</f>
        <v/>
      </c>
      <c r="G1187" s="2" t="inlineStr">
        <is>
          <t>Short</t>
        </is>
      </c>
      <c r="H1187" s="3" t="n">
        <v>17877.5</v>
      </c>
      <c r="I1187" s="3" t="n">
        <v>17824.5</v>
      </c>
      <c r="J1187" s="3">
        <f>IF(G1187="Long",I1187-H1187,IF(G1187="Short",H1187-I1187,0))</f>
        <v/>
      </c>
      <c r="K1187" s="4" t="n">
        <v>0</v>
      </c>
      <c r="L1187" s="2" t="inlineStr">
        <is>
          <t>Win</t>
        </is>
      </c>
      <c r="M1187" s="3">
        <f>M1186+J1187</f>
        <v/>
      </c>
    </row>
    <row r="1188">
      <c r="A1188" s="2" t="inlineStr">
        <is>
          <t>2024-02-16</t>
        </is>
      </c>
      <c r="B1188" s="2" t="inlineStr">
        <is>
          <t>Friday</t>
        </is>
      </c>
      <c r="C1188" s="2" t="inlineStr">
        <is>
          <t>MNQH4</t>
        </is>
      </c>
      <c r="D1188" s="3" t="n">
        <v>17930.5</v>
      </c>
      <c r="E1188" s="3" t="n">
        <v>17877.5</v>
      </c>
      <c r="F1188" s="3">
        <f>D1188-E1188</f>
        <v/>
      </c>
      <c r="G1188" s="2" t="inlineStr">
        <is>
          <t>Short</t>
        </is>
      </c>
      <c r="H1188" s="3" t="n">
        <v>17877.5</v>
      </c>
      <c r="I1188" s="3" t="n">
        <v>17824.5</v>
      </c>
      <c r="J1188" s="3">
        <f>IF(G1188="Long",I1188-H1188,IF(G1188="Short",H1188-I1188,0))</f>
        <v/>
      </c>
      <c r="K1188" s="4" t="n">
        <v>27.36</v>
      </c>
      <c r="L1188" s="2" t="inlineStr">
        <is>
          <t>Win</t>
        </is>
      </c>
      <c r="M1188" s="3">
        <f>M1187+J1188</f>
        <v/>
      </c>
    </row>
    <row r="1189">
      <c r="A1189" s="8" t="inlineStr">
        <is>
          <t>2024-02-19</t>
        </is>
      </c>
      <c r="B1189" s="8" t="inlineStr">
        <is>
          <t>Monday</t>
        </is>
      </c>
      <c r="C1189" s="8" t="inlineStr">
        <is>
          <t>MNQH4</t>
        </is>
      </c>
      <c r="D1189" s="9" t="n">
        <v>17807.25</v>
      </c>
      <c r="E1189" s="9" t="n">
        <v>17784.75</v>
      </c>
      <c r="F1189" s="9">
        <f>D1189-E1189</f>
        <v/>
      </c>
      <c r="G1189" s="8" t="inlineStr">
        <is>
          <t>Short</t>
        </is>
      </c>
      <c r="H1189" s="9" t="n">
        <v>17784.75</v>
      </c>
      <c r="I1189" s="9" t="n">
        <v>17788.5</v>
      </c>
      <c r="J1189" s="9">
        <f>IF(G1189="Long",I1189-H1189,IF(G1189="Short",H1189-I1189,0))</f>
        <v/>
      </c>
      <c r="K1189" s="10" t="n">
        <v>53.33</v>
      </c>
      <c r="L1189" s="8" t="inlineStr">
        <is>
          <t>EOD-Close</t>
        </is>
      </c>
      <c r="M1189" s="9">
        <f>M1188+J1189</f>
        <v/>
      </c>
    </row>
    <row r="1190">
      <c r="A1190" s="8" t="inlineStr">
        <is>
          <t>2024-02-20</t>
        </is>
      </c>
      <c r="B1190" s="8" t="inlineStr">
        <is>
          <t>Tuesday</t>
        </is>
      </c>
      <c r="C1190" s="8" t="inlineStr">
        <is>
          <t>MNQH4</t>
        </is>
      </c>
      <c r="D1190" s="9" t="n">
        <v>17724</v>
      </c>
      <c r="E1190" s="9" t="n">
        <v>17559.5</v>
      </c>
      <c r="F1190" s="9">
        <f>D1190-E1190</f>
        <v/>
      </c>
      <c r="G1190" s="8" t="inlineStr">
        <is>
          <t>Short</t>
        </is>
      </c>
      <c r="H1190" s="9" t="n">
        <v>17559.5</v>
      </c>
      <c r="I1190" s="9" t="n">
        <v>17612.25</v>
      </c>
      <c r="J1190" s="9">
        <f>IF(G1190="Long",I1190-H1190,IF(G1190="Short",H1190-I1190,0))</f>
        <v/>
      </c>
      <c r="K1190" s="10" t="n">
        <v>33.28</v>
      </c>
      <c r="L1190" s="8" t="inlineStr">
        <is>
          <t>EOD-Close</t>
        </is>
      </c>
      <c r="M1190" s="9">
        <f>M1189+J1190</f>
        <v/>
      </c>
    </row>
    <row r="1191">
      <c r="A1191" s="5" t="inlineStr">
        <is>
          <t>2024-02-21</t>
        </is>
      </c>
      <c r="B1191" s="5" t="inlineStr">
        <is>
          <t>Wednesday</t>
        </is>
      </c>
      <c r="C1191" s="5" t="inlineStr">
        <is>
          <t>MNQH4</t>
        </is>
      </c>
      <c r="D1191" s="6" t="n">
        <v>17511.5</v>
      </c>
      <c r="E1191" s="6" t="n">
        <v>17455.5</v>
      </c>
      <c r="F1191" s="6">
        <f>D1191-E1191</f>
        <v/>
      </c>
      <c r="G1191" s="5" t="inlineStr">
        <is>
          <t>Long</t>
        </is>
      </c>
      <c r="H1191" s="6" t="n">
        <v>17511.5</v>
      </c>
      <c r="I1191" s="6" t="n">
        <v>17455.5</v>
      </c>
      <c r="J1191" s="6">
        <f>IF(G1191="Long",I1191-H1191,IF(G1191="Short",H1191-I1191,0))</f>
        <v/>
      </c>
      <c r="K1191" s="7" t="n">
        <v>100</v>
      </c>
      <c r="L1191" s="5" t="inlineStr">
        <is>
          <t>Loss</t>
        </is>
      </c>
      <c r="M1191" s="6">
        <f>M1190+J1191</f>
        <v/>
      </c>
    </row>
    <row r="1192">
      <c r="A1192" s="5" t="inlineStr">
        <is>
          <t>2024-02-21</t>
        </is>
      </c>
      <c r="B1192" s="5" t="inlineStr">
        <is>
          <t>Wednesday</t>
        </is>
      </c>
      <c r="C1192" s="5" t="inlineStr">
        <is>
          <t>MNQH4</t>
        </is>
      </c>
      <c r="D1192" s="6" t="n">
        <v>17511.5</v>
      </c>
      <c r="E1192" s="6" t="n">
        <v>17455.5</v>
      </c>
      <c r="F1192" s="6">
        <f>D1192-E1192</f>
        <v/>
      </c>
      <c r="G1192" s="5" t="inlineStr">
        <is>
          <t>Long</t>
        </is>
      </c>
      <c r="H1192" s="6" t="n">
        <v>17511.5</v>
      </c>
      <c r="I1192" s="6" t="n">
        <v>17455.5</v>
      </c>
      <c r="J1192" s="6">
        <f>IF(G1192="Long",I1192-H1192,IF(G1192="Short",H1192-I1192,0))</f>
        <v/>
      </c>
      <c r="K1192" s="7" t="n">
        <v>100</v>
      </c>
      <c r="L1192" s="5" t="inlineStr">
        <is>
          <t>Loss</t>
        </is>
      </c>
      <c r="M1192" s="6">
        <f>M1191+J1192</f>
        <v/>
      </c>
    </row>
    <row r="1193">
      <c r="A1193" s="2" t="inlineStr">
        <is>
          <t>2024-02-22</t>
        </is>
      </c>
      <c r="B1193" s="2" t="inlineStr">
        <is>
          <t>Thursday</t>
        </is>
      </c>
      <c r="C1193" s="2" t="inlineStr">
        <is>
          <t>MNQH4</t>
        </is>
      </c>
      <c r="D1193" s="3" t="n">
        <v>17919.5</v>
      </c>
      <c r="E1193" s="3" t="n">
        <v>17864</v>
      </c>
      <c r="F1193" s="3">
        <f>D1193-E1193</f>
        <v/>
      </c>
      <c r="G1193" s="2" t="inlineStr">
        <is>
          <t>Long</t>
        </is>
      </c>
      <c r="H1193" s="3" t="n">
        <v>17919.5</v>
      </c>
      <c r="I1193" s="3" t="n">
        <v>17975</v>
      </c>
      <c r="J1193" s="3">
        <f>IF(G1193="Long",I1193-H1193,IF(G1193="Short",H1193-I1193,0))</f>
        <v/>
      </c>
      <c r="K1193" s="4" t="n">
        <v>50.9</v>
      </c>
      <c r="L1193" s="2" t="inlineStr">
        <is>
          <t>Win</t>
        </is>
      </c>
      <c r="M1193" s="3">
        <f>M1192+J1193</f>
        <v/>
      </c>
    </row>
    <row r="1194">
      <c r="A1194" s="2" t="inlineStr">
        <is>
          <t>2024-02-22</t>
        </is>
      </c>
      <c r="B1194" s="2" t="inlineStr">
        <is>
          <t>Thursday</t>
        </is>
      </c>
      <c r="C1194" s="2" t="inlineStr">
        <is>
          <t>MNQH4</t>
        </is>
      </c>
      <c r="D1194" s="3" t="n">
        <v>17919.5</v>
      </c>
      <c r="E1194" s="3" t="n">
        <v>17864</v>
      </c>
      <c r="F1194" s="3">
        <f>D1194-E1194</f>
        <v/>
      </c>
      <c r="G1194" s="2" t="inlineStr">
        <is>
          <t>Long</t>
        </is>
      </c>
      <c r="H1194" s="3" t="n">
        <v>17919.5</v>
      </c>
      <c r="I1194" s="3" t="n">
        <v>17975</v>
      </c>
      <c r="J1194" s="3">
        <f>IF(G1194="Long",I1194-H1194,IF(G1194="Short",H1194-I1194,0))</f>
        <v/>
      </c>
      <c r="K1194" s="4" t="n">
        <v>41.89</v>
      </c>
      <c r="L1194" s="2" t="inlineStr">
        <is>
          <t>Win</t>
        </is>
      </c>
      <c r="M1194" s="3">
        <f>M1193+J1194</f>
        <v/>
      </c>
    </row>
    <row r="1195">
      <c r="A1195" s="2" t="inlineStr">
        <is>
          <t>2024-02-23</t>
        </is>
      </c>
      <c r="B1195" s="2" t="inlineStr">
        <is>
          <t>Friday</t>
        </is>
      </c>
      <c r="C1195" s="2" t="inlineStr">
        <is>
          <t>MNQH4</t>
        </is>
      </c>
      <c r="D1195" s="3" t="n">
        <v>18145</v>
      </c>
      <c r="E1195" s="3" t="n">
        <v>18097</v>
      </c>
      <c r="F1195" s="3">
        <f>D1195-E1195</f>
        <v/>
      </c>
      <c r="G1195" s="2" t="inlineStr">
        <is>
          <t>Short</t>
        </is>
      </c>
      <c r="H1195" s="3" t="n">
        <v>18097</v>
      </c>
      <c r="I1195" s="3" t="n">
        <v>18049</v>
      </c>
      <c r="J1195" s="3">
        <f>IF(G1195="Long",I1195-H1195,IF(G1195="Short",H1195-I1195,0))</f>
        <v/>
      </c>
      <c r="K1195" s="4" t="n">
        <v>0</v>
      </c>
      <c r="L1195" s="2" t="inlineStr">
        <is>
          <t>Win</t>
        </is>
      </c>
      <c r="M1195" s="3">
        <f>M1194+J1195</f>
        <v/>
      </c>
    </row>
    <row r="1196">
      <c r="A1196" s="5" t="inlineStr">
        <is>
          <t>2024-02-26</t>
        </is>
      </c>
      <c r="B1196" s="5" t="inlineStr">
        <is>
          <t>Monday</t>
        </is>
      </c>
      <c r="C1196" s="5" t="inlineStr">
        <is>
          <t>MNQH4</t>
        </is>
      </c>
      <c r="D1196" s="6" t="n">
        <v>18050.75</v>
      </c>
      <c r="E1196" s="6" t="n">
        <v>17990.75</v>
      </c>
      <c r="F1196" s="6">
        <f>D1196-E1196</f>
        <v/>
      </c>
      <c r="G1196" s="5" t="inlineStr">
        <is>
          <t>Short</t>
        </is>
      </c>
      <c r="H1196" s="6" t="n">
        <v>17990.75</v>
      </c>
      <c r="I1196" s="6" t="n">
        <v>18050.75</v>
      </c>
      <c r="J1196" s="6">
        <f>IF(G1196="Long",I1196-H1196,IF(G1196="Short",H1196-I1196,0))</f>
        <v/>
      </c>
      <c r="K1196" s="7" t="n">
        <v>100</v>
      </c>
      <c r="L1196" s="5" t="inlineStr">
        <is>
          <t>Loss</t>
        </is>
      </c>
      <c r="M1196" s="6">
        <f>M1195+J1196</f>
        <v/>
      </c>
    </row>
    <row r="1197">
      <c r="A1197" s="5" t="inlineStr">
        <is>
          <t>2024-02-26</t>
        </is>
      </c>
      <c r="B1197" s="5" t="inlineStr">
        <is>
          <t>Monday</t>
        </is>
      </c>
      <c r="C1197" s="5" t="inlineStr">
        <is>
          <t>MNQH4</t>
        </is>
      </c>
      <c r="D1197" s="6" t="n">
        <v>18050.75</v>
      </c>
      <c r="E1197" s="6" t="n">
        <v>17990.75</v>
      </c>
      <c r="F1197" s="6">
        <f>D1197-E1197</f>
        <v/>
      </c>
      <c r="G1197" s="5" t="inlineStr">
        <is>
          <t>Long</t>
        </is>
      </c>
      <c r="H1197" s="6" t="n">
        <v>18050.75</v>
      </c>
      <c r="I1197" s="6" t="n">
        <v>17990.75</v>
      </c>
      <c r="J1197" s="6">
        <f>IF(G1197="Long",I1197-H1197,IF(G1197="Short",H1197-I1197,0))</f>
        <v/>
      </c>
      <c r="K1197" s="7" t="n">
        <v>100</v>
      </c>
      <c r="L1197" s="5" t="inlineStr">
        <is>
          <t>Loss</t>
        </is>
      </c>
      <c r="M1197" s="6">
        <f>M1196+J1197</f>
        <v/>
      </c>
    </row>
    <row r="1198">
      <c r="A1198" s="5" t="inlineStr">
        <is>
          <t>2024-02-27</t>
        </is>
      </c>
      <c r="B1198" s="5" t="inlineStr">
        <is>
          <t>Tuesday</t>
        </is>
      </c>
      <c r="C1198" s="5" t="inlineStr">
        <is>
          <t>MNQH4</t>
        </is>
      </c>
      <c r="D1198" s="6" t="n">
        <v>18026.75</v>
      </c>
      <c r="E1198" s="6" t="n">
        <v>17938</v>
      </c>
      <c r="F1198" s="6">
        <f>D1198-E1198</f>
        <v/>
      </c>
      <c r="G1198" s="5" t="inlineStr">
        <is>
          <t>Long</t>
        </is>
      </c>
      <c r="H1198" s="6" t="n">
        <v>18026.75</v>
      </c>
      <c r="I1198" s="6" t="n">
        <v>17938</v>
      </c>
      <c r="J1198" s="6">
        <f>IF(G1198="Long",I1198-H1198,IF(G1198="Short",H1198-I1198,0))</f>
        <v/>
      </c>
      <c r="K1198" s="7" t="n">
        <v>100</v>
      </c>
      <c r="L1198" s="5" t="inlineStr">
        <is>
          <t>Loss</t>
        </is>
      </c>
      <c r="M1198" s="6">
        <f>M1197+J1198</f>
        <v/>
      </c>
    </row>
    <row r="1199">
      <c r="A1199" s="5" t="inlineStr">
        <is>
          <t>2024-02-27</t>
        </is>
      </c>
      <c r="B1199" s="5" t="inlineStr">
        <is>
          <t>Tuesday</t>
        </is>
      </c>
      <c r="C1199" s="5" t="inlineStr">
        <is>
          <t>MNQH4</t>
        </is>
      </c>
      <c r="D1199" s="6" t="n">
        <v>18026.75</v>
      </c>
      <c r="E1199" s="6" t="n">
        <v>17938</v>
      </c>
      <c r="F1199" s="6">
        <f>D1199-E1199</f>
        <v/>
      </c>
      <c r="G1199" s="5" t="inlineStr">
        <is>
          <t>Short</t>
        </is>
      </c>
      <c r="H1199" s="6" t="n">
        <v>17938</v>
      </c>
      <c r="I1199" s="6" t="n">
        <v>18026.75</v>
      </c>
      <c r="J1199" s="6">
        <f>IF(G1199="Long",I1199-H1199,IF(G1199="Short",H1199-I1199,0))</f>
        <v/>
      </c>
      <c r="K1199" s="7" t="n">
        <v>100</v>
      </c>
      <c r="L1199" s="5" t="inlineStr">
        <is>
          <t>Loss</t>
        </is>
      </c>
      <c r="M1199" s="6">
        <f>M1198+J1199</f>
        <v/>
      </c>
    </row>
    <row r="1200">
      <c r="A1200" s="5" t="inlineStr">
        <is>
          <t>2024-02-28</t>
        </is>
      </c>
      <c r="B1200" s="5" t="inlineStr">
        <is>
          <t>Wednesday</t>
        </is>
      </c>
      <c r="C1200" s="5" t="inlineStr">
        <is>
          <t>MNQH4</t>
        </is>
      </c>
      <c r="D1200" s="6" t="n">
        <v>17946.5</v>
      </c>
      <c r="E1200" s="6" t="n">
        <v>17901.5</v>
      </c>
      <c r="F1200" s="6">
        <f>D1200-E1200</f>
        <v/>
      </c>
      <c r="G1200" s="5" t="inlineStr">
        <is>
          <t>Short</t>
        </is>
      </c>
      <c r="H1200" s="6" t="n">
        <v>17901.5</v>
      </c>
      <c r="I1200" s="6" t="n">
        <v>17946.5</v>
      </c>
      <c r="J1200" s="6">
        <f>IF(G1200="Long",I1200-H1200,IF(G1200="Short",H1200-I1200,0))</f>
        <v/>
      </c>
      <c r="K1200" s="7" t="n">
        <v>100</v>
      </c>
      <c r="L1200" s="5" t="inlineStr">
        <is>
          <t>Loss</t>
        </is>
      </c>
      <c r="M1200" s="6">
        <f>M1199+J1200</f>
        <v/>
      </c>
    </row>
    <row r="1201">
      <c r="A1201" s="5" t="inlineStr">
        <is>
          <t>2024-02-28</t>
        </is>
      </c>
      <c r="B1201" s="5" t="inlineStr">
        <is>
          <t>Wednesday</t>
        </is>
      </c>
      <c r="C1201" s="5" t="inlineStr">
        <is>
          <t>MNQH4</t>
        </is>
      </c>
      <c r="D1201" s="6" t="n">
        <v>17946.5</v>
      </c>
      <c r="E1201" s="6" t="n">
        <v>17901.5</v>
      </c>
      <c r="F1201" s="6">
        <f>D1201-E1201</f>
        <v/>
      </c>
      <c r="G1201" s="5" t="inlineStr">
        <is>
          <t>Long</t>
        </is>
      </c>
      <c r="H1201" s="6" t="n">
        <v>17946.5</v>
      </c>
      <c r="I1201" s="6" t="n">
        <v>17901.5</v>
      </c>
      <c r="J1201" s="6">
        <f>IF(G1201="Long",I1201-H1201,IF(G1201="Short",H1201-I1201,0))</f>
        <v/>
      </c>
      <c r="K1201" s="7" t="n">
        <v>100</v>
      </c>
      <c r="L1201" s="5" t="inlineStr">
        <is>
          <t>Loss</t>
        </is>
      </c>
      <c r="M1201" s="6">
        <f>M1200+J1201</f>
        <v/>
      </c>
    </row>
    <row r="1202">
      <c r="A1202" s="2" t="inlineStr">
        <is>
          <t>2024-02-29</t>
        </is>
      </c>
      <c r="B1202" s="2" t="inlineStr">
        <is>
          <t>Thursday</t>
        </is>
      </c>
      <c r="C1202" s="2" t="inlineStr">
        <is>
          <t>MNQH4</t>
        </is>
      </c>
      <c r="D1202" s="3" t="n">
        <v>18072.25</v>
      </c>
      <c r="E1202" s="3" t="n">
        <v>18020.75</v>
      </c>
      <c r="F1202" s="3">
        <f>D1202-E1202</f>
        <v/>
      </c>
      <c r="G1202" s="2" t="inlineStr">
        <is>
          <t>Short</t>
        </is>
      </c>
      <c r="H1202" s="3" t="n">
        <v>18020.75</v>
      </c>
      <c r="I1202" s="3" t="n">
        <v>17969.25</v>
      </c>
      <c r="J1202" s="3">
        <f>IF(G1202="Long",I1202-H1202,IF(G1202="Short",H1202-I1202,0))</f>
        <v/>
      </c>
      <c r="K1202" s="4" t="n">
        <v>33.5</v>
      </c>
      <c r="L1202" s="2" t="inlineStr">
        <is>
          <t>Win</t>
        </is>
      </c>
      <c r="M1202" s="3">
        <f>M1201+J1202</f>
        <v/>
      </c>
    </row>
    <row r="1203">
      <c r="A1203" s="5" t="inlineStr">
        <is>
          <t>2024-02-29</t>
        </is>
      </c>
      <c r="B1203" s="5" t="inlineStr">
        <is>
          <t>Thursday</t>
        </is>
      </c>
      <c r="C1203" s="5" t="inlineStr">
        <is>
          <t>MNQH4</t>
        </is>
      </c>
      <c r="D1203" s="6" t="n">
        <v>18072.25</v>
      </c>
      <c r="E1203" s="6" t="n">
        <v>18020.75</v>
      </c>
      <c r="F1203" s="6">
        <f>D1203-E1203</f>
        <v/>
      </c>
      <c r="G1203" s="5" t="inlineStr">
        <is>
          <t>Short</t>
        </is>
      </c>
      <c r="H1203" s="6" t="n">
        <v>18020.75</v>
      </c>
      <c r="I1203" s="6" t="n">
        <v>18072.25</v>
      </c>
      <c r="J1203" s="6">
        <f>IF(G1203="Long",I1203-H1203,IF(G1203="Short",H1203-I1203,0))</f>
        <v/>
      </c>
      <c r="K1203" s="7" t="n">
        <v>100</v>
      </c>
      <c r="L1203" s="5" t="inlineStr">
        <is>
          <t>Loss</t>
        </is>
      </c>
      <c r="M1203" s="6">
        <f>M1202+J1203</f>
        <v/>
      </c>
    </row>
    <row r="1204">
      <c r="A1204" s="2" t="inlineStr">
        <is>
          <t>2024-03-01</t>
        </is>
      </c>
      <c r="B1204" s="2" t="inlineStr">
        <is>
          <t>Friday</t>
        </is>
      </c>
      <c r="C1204" s="2" t="inlineStr">
        <is>
          <t>MNQH4</t>
        </is>
      </c>
      <c r="D1204" s="3" t="n">
        <v>18144.5</v>
      </c>
      <c r="E1204" s="3" t="n">
        <v>18093.5</v>
      </c>
      <c r="F1204" s="3">
        <f>D1204-E1204</f>
        <v/>
      </c>
      <c r="G1204" s="2" t="inlineStr">
        <is>
          <t>Long</t>
        </is>
      </c>
      <c r="H1204" s="3" t="n">
        <v>18144.5</v>
      </c>
      <c r="I1204" s="3" t="n">
        <v>18195.5</v>
      </c>
      <c r="J1204" s="3">
        <f>IF(G1204="Long",I1204-H1204,IF(G1204="Short",H1204-I1204,0))</f>
        <v/>
      </c>
      <c r="K1204" s="4" t="n">
        <v>0</v>
      </c>
      <c r="L1204" s="2" t="inlineStr">
        <is>
          <t>Win</t>
        </is>
      </c>
      <c r="M1204" s="3">
        <f>M1203+J1204</f>
        <v/>
      </c>
    </row>
    <row r="1205">
      <c r="A1205" s="2" t="inlineStr">
        <is>
          <t>2024-03-01</t>
        </is>
      </c>
      <c r="B1205" s="2" t="inlineStr">
        <is>
          <t>Friday</t>
        </is>
      </c>
      <c r="C1205" s="2" t="inlineStr">
        <is>
          <t>MNQH4</t>
        </is>
      </c>
      <c r="D1205" s="3" t="n">
        <v>18144.5</v>
      </c>
      <c r="E1205" s="3" t="n">
        <v>18093.5</v>
      </c>
      <c r="F1205" s="3">
        <f>D1205-E1205</f>
        <v/>
      </c>
      <c r="G1205" s="2" t="inlineStr">
        <is>
          <t>Long</t>
        </is>
      </c>
      <c r="H1205" s="3" t="n">
        <v>18144.5</v>
      </c>
      <c r="I1205" s="3" t="n">
        <v>18195.5</v>
      </c>
      <c r="J1205" s="3">
        <f>IF(G1205="Long",I1205-H1205,IF(G1205="Short",H1205-I1205,0))</f>
        <v/>
      </c>
      <c r="K1205" s="4" t="n">
        <v>0.49</v>
      </c>
      <c r="L1205" s="2" t="inlineStr">
        <is>
          <t>Win</t>
        </is>
      </c>
      <c r="M1205" s="3">
        <f>M1204+J1205</f>
        <v/>
      </c>
    </row>
    <row r="1206">
      <c r="A1206" s="5" t="inlineStr">
        <is>
          <t>2024-03-04</t>
        </is>
      </c>
      <c r="B1206" s="5" t="inlineStr">
        <is>
          <t>Monday</t>
        </is>
      </c>
      <c r="C1206" s="5" t="inlineStr">
        <is>
          <t>MNQH4</t>
        </is>
      </c>
      <c r="D1206" s="6" t="n">
        <v>18335</v>
      </c>
      <c r="E1206" s="6" t="n">
        <v>18287.75</v>
      </c>
      <c r="F1206" s="6">
        <f>D1206-E1206</f>
        <v/>
      </c>
      <c r="G1206" s="5" t="inlineStr">
        <is>
          <t>Short</t>
        </is>
      </c>
      <c r="H1206" s="6" t="n">
        <v>18287.75</v>
      </c>
      <c r="I1206" s="6" t="n">
        <v>18335</v>
      </c>
      <c r="J1206" s="6">
        <f>IF(G1206="Long",I1206-H1206,IF(G1206="Short",H1206-I1206,0))</f>
        <v/>
      </c>
      <c r="K1206" s="7" t="n">
        <v>100</v>
      </c>
      <c r="L1206" s="5" t="inlineStr">
        <is>
          <t>Loss</t>
        </is>
      </c>
      <c r="M1206" s="6">
        <f>M1205+J1206</f>
        <v/>
      </c>
    </row>
    <row r="1207">
      <c r="A1207" s="5" t="inlineStr">
        <is>
          <t>2024-03-04</t>
        </is>
      </c>
      <c r="B1207" s="5" t="inlineStr">
        <is>
          <t>Monday</t>
        </is>
      </c>
      <c r="C1207" s="5" t="inlineStr">
        <is>
          <t>MNQH4</t>
        </is>
      </c>
      <c r="D1207" s="6" t="n">
        <v>18335</v>
      </c>
      <c r="E1207" s="6" t="n">
        <v>18287.75</v>
      </c>
      <c r="F1207" s="6">
        <f>D1207-E1207</f>
        <v/>
      </c>
      <c r="G1207" s="5" t="inlineStr">
        <is>
          <t>Long</t>
        </is>
      </c>
      <c r="H1207" s="6" t="n">
        <v>18335</v>
      </c>
      <c r="I1207" s="6" t="n">
        <v>18287.75</v>
      </c>
      <c r="J1207" s="6">
        <f>IF(G1207="Long",I1207-H1207,IF(G1207="Short",H1207-I1207,0))</f>
        <v/>
      </c>
      <c r="K1207" s="7" t="n">
        <v>100</v>
      </c>
      <c r="L1207" s="5" t="inlineStr">
        <is>
          <t>Loss</t>
        </is>
      </c>
      <c r="M1207" s="6">
        <f>M1206+J1207</f>
        <v/>
      </c>
    </row>
    <row r="1208">
      <c r="A1208" s="2" t="inlineStr">
        <is>
          <t>2024-03-05</t>
        </is>
      </c>
      <c r="B1208" s="2" t="inlineStr">
        <is>
          <t>Tuesday</t>
        </is>
      </c>
      <c r="C1208" s="2" t="inlineStr">
        <is>
          <t>MNQH4</t>
        </is>
      </c>
      <c r="D1208" s="3" t="n">
        <v>18135</v>
      </c>
      <c r="E1208" s="3" t="n">
        <v>18054</v>
      </c>
      <c r="F1208" s="3">
        <f>D1208-E1208</f>
        <v/>
      </c>
      <c r="G1208" s="2" t="inlineStr">
        <is>
          <t>Short</t>
        </is>
      </c>
      <c r="H1208" s="3" t="n">
        <v>18054</v>
      </c>
      <c r="I1208" s="3" t="n">
        <v>17973</v>
      </c>
      <c r="J1208" s="3">
        <f>IF(G1208="Long",I1208-H1208,IF(G1208="Short",H1208-I1208,0))</f>
        <v/>
      </c>
      <c r="K1208" s="4" t="n">
        <v>37.04</v>
      </c>
      <c r="L1208" s="2" t="inlineStr">
        <is>
          <t>Win</t>
        </is>
      </c>
      <c r="M1208" s="3">
        <f>M1207+J1208</f>
        <v/>
      </c>
    </row>
    <row r="1209">
      <c r="A1209" s="2" t="inlineStr">
        <is>
          <t>2024-03-06</t>
        </is>
      </c>
      <c r="B1209" s="2" t="inlineStr">
        <is>
          <t>Wednesday</t>
        </is>
      </c>
      <c r="C1209" s="2" t="inlineStr">
        <is>
          <t>MNQH4</t>
        </is>
      </c>
      <c r="D1209" s="3" t="n">
        <v>18126.25</v>
      </c>
      <c r="E1209" s="3" t="n">
        <v>18069.5</v>
      </c>
      <c r="F1209" s="3">
        <f>D1209-E1209</f>
        <v/>
      </c>
      <c r="G1209" s="2" t="inlineStr">
        <is>
          <t>Short</t>
        </is>
      </c>
      <c r="H1209" s="3" t="n">
        <v>18069.5</v>
      </c>
      <c r="I1209" s="3" t="n">
        <v>18012.75</v>
      </c>
      <c r="J1209" s="3">
        <f>IF(G1209="Long",I1209-H1209,IF(G1209="Short",H1209-I1209,0))</f>
        <v/>
      </c>
      <c r="K1209" s="4" t="n">
        <v>0</v>
      </c>
      <c r="L1209" s="2" t="inlineStr">
        <is>
          <t>Win</t>
        </is>
      </c>
      <c r="M1209" s="3">
        <f>M1208+J1209</f>
        <v/>
      </c>
    </row>
    <row r="1210">
      <c r="A1210" s="5" t="inlineStr">
        <is>
          <t>2024-03-06</t>
        </is>
      </c>
      <c r="B1210" s="5" t="inlineStr">
        <is>
          <t>Wednesday</t>
        </is>
      </c>
      <c r="C1210" s="5" t="inlineStr">
        <is>
          <t>MNQH4</t>
        </is>
      </c>
      <c r="D1210" s="6" t="n">
        <v>18126.25</v>
      </c>
      <c r="E1210" s="6" t="n">
        <v>18069.5</v>
      </c>
      <c r="F1210" s="6">
        <f>D1210-E1210</f>
        <v/>
      </c>
      <c r="G1210" s="5" t="inlineStr">
        <is>
          <t>Short</t>
        </is>
      </c>
      <c r="H1210" s="6" t="n">
        <v>18069.5</v>
      </c>
      <c r="I1210" s="6" t="n">
        <v>18126.25</v>
      </c>
      <c r="J1210" s="6">
        <f>IF(G1210="Long",I1210-H1210,IF(G1210="Short",H1210-I1210,0))</f>
        <v/>
      </c>
      <c r="K1210" s="7" t="n">
        <v>100</v>
      </c>
      <c r="L1210" s="5" t="inlineStr">
        <is>
          <t>Loss</t>
        </is>
      </c>
      <c r="M1210" s="6">
        <f>M1209+J1210</f>
        <v/>
      </c>
    </row>
    <row r="1211">
      <c r="A1211" s="5" t="inlineStr">
        <is>
          <t>2024-03-07</t>
        </is>
      </c>
      <c r="B1211" s="5" t="inlineStr">
        <is>
          <t>Thursday</t>
        </is>
      </c>
      <c r="C1211" s="5" t="inlineStr">
        <is>
          <t>MNQH4</t>
        </is>
      </c>
      <c r="D1211" s="6" t="n">
        <v>18225.25</v>
      </c>
      <c r="E1211" s="6" t="n">
        <v>18162</v>
      </c>
      <c r="F1211" s="6">
        <f>D1211-E1211</f>
        <v/>
      </c>
      <c r="G1211" s="5" t="inlineStr">
        <is>
          <t>Short</t>
        </is>
      </c>
      <c r="H1211" s="6" t="n">
        <v>18162</v>
      </c>
      <c r="I1211" s="6" t="n">
        <v>18225.25</v>
      </c>
      <c r="J1211" s="6">
        <f>IF(G1211="Long",I1211-H1211,IF(G1211="Short",H1211-I1211,0))</f>
        <v/>
      </c>
      <c r="K1211" s="7" t="n">
        <v>100</v>
      </c>
      <c r="L1211" s="5" t="inlineStr">
        <is>
          <t>Loss</t>
        </is>
      </c>
      <c r="M1211" s="6">
        <f>M1210+J1211</f>
        <v/>
      </c>
    </row>
    <row r="1212">
      <c r="A1212" s="2" t="inlineStr">
        <is>
          <t>2024-03-07</t>
        </is>
      </c>
      <c r="B1212" s="2" t="inlineStr">
        <is>
          <t>Thursday</t>
        </is>
      </c>
      <c r="C1212" s="2" t="inlineStr">
        <is>
          <t>MNQH4</t>
        </is>
      </c>
      <c r="D1212" s="3" t="n">
        <v>18225.25</v>
      </c>
      <c r="E1212" s="3" t="n">
        <v>18162</v>
      </c>
      <c r="F1212" s="3">
        <f>D1212-E1212</f>
        <v/>
      </c>
      <c r="G1212" s="2" t="inlineStr">
        <is>
          <t>Long</t>
        </is>
      </c>
      <c r="H1212" s="3" t="n">
        <v>18225.25</v>
      </c>
      <c r="I1212" s="3" t="n">
        <v>18288.5</v>
      </c>
      <c r="J1212" s="3">
        <f>IF(G1212="Long",I1212-H1212,IF(G1212="Short",H1212-I1212,0))</f>
        <v/>
      </c>
      <c r="K1212" s="4" t="n">
        <v>10.67</v>
      </c>
      <c r="L1212" s="2" t="inlineStr">
        <is>
          <t>Win</t>
        </is>
      </c>
      <c r="M1212" s="3">
        <f>M1211+J1212</f>
        <v/>
      </c>
    </row>
    <row r="1213">
      <c r="A1213" s="2" t="inlineStr">
        <is>
          <t>2024-03-08</t>
        </is>
      </c>
      <c r="B1213" s="2" t="inlineStr">
        <is>
          <t>Friday</t>
        </is>
      </c>
      <c r="C1213" s="2" t="inlineStr">
        <is>
          <t>MNQH4</t>
        </is>
      </c>
      <c r="D1213" s="3" t="n">
        <v>18353</v>
      </c>
      <c r="E1213" s="3" t="n">
        <v>18288</v>
      </c>
      <c r="F1213" s="3">
        <f>D1213-E1213</f>
        <v/>
      </c>
      <c r="G1213" s="2" t="inlineStr">
        <is>
          <t>Long</t>
        </is>
      </c>
      <c r="H1213" s="3" t="n">
        <v>18353</v>
      </c>
      <c r="I1213" s="3" t="n">
        <v>18418</v>
      </c>
      <c r="J1213" s="3">
        <f>IF(G1213="Long",I1213-H1213,IF(G1213="Short",H1213-I1213,0))</f>
        <v/>
      </c>
      <c r="K1213" s="4" t="n">
        <v>9.23</v>
      </c>
      <c r="L1213" s="2" t="inlineStr">
        <is>
          <t>Win</t>
        </is>
      </c>
      <c r="M1213" s="3">
        <f>M1212+J1213</f>
        <v/>
      </c>
    </row>
    <row r="1214">
      <c r="A1214" s="5" t="inlineStr">
        <is>
          <t>2024-03-08</t>
        </is>
      </c>
      <c r="B1214" s="5" t="inlineStr">
        <is>
          <t>Friday</t>
        </is>
      </c>
      <c r="C1214" s="5" t="inlineStr">
        <is>
          <t>MNQH4</t>
        </is>
      </c>
      <c r="D1214" s="6" t="n">
        <v>18353</v>
      </c>
      <c r="E1214" s="6" t="n">
        <v>18288</v>
      </c>
      <c r="F1214" s="6">
        <f>D1214-E1214</f>
        <v/>
      </c>
      <c r="G1214" s="5" t="inlineStr">
        <is>
          <t>Long</t>
        </is>
      </c>
      <c r="H1214" s="6" t="n">
        <v>18353</v>
      </c>
      <c r="I1214" s="6" t="n">
        <v>18288</v>
      </c>
      <c r="J1214" s="6">
        <f>IF(G1214="Long",I1214-H1214,IF(G1214="Short",H1214-I1214,0))</f>
        <v/>
      </c>
      <c r="K1214" s="7" t="n">
        <v>100</v>
      </c>
      <c r="L1214" s="5" t="inlineStr">
        <is>
          <t>Loss</t>
        </is>
      </c>
      <c r="M1214" s="6">
        <f>M1213+J1214</f>
        <v/>
      </c>
    </row>
    <row r="1215">
      <c r="A1215" s="5" t="inlineStr">
        <is>
          <t>2024-03-11</t>
        </is>
      </c>
      <c r="B1215" s="5" t="inlineStr">
        <is>
          <t>Monday</t>
        </is>
      </c>
      <c r="C1215" s="5" t="inlineStr">
        <is>
          <t>MNQM4</t>
        </is>
      </c>
      <c r="D1215" s="6" t="n">
        <v>18247.5</v>
      </c>
      <c r="E1215" s="6" t="n">
        <v>18154.5</v>
      </c>
      <c r="F1215" s="6">
        <f>D1215-E1215</f>
        <v/>
      </c>
      <c r="G1215" s="5" t="inlineStr">
        <is>
          <t>Short</t>
        </is>
      </c>
      <c r="H1215" s="6" t="n">
        <v>18154.5</v>
      </c>
      <c r="I1215" s="6" t="n">
        <v>18247.5</v>
      </c>
      <c r="J1215" s="6">
        <f>IF(G1215="Long",I1215-H1215,IF(G1215="Short",H1215-I1215,0))</f>
        <v/>
      </c>
      <c r="K1215" s="7" t="n">
        <v>100</v>
      </c>
      <c r="L1215" s="5" t="inlineStr">
        <is>
          <t>Loss</t>
        </is>
      </c>
      <c r="M1215" s="6">
        <f>M1214+J1215</f>
        <v/>
      </c>
    </row>
    <row r="1216">
      <c r="A1216" s="8" t="inlineStr">
        <is>
          <t>2024-03-11</t>
        </is>
      </c>
      <c r="B1216" s="8" t="inlineStr">
        <is>
          <t>Monday</t>
        </is>
      </c>
      <c r="C1216" s="8" t="inlineStr">
        <is>
          <t>MNQM4</t>
        </is>
      </c>
      <c r="D1216" s="9" t="n">
        <v>18247.5</v>
      </c>
      <c r="E1216" s="9" t="n">
        <v>18154.5</v>
      </c>
      <c r="F1216" s="9">
        <f>D1216-E1216</f>
        <v/>
      </c>
      <c r="G1216" s="8" t="inlineStr">
        <is>
          <t>Long</t>
        </is>
      </c>
      <c r="H1216" s="9" t="n">
        <v>18247.5</v>
      </c>
      <c r="I1216" s="9" t="n">
        <v>18215.25</v>
      </c>
      <c r="J1216" s="9">
        <f>IF(G1216="Long",I1216-H1216,IF(G1216="Short",H1216-I1216,0))</f>
        <v/>
      </c>
      <c r="K1216" s="10" t="n">
        <v>91.40000000000001</v>
      </c>
      <c r="L1216" s="8" t="inlineStr">
        <is>
          <t>EOD-Close</t>
        </is>
      </c>
      <c r="M1216" s="9">
        <f>M1215+J1216</f>
        <v/>
      </c>
    </row>
    <row r="1217">
      <c r="A1217" s="2" t="inlineStr">
        <is>
          <t>2024-03-12</t>
        </is>
      </c>
      <c r="B1217" s="2" t="inlineStr">
        <is>
          <t>Tuesday</t>
        </is>
      </c>
      <c r="C1217" s="2" t="inlineStr">
        <is>
          <t>MNQM4</t>
        </is>
      </c>
      <c r="D1217" s="3" t="n">
        <v>18339</v>
      </c>
      <c r="E1217" s="3" t="n">
        <v>18201.25</v>
      </c>
      <c r="F1217" s="3">
        <f>D1217-E1217</f>
        <v/>
      </c>
      <c r="G1217" s="2" t="inlineStr">
        <is>
          <t>Long</t>
        </is>
      </c>
      <c r="H1217" s="3" t="n">
        <v>18339</v>
      </c>
      <c r="I1217" s="3" t="n">
        <v>18476.75</v>
      </c>
      <c r="J1217" s="3">
        <f>IF(G1217="Long",I1217-H1217,IF(G1217="Short",H1217-I1217,0))</f>
        <v/>
      </c>
      <c r="K1217" s="4" t="n">
        <v>11.43</v>
      </c>
      <c r="L1217" s="2" t="inlineStr">
        <is>
          <t>Win</t>
        </is>
      </c>
      <c r="M1217" s="3">
        <f>M1216+J1217</f>
        <v/>
      </c>
    </row>
    <row r="1218">
      <c r="A1218" s="2" t="inlineStr">
        <is>
          <t>2024-03-13</t>
        </is>
      </c>
      <c r="B1218" s="2" t="inlineStr">
        <is>
          <t>Wednesday</t>
        </is>
      </c>
      <c r="C1218" s="2" t="inlineStr">
        <is>
          <t>MNQM4</t>
        </is>
      </c>
      <c r="D1218" s="3" t="n">
        <v>18429.5</v>
      </c>
      <c r="E1218" s="3" t="n">
        <v>18366.5</v>
      </c>
      <c r="F1218" s="3">
        <f>D1218-E1218</f>
        <v/>
      </c>
      <c r="G1218" s="2" t="inlineStr">
        <is>
          <t>Short</t>
        </is>
      </c>
      <c r="H1218" s="3" t="n">
        <v>18366.5</v>
      </c>
      <c r="I1218" s="3" t="n">
        <v>18303.5</v>
      </c>
      <c r="J1218" s="3">
        <f>IF(G1218="Long",I1218-H1218,IF(G1218="Short",H1218-I1218,0))</f>
        <v/>
      </c>
      <c r="K1218" s="4" t="n">
        <v>0</v>
      </c>
      <c r="L1218" s="2" t="inlineStr">
        <is>
          <t>Win</t>
        </is>
      </c>
      <c r="M1218" s="3">
        <f>M1217+J1218</f>
        <v/>
      </c>
    </row>
    <row r="1219">
      <c r="A1219" s="2" t="inlineStr">
        <is>
          <t>2024-03-13</t>
        </is>
      </c>
      <c r="B1219" s="2" t="inlineStr">
        <is>
          <t>Wednesday</t>
        </is>
      </c>
      <c r="C1219" s="2" t="inlineStr">
        <is>
          <t>MNQM4</t>
        </is>
      </c>
      <c r="D1219" s="3" t="n">
        <v>18429.5</v>
      </c>
      <c r="E1219" s="3" t="n">
        <v>18366.5</v>
      </c>
      <c r="F1219" s="3">
        <f>D1219-E1219</f>
        <v/>
      </c>
      <c r="G1219" s="2" t="inlineStr">
        <is>
          <t>Short</t>
        </is>
      </c>
      <c r="H1219" s="3" t="n">
        <v>18366.5</v>
      </c>
      <c r="I1219" s="3" t="n">
        <v>18303.5</v>
      </c>
      <c r="J1219" s="3">
        <f>IF(G1219="Long",I1219-H1219,IF(G1219="Short",H1219-I1219,0))</f>
        <v/>
      </c>
      <c r="K1219" s="4" t="n">
        <v>27.78</v>
      </c>
      <c r="L1219" s="2" t="inlineStr">
        <is>
          <t>Win</t>
        </is>
      </c>
      <c r="M1219" s="3">
        <f>M1218+J1219</f>
        <v/>
      </c>
    </row>
    <row r="1220">
      <c r="A1220" s="2" t="inlineStr">
        <is>
          <t>2024-03-14</t>
        </is>
      </c>
      <c r="B1220" s="2" t="inlineStr">
        <is>
          <t>Thursday</t>
        </is>
      </c>
      <c r="C1220" s="2" t="inlineStr">
        <is>
          <t>MNQM4</t>
        </is>
      </c>
      <c r="D1220" s="3" t="n">
        <v>18398</v>
      </c>
      <c r="E1220" s="3" t="n">
        <v>18335.75</v>
      </c>
      <c r="F1220" s="3">
        <f>D1220-E1220</f>
        <v/>
      </c>
      <c r="G1220" s="2" t="inlineStr">
        <is>
          <t>Short</t>
        </is>
      </c>
      <c r="H1220" s="3" t="n">
        <v>18335.75</v>
      </c>
      <c r="I1220" s="3" t="n">
        <v>18273.5</v>
      </c>
      <c r="J1220" s="3">
        <f>IF(G1220="Long",I1220-H1220,IF(G1220="Short",H1220-I1220,0))</f>
        <v/>
      </c>
      <c r="K1220" s="4" t="n">
        <v>0</v>
      </c>
      <c r="L1220" s="2" t="inlineStr">
        <is>
          <t>Win</t>
        </is>
      </c>
      <c r="M1220" s="3">
        <f>M1219+J1220</f>
        <v/>
      </c>
    </row>
    <row r="1221">
      <c r="A1221" s="2" t="inlineStr">
        <is>
          <t>2024-03-14</t>
        </is>
      </c>
      <c r="B1221" s="2" t="inlineStr">
        <is>
          <t>Thursday</t>
        </is>
      </c>
      <c r="C1221" s="2" t="inlineStr">
        <is>
          <t>MNQM4</t>
        </is>
      </c>
      <c r="D1221" s="3" t="n">
        <v>18398</v>
      </c>
      <c r="E1221" s="3" t="n">
        <v>18335.75</v>
      </c>
      <c r="F1221" s="3">
        <f>D1221-E1221</f>
        <v/>
      </c>
      <c r="G1221" s="2" t="inlineStr">
        <is>
          <t>Short</t>
        </is>
      </c>
      <c r="H1221" s="3" t="n">
        <v>18335.75</v>
      </c>
      <c r="I1221" s="3" t="n">
        <v>18273.5</v>
      </c>
      <c r="J1221" s="3">
        <f>IF(G1221="Long",I1221-H1221,IF(G1221="Short",H1221-I1221,0))</f>
        <v/>
      </c>
      <c r="K1221" s="4" t="n">
        <v>10.04</v>
      </c>
      <c r="L1221" s="2" t="inlineStr">
        <is>
          <t>Win</t>
        </is>
      </c>
      <c r="M1221" s="3">
        <f>M1220+J1221</f>
        <v/>
      </c>
    </row>
    <row r="1222">
      <c r="A1222" s="8" t="inlineStr">
        <is>
          <t>2024-03-15</t>
        </is>
      </c>
      <c r="B1222" s="8" t="inlineStr">
        <is>
          <t>Friday</t>
        </is>
      </c>
      <c r="C1222" s="8" t="inlineStr">
        <is>
          <t>MNQM4</t>
        </is>
      </c>
      <c r="D1222" s="9" t="n">
        <v>18174.75</v>
      </c>
      <c r="E1222" s="9" t="n">
        <v>18081.25</v>
      </c>
      <c r="F1222" s="9">
        <f>D1222-E1222</f>
        <v/>
      </c>
      <c r="G1222" s="8" t="inlineStr">
        <is>
          <t>Short</t>
        </is>
      </c>
      <c r="H1222" s="9" t="n">
        <v>18081.25</v>
      </c>
      <c r="I1222" s="9" t="n">
        <v>18058.25</v>
      </c>
      <c r="J1222" s="9">
        <f>IF(G1222="Long",I1222-H1222,IF(G1222="Short",H1222-I1222,0))</f>
        <v/>
      </c>
      <c r="K1222" s="10" t="n">
        <v>96.26000000000001</v>
      </c>
      <c r="L1222" s="8" t="inlineStr">
        <is>
          <t>EOD-Close</t>
        </is>
      </c>
      <c r="M1222" s="9">
        <f>M1221+J1222</f>
        <v/>
      </c>
    </row>
    <row r="1223">
      <c r="A1223" s="5" t="inlineStr">
        <is>
          <t>2024-03-18</t>
        </is>
      </c>
      <c r="B1223" s="5" t="inlineStr">
        <is>
          <t>Monday</t>
        </is>
      </c>
      <c r="C1223" s="5" t="inlineStr">
        <is>
          <t>MNQM4</t>
        </is>
      </c>
      <c r="D1223" s="6" t="n">
        <v>18346.75</v>
      </c>
      <c r="E1223" s="6" t="n">
        <v>18277.5</v>
      </c>
      <c r="F1223" s="6">
        <f>D1223-E1223</f>
        <v/>
      </c>
      <c r="G1223" s="5" t="inlineStr">
        <is>
          <t>Long</t>
        </is>
      </c>
      <c r="H1223" s="6" t="n">
        <v>18346.75</v>
      </c>
      <c r="I1223" s="6" t="n">
        <v>18277.5</v>
      </c>
      <c r="J1223" s="6">
        <f>IF(G1223="Long",I1223-H1223,IF(G1223="Short",H1223-I1223,0))</f>
        <v/>
      </c>
      <c r="K1223" s="7" t="n">
        <v>100</v>
      </c>
      <c r="L1223" s="5" t="inlineStr">
        <is>
          <t>Loss</t>
        </is>
      </c>
      <c r="M1223" s="6">
        <f>M1222+J1223</f>
        <v/>
      </c>
    </row>
    <row r="1224">
      <c r="A1224" s="8" t="inlineStr">
        <is>
          <t>2024-03-18</t>
        </is>
      </c>
      <c r="B1224" s="8" t="inlineStr">
        <is>
          <t>Monday</t>
        </is>
      </c>
      <c r="C1224" s="8" t="inlineStr">
        <is>
          <t>MNQM4</t>
        </is>
      </c>
      <c r="D1224" s="9" t="n">
        <v>18346.75</v>
      </c>
      <c r="E1224" s="9" t="n">
        <v>18277.5</v>
      </c>
      <c r="F1224" s="9">
        <f>D1224-E1224</f>
        <v/>
      </c>
      <c r="G1224" s="8" t="inlineStr">
        <is>
          <t>Short</t>
        </is>
      </c>
      <c r="H1224" s="9" t="n">
        <v>18277.5</v>
      </c>
      <c r="I1224" s="9" t="n">
        <v>18229.25</v>
      </c>
      <c r="J1224" s="9">
        <f>IF(G1224="Long",I1224-H1224,IF(G1224="Short",H1224-I1224,0))</f>
        <v/>
      </c>
      <c r="K1224" s="10" t="n">
        <v>48.74</v>
      </c>
      <c r="L1224" s="8" t="inlineStr">
        <is>
          <t>EOD-Close</t>
        </is>
      </c>
      <c r="M1224" s="9">
        <f>M1223+J1224</f>
        <v/>
      </c>
    </row>
    <row r="1225">
      <c r="A1225" s="2" t="inlineStr">
        <is>
          <t>2024-03-19</t>
        </is>
      </c>
      <c r="B1225" s="2" t="inlineStr">
        <is>
          <t>Tuesday</t>
        </is>
      </c>
      <c r="C1225" s="2" t="inlineStr">
        <is>
          <t>MNQM4</t>
        </is>
      </c>
      <c r="D1225" s="3" t="n">
        <v>18152.75</v>
      </c>
      <c r="E1225" s="3" t="n">
        <v>18053.25</v>
      </c>
      <c r="F1225" s="3">
        <f>D1225-E1225</f>
        <v/>
      </c>
      <c r="G1225" s="2" t="inlineStr">
        <is>
          <t>Long</t>
        </is>
      </c>
      <c r="H1225" s="3" t="n">
        <v>18152.75</v>
      </c>
      <c r="I1225" s="3" t="n">
        <v>18252.25</v>
      </c>
      <c r="J1225" s="3">
        <f>IF(G1225="Long",I1225-H1225,IF(G1225="Short",H1225-I1225,0))</f>
        <v/>
      </c>
      <c r="K1225" s="4" t="n">
        <v>20.35</v>
      </c>
      <c r="L1225" s="2" t="inlineStr">
        <is>
          <t>Win</t>
        </is>
      </c>
      <c r="M1225" s="3">
        <f>M1224+J1225</f>
        <v/>
      </c>
    </row>
    <row r="1226">
      <c r="A1226" s="2" t="inlineStr">
        <is>
          <t>2024-03-20</t>
        </is>
      </c>
      <c r="B1226" s="2" t="inlineStr">
        <is>
          <t>Wednesday</t>
        </is>
      </c>
      <c r="C1226" s="2" t="inlineStr">
        <is>
          <t>MNQM4</t>
        </is>
      </c>
      <c r="D1226" s="3" t="n">
        <v>18334.75</v>
      </c>
      <c r="E1226" s="3" t="n">
        <v>18249</v>
      </c>
      <c r="F1226" s="3">
        <f>D1226-E1226</f>
        <v/>
      </c>
      <c r="G1226" s="2" t="inlineStr">
        <is>
          <t>Long</t>
        </is>
      </c>
      <c r="H1226" s="3" t="n">
        <v>18334.75</v>
      </c>
      <c r="I1226" s="3" t="n">
        <v>18420.5</v>
      </c>
      <c r="J1226" s="3">
        <f>IF(G1226="Long",I1226-H1226,IF(G1226="Short",H1226-I1226,0))</f>
        <v/>
      </c>
      <c r="K1226" s="4" t="n">
        <v>56.27</v>
      </c>
      <c r="L1226" s="2" t="inlineStr">
        <is>
          <t>Win</t>
        </is>
      </c>
      <c r="M1226" s="3">
        <f>M1225+J1226</f>
        <v/>
      </c>
    </row>
    <row r="1227">
      <c r="A1227" s="2" t="inlineStr">
        <is>
          <t>2024-03-21</t>
        </is>
      </c>
      <c r="B1227" s="2" t="inlineStr">
        <is>
          <t>Thursday</t>
        </is>
      </c>
      <c r="C1227" s="2" t="inlineStr">
        <is>
          <t>MNQM4</t>
        </is>
      </c>
      <c r="D1227" s="3" t="n">
        <v>18708.5</v>
      </c>
      <c r="E1227" s="3" t="n">
        <v>18655</v>
      </c>
      <c r="F1227" s="3">
        <f>D1227-E1227</f>
        <v/>
      </c>
      <c r="G1227" s="2" t="inlineStr">
        <is>
          <t>Short</t>
        </is>
      </c>
      <c r="H1227" s="3" t="n">
        <v>18655</v>
      </c>
      <c r="I1227" s="3" t="n">
        <v>18601.5</v>
      </c>
      <c r="J1227" s="3">
        <f>IF(G1227="Long",I1227-H1227,IF(G1227="Short",H1227-I1227,0))</f>
        <v/>
      </c>
      <c r="K1227" s="4" t="n">
        <v>98.13</v>
      </c>
      <c r="L1227" s="2" t="inlineStr">
        <is>
          <t>Win</t>
        </is>
      </c>
      <c r="M1227" s="3">
        <f>M1226+J1227</f>
        <v/>
      </c>
    </row>
    <row r="1228">
      <c r="A1228" s="5" t="inlineStr">
        <is>
          <t>2024-03-22</t>
        </is>
      </c>
      <c r="B1228" s="5" t="inlineStr">
        <is>
          <t>Friday</t>
        </is>
      </c>
      <c r="C1228" s="5" t="inlineStr">
        <is>
          <t>MNQM4</t>
        </is>
      </c>
      <c r="D1228" s="6" t="n">
        <v>18547.5</v>
      </c>
      <c r="E1228" s="6" t="n">
        <v>18505.25</v>
      </c>
      <c r="F1228" s="6">
        <f>D1228-E1228</f>
        <v/>
      </c>
      <c r="G1228" s="5" t="inlineStr">
        <is>
          <t>Short</t>
        </is>
      </c>
      <c r="H1228" s="6" t="n">
        <v>18505.25</v>
      </c>
      <c r="I1228" s="6" t="n">
        <v>18547.5</v>
      </c>
      <c r="J1228" s="6">
        <f>IF(G1228="Long",I1228-H1228,IF(G1228="Short",H1228-I1228,0))</f>
        <v/>
      </c>
      <c r="K1228" s="7" t="n">
        <v>100</v>
      </c>
      <c r="L1228" s="5" t="inlineStr">
        <is>
          <t>Loss</t>
        </is>
      </c>
      <c r="M1228" s="6">
        <f>M1227+J1228</f>
        <v/>
      </c>
    </row>
    <row r="1229">
      <c r="A1229" s="5" t="inlineStr">
        <is>
          <t>2024-03-22</t>
        </is>
      </c>
      <c r="B1229" s="5" t="inlineStr">
        <is>
          <t>Friday</t>
        </is>
      </c>
      <c r="C1229" s="5" t="inlineStr">
        <is>
          <t>MNQM4</t>
        </is>
      </c>
      <c r="D1229" s="6" t="n">
        <v>18547.5</v>
      </c>
      <c r="E1229" s="6" t="n">
        <v>18505.25</v>
      </c>
      <c r="F1229" s="6">
        <f>D1229-E1229</f>
        <v/>
      </c>
      <c r="G1229" s="5" t="inlineStr">
        <is>
          <t>Long</t>
        </is>
      </c>
      <c r="H1229" s="6" t="n">
        <v>18547.5</v>
      </c>
      <c r="I1229" s="6" t="n">
        <v>18505.25</v>
      </c>
      <c r="J1229" s="6">
        <f>IF(G1229="Long",I1229-H1229,IF(G1229="Short",H1229-I1229,0))</f>
        <v/>
      </c>
      <c r="K1229" s="7" t="n">
        <v>100</v>
      </c>
      <c r="L1229" s="5" t="inlineStr">
        <is>
          <t>Loss</t>
        </is>
      </c>
      <c r="M1229" s="6">
        <f>M1228+J1229</f>
        <v/>
      </c>
    </row>
    <row r="1230">
      <c r="A1230" s="2" t="inlineStr">
        <is>
          <t>2024-03-25</t>
        </is>
      </c>
      <c r="B1230" s="2" t="inlineStr">
        <is>
          <t>Monday</t>
        </is>
      </c>
      <c r="C1230" s="2" t="inlineStr">
        <is>
          <t>MNQM4</t>
        </is>
      </c>
      <c r="D1230" s="3" t="n">
        <v>18480.5</v>
      </c>
      <c r="E1230" s="3" t="n">
        <v>18415</v>
      </c>
      <c r="F1230" s="3">
        <f>D1230-E1230</f>
        <v/>
      </c>
      <c r="G1230" s="2" t="inlineStr">
        <is>
          <t>Long</t>
        </is>
      </c>
      <c r="H1230" s="3" t="n">
        <v>18480.5</v>
      </c>
      <c r="I1230" s="3" t="n">
        <v>18546</v>
      </c>
      <c r="J1230" s="3">
        <f>IF(G1230="Long",I1230-H1230,IF(G1230="Short",H1230-I1230,0))</f>
        <v/>
      </c>
      <c r="K1230" s="4" t="n">
        <v>20.99</v>
      </c>
      <c r="L1230" s="2" t="inlineStr">
        <is>
          <t>Win</t>
        </is>
      </c>
      <c r="M1230" s="3">
        <f>M1229+J1230</f>
        <v/>
      </c>
    </row>
    <row r="1231">
      <c r="A1231" s="5" t="inlineStr">
        <is>
          <t>2024-03-26</t>
        </is>
      </c>
      <c r="B1231" s="5" t="inlineStr">
        <is>
          <t>Tuesday</t>
        </is>
      </c>
      <c r="C1231" s="5" t="inlineStr">
        <is>
          <t>MNQM4</t>
        </is>
      </c>
      <c r="D1231" s="6" t="n">
        <v>18594.75</v>
      </c>
      <c r="E1231" s="6" t="n">
        <v>18550</v>
      </c>
      <c r="F1231" s="6">
        <f>D1231-E1231</f>
        <v/>
      </c>
      <c r="G1231" s="5" t="inlineStr">
        <is>
          <t>Long</t>
        </is>
      </c>
      <c r="H1231" s="6" t="n">
        <v>18594.75</v>
      </c>
      <c r="I1231" s="6" t="n">
        <v>18550</v>
      </c>
      <c r="J1231" s="6">
        <f>IF(G1231="Long",I1231-H1231,IF(G1231="Short",H1231-I1231,0))</f>
        <v/>
      </c>
      <c r="K1231" s="7" t="n">
        <v>100</v>
      </c>
      <c r="L1231" s="5" t="inlineStr">
        <is>
          <t>Loss</t>
        </is>
      </c>
      <c r="M1231" s="6">
        <f>M1230+J1231</f>
        <v/>
      </c>
    </row>
    <row r="1232">
      <c r="A1232" s="2" t="inlineStr">
        <is>
          <t>2024-03-26</t>
        </is>
      </c>
      <c r="B1232" s="2" t="inlineStr">
        <is>
          <t>Tuesday</t>
        </is>
      </c>
      <c r="C1232" s="2" t="inlineStr">
        <is>
          <t>MNQM4</t>
        </is>
      </c>
      <c r="D1232" s="3" t="n">
        <v>18594.75</v>
      </c>
      <c r="E1232" s="3" t="n">
        <v>18550</v>
      </c>
      <c r="F1232" s="3">
        <f>D1232-E1232</f>
        <v/>
      </c>
      <c r="G1232" s="2" t="inlineStr">
        <is>
          <t>Short</t>
        </is>
      </c>
      <c r="H1232" s="3" t="n">
        <v>18550</v>
      </c>
      <c r="I1232" s="3" t="n">
        <v>18505.25</v>
      </c>
      <c r="J1232" s="3">
        <f>IF(G1232="Long",I1232-H1232,IF(G1232="Short",H1232-I1232,0))</f>
        <v/>
      </c>
      <c r="K1232" s="4" t="n">
        <v>86.59</v>
      </c>
      <c r="L1232" s="2" t="inlineStr">
        <is>
          <t>Win</t>
        </is>
      </c>
      <c r="M1232" s="3">
        <f>M1231+J1232</f>
        <v/>
      </c>
    </row>
    <row r="1233">
      <c r="A1233" s="2" t="inlineStr">
        <is>
          <t>2024-03-27</t>
        </is>
      </c>
      <c r="B1233" s="2" t="inlineStr">
        <is>
          <t>Wednesday</t>
        </is>
      </c>
      <c r="C1233" s="2" t="inlineStr">
        <is>
          <t>MNQM4</t>
        </is>
      </c>
      <c r="D1233" s="3" t="n">
        <v>18572</v>
      </c>
      <c r="E1233" s="3" t="n">
        <v>18485</v>
      </c>
      <c r="F1233" s="3">
        <f>D1233-E1233</f>
        <v/>
      </c>
      <c r="G1233" s="2" t="inlineStr">
        <is>
          <t>Short</t>
        </is>
      </c>
      <c r="H1233" s="3" t="n">
        <v>18485</v>
      </c>
      <c r="I1233" s="3" t="n">
        <v>18398</v>
      </c>
      <c r="J1233" s="3">
        <f>IF(G1233="Long",I1233-H1233,IF(G1233="Short",H1233-I1233,0))</f>
        <v/>
      </c>
      <c r="K1233" s="4" t="n">
        <v>0</v>
      </c>
      <c r="L1233" s="2" t="inlineStr">
        <is>
          <t>Win</t>
        </is>
      </c>
      <c r="M1233" s="3">
        <f>M1232+J1233</f>
        <v/>
      </c>
    </row>
    <row r="1234">
      <c r="A1234" s="8" t="inlineStr">
        <is>
          <t>2024-03-27</t>
        </is>
      </c>
      <c r="B1234" s="8" t="inlineStr">
        <is>
          <t>Wednesday</t>
        </is>
      </c>
      <c r="C1234" s="8" t="inlineStr">
        <is>
          <t>MNQM4</t>
        </is>
      </c>
      <c r="D1234" s="9" t="n">
        <v>18572</v>
      </c>
      <c r="E1234" s="9" t="n">
        <v>18485</v>
      </c>
      <c r="F1234" s="9">
        <f>D1234-E1234</f>
        <v/>
      </c>
      <c r="G1234" s="8" t="inlineStr">
        <is>
          <t>Short</t>
        </is>
      </c>
      <c r="H1234" s="9" t="n">
        <v>18485</v>
      </c>
      <c r="I1234" s="9" t="n">
        <v>18507</v>
      </c>
      <c r="J1234" s="9">
        <f>IF(G1234="Long",I1234-H1234,IF(G1234="Short",H1234-I1234,0))</f>
        <v/>
      </c>
      <c r="K1234" s="10" t="n">
        <v>26.44</v>
      </c>
      <c r="L1234" s="8" t="inlineStr">
        <is>
          <t>EOD-Close</t>
        </is>
      </c>
      <c r="M1234" s="9">
        <f>M1233+J1234</f>
        <v/>
      </c>
    </row>
    <row r="1235">
      <c r="A1235" s="5" t="inlineStr">
        <is>
          <t>2024-03-28</t>
        </is>
      </c>
      <c r="B1235" s="5" t="inlineStr">
        <is>
          <t>Thursday</t>
        </is>
      </c>
      <c r="C1235" s="5" t="inlineStr">
        <is>
          <t>MNQM4</t>
        </is>
      </c>
      <c r="D1235" s="6" t="n">
        <v>18509.5</v>
      </c>
      <c r="E1235" s="6" t="n">
        <v>18457</v>
      </c>
      <c r="F1235" s="6">
        <f>D1235-E1235</f>
        <v/>
      </c>
      <c r="G1235" s="5" t="inlineStr">
        <is>
          <t>Long</t>
        </is>
      </c>
      <c r="H1235" s="6" t="n">
        <v>18509.5</v>
      </c>
      <c r="I1235" s="6" t="n">
        <v>18457</v>
      </c>
      <c r="J1235" s="6">
        <f>IF(G1235="Long",I1235-H1235,IF(G1235="Short",H1235-I1235,0))</f>
        <v/>
      </c>
      <c r="K1235" s="7" t="n">
        <v>100</v>
      </c>
      <c r="L1235" s="5" t="inlineStr">
        <is>
          <t>Loss</t>
        </is>
      </c>
      <c r="M1235" s="6">
        <f>M1234+J1235</f>
        <v/>
      </c>
    </row>
    <row r="1236">
      <c r="A1236" s="5" t="inlineStr">
        <is>
          <t>2024-03-28</t>
        </is>
      </c>
      <c r="B1236" s="5" t="inlineStr">
        <is>
          <t>Thursday</t>
        </is>
      </c>
      <c r="C1236" s="5" t="inlineStr">
        <is>
          <t>MNQM4</t>
        </is>
      </c>
      <c r="D1236" s="6" t="n">
        <v>18509.5</v>
      </c>
      <c r="E1236" s="6" t="n">
        <v>18457</v>
      </c>
      <c r="F1236" s="6">
        <f>D1236-E1236</f>
        <v/>
      </c>
      <c r="G1236" s="5" t="inlineStr">
        <is>
          <t>Short</t>
        </is>
      </c>
      <c r="H1236" s="6" t="n">
        <v>18457</v>
      </c>
      <c r="I1236" s="6" t="n">
        <v>18509.5</v>
      </c>
      <c r="J1236" s="6">
        <f>IF(G1236="Long",I1236-H1236,IF(G1236="Short",H1236-I1236,0))</f>
        <v/>
      </c>
      <c r="K1236" s="7" t="n">
        <v>100</v>
      </c>
      <c r="L1236" s="5" t="inlineStr">
        <is>
          <t>Loss</t>
        </is>
      </c>
      <c r="M1236" s="6">
        <f>M1235+J1236</f>
        <v/>
      </c>
    </row>
    <row r="1237">
      <c r="A1237" s="8" t="inlineStr">
        <is>
          <t>2024-04-01</t>
        </is>
      </c>
      <c r="B1237" s="8" t="inlineStr">
        <is>
          <t>Monday</t>
        </is>
      </c>
      <c r="C1237" s="8" t="inlineStr">
        <is>
          <t>MNQM4</t>
        </is>
      </c>
      <c r="D1237" s="9" t="n">
        <v>18605.5</v>
      </c>
      <c r="E1237" s="9" t="n">
        <v>18482.25</v>
      </c>
      <c r="F1237" s="9">
        <f>D1237-E1237</f>
        <v/>
      </c>
      <c r="G1237" s="8" t="inlineStr">
        <is>
          <t>Short</t>
        </is>
      </c>
      <c r="H1237" s="9" t="n">
        <v>18482.25</v>
      </c>
      <c r="I1237" s="9" t="n">
        <v>18495</v>
      </c>
      <c r="J1237" s="9">
        <f>IF(G1237="Long",I1237-H1237,IF(G1237="Short",H1237-I1237,0))</f>
        <v/>
      </c>
      <c r="K1237" s="10" t="n">
        <v>26.17</v>
      </c>
      <c r="L1237" s="8" t="inlineStr">
        <is>
          <t>EOD-Close</t>
        </is>
      </c>
      <c r="M1237" s="9">
        <f>M1236+J1237</f>
        <v/>
      </c>
    </row>
    <row r="1238">
      <c r="A1238" s="5" t="inlineStr">
        <is>
          <t>2024-04-02</t>
        </is>
      </c>
      <c r="B1238" s="5" t="inlineStr">
        <is>
          <t>Tuesday</t>
        </is>
      </c>
      <c r="C1238" s="5" t="inlineStr">
        <is>
          <t>MNQM4</t>
        </is>
      </c>
      <c r="D1238" s="6" t="n">
        <v>18292.25</v>
      </c>
      <c r="E1238" s="6" t="n">
        <v>18223.5</v>
      </c>
      <c r="F1238" s="6">
        <f>D1238-E1238</f>
        <v/>
      </c>
      <c r="G1238" s="5" t="inlineStr">
        <is>
          <t>Short</t>
        </is>
      </c>
      <c r="H1238" s="6" t="n">
        <v>18223.5</v>
      </c>
      <c r="I1238" s="6" t="n">
        <v>18292.25</v>
      </c>
      <c r="J1238" s="6">
        <f>IF(G1238="Long",I1238-H1238,IF(G1238="Short",H1238-I1238,0))</f>
        <v/>
      </c>
      <c r="K1238" s="7" t="n">
        <v>100</v>
      </c>
      <c r="L1238" s="5" t="inlineStr">
        <is>
          <t>Loss</t>
        </is>
      </c>
      <c r="M1238" s="6">
        <f>M1237+J1238</f>
        <v/>
      </c>
    </row>
    <row r="1239">
      <c r="A1239" s="8" t="inlineStr">
        <is>
          <t>2024-04-02</t>
        </is>
      </c>
      <c r="B1239" s="8" t="inlineStr">
        <is>
          <t>Tuesday</t>
        </is>
      </c>
      <c r="C1239" s="8" t="inlineStr">
        <is>
          <t>MNQM4</t>
        </is>
      </c>
      <c r="D1239" s="9" t="n">
        <v>18292.25</v>
      </c>
      <c r="E1239" s="9" t="n">
        <v>18223.5</v>
      </c>
      <c r="F1239" s="9">
        <f>D1239-E1239</f>
        <v/>
      </c>
      <c r="G1239" s="8" t="inlineStr">
        <is>
          <t>Long</t>
        </is>
      </c>
      <c r="H1239" s="9" t="n">
        <v>18292.25</v>
      </c>
      <c r="I1239" s="9" t="n">
        <v>18330.75</v>
      </c>
      <c r="J1239" s="9">
        <f>IF(G1239="Long",I1239-H1239,IF(G1239="Short",H1239-I1239,0))</f>
        <v/>
      </c>
      <c r="K1239" s="10" t="n">
        <v>35.64</v>
      </c>
      <c r="L1239" s="8" t="inlineStr">
        <is>
          <t>EOD-Close</t>
        </is>
      </c>
      <c r="M1239" s="9">
        <f>M1238+J1239</f>
        <v/>
      </c>
    </row>
    <row r="1240">
      <c r="A1240" s="2" t="inlineStr">
        <is>
          <t>2024-04-03</t>
        </is>
      </c>
      <c r="B1240" s="2" t="inlineStr">
        <is>
          <t>Wednesday</t>
        </is>
      </c>
      <c r="C1240" s="2" t="inlineStr">
        <is>
          <t>MNQM4</t>
        </is>
      </c>
      <c r="D1240" s="3" t="n">
        <v>18283.5</v>
      </c>
      <c r="E1240" s="3" t="n">
        <v>18239</v>
      </c>
      <c r="F1240" s="3">
        <f>D1240-E1240</f>
        <v/>
      </c>
      <c r="G1240" s="2" t="inlineStr">
        <is>
          <t>Long</t>
        </is>
      </c>
      <c r="H1240" s="3" t="n">
        <v>18283.5</v>
      </c>
      <c r="I1240" s="3" t="n">
        <v>18328</v>
      </c>
      <c r="J1240" s="3">
        <f>IF(G1240="Long",I1240-H1240,IF(G1240="Short",H1240-I1240,0))</f>
        <v/>
      </c>
      <c r="K1240" s="4" t="n">
        <v>0</v>
      </c>
      <c r="L1240" s="2" t="inlineStr">
        <is>
          <t>Win</t>
        </is>
      </c>
      <c r="M1240" s="3">
        <f>M1239+J1240</f>
        <v/>
      </c>
    </row>
    <row r="1241">
      <c r="A1241" s="2" t="inlineStr">
        <is>
          <t>2024-04-04</t>
        </is>
      </c>
      <c r="B1241" s="2" t="inlineStr">
        <is>
          <t>Thursday</t>
        </is>
      </c>
      <c r="C1241" s="2" t="inlineStr">
        <is>
          <t>MNQM4</t>
        </is>
      </c>
      <c r="D1241" s="3" t="n">
        <v>18568.25</v>
      </c>
      <c r="E1241" s="3" t="n">
        <v>18528</v>
      </c>
      <c r="F1241" s="3">
        <f>D1241-E1241</f>
        <v/>
      </c>
      <c r="G1241" s="2" t="inlineStr">
        <is>
          <t>Short</t>
        </is>
      </c>
      <c r="H1241" s="3" t="n">
        <v>18528</v>
      </c>
      <c r="I1241" s="3" t="n">
        <v>18487.75</v>
      </c>
      <c r="J1241" s="3">
        <f>IF(G1241="Long",I1241-H1241,IF(G1241="Short",H1241-I1241,0))</f>
        <v/>
      </c>
      <c r="K1241" s="4" t="n">
        <v>8.07</v>
      </c>
      <c r="L1241" s="2" t="inlineStr">
        <is>
          <t>Win</t>
        </is>
      </c>
      <c r="M1241" s="3">
        <f>M1240+J1241</f>
        <v/>
      </c>
    </row>
    <row r="1242">
      <c r="A1242" s="2" t="inlineStr">
        <is>
          <t>2024-04-04</t>
        </is>
      </c>
      <c r="B1242" s="2" t="inlineStr">
        <is>
          <t>Thursday</t>
        </is>
      </c>
      <c r="C1242" s="2" t="inlineStr">
        <is>
          <t>MNQM4</t>
        </is>
      </c>
      <c r="D1242" s="3" t="n">
        <v>18568.25</v>
      </c>
      <c r="E1242" s="3" t="n">
        <v>18528</v>
      </c>
      <c r="F1242" s="3">
        <f>D1242-E1242</f>
        <v/>
      </c>
      <c r="G1242" s="2" t="inlineStr">
        <is>
          <t>Short</t>
        </is>
      </c>
      <c r="H1242" s="3" t="n">
        <v>18528</v>
      </c>
      <c r="I1242" s="3" t="n">
        <v>18487.75</v>
      </c>
      <c r="J1242" s="3">
        <f>IF(G1242="Long",I1242-H1242,IF(G1242="Short",H1242-I1242,0))</f>
        <v/>
      </c>
      <c r="K1242" s="4" t="n">
        <v>95.65000000000001</v>
      </c>
      <c r="L1242" s="2" t="inlineStr">
        <is>
          <t>Win</t>
        </is>
      </c>
      <c r="M1242" s="3">
        <f>M1241+J1242</f>
        <v/>
      </c>
    </row>
    <row r="1243">
      <c r="A1243" s="2" t="inlineStr">
        <is>
          <t>2024-04-05</t>
        </is>
      </c>
      <c r="B1243" s="2" t="inlineStr">
        <is>
          <t>Friday</t>
        </is>
      </c>
      <c r="C1243" s="2" t="inlineStr">
        <is>
          <t>MNQM4</t>
        </is>
      </c>
      <c r="D1243" s="3" t="n">
        <v>18182.25</v>
      </c>
      <c r="E1243" s="3" t="n">
        <v>18102.5</v>
      </c>
      <c r="F1243" s="3">
        <f>D1243-E1243</f>
        <v/>
      </c>
      <c r="G1243" s="2" t="inlineStr">
        <is>
          <t>Long</t>
        </is>
      </c>
      <c r="H1243" s="3" t="n">
        <v>18182.25</v>
      </c>
      <c r="I1243" s="3" t="n">
        <v>18262</v>
      </c>
      <c r="J1243" s="3">
        <f>IF(G1243="Long",I1243-H1243,IF(G1243="Short",H1243-I1243,0))</f>
        <v/>
      </c>
      <c r="K1243" s="4" t="n">
        <v>9.720000000000001</v>
      </c>
      <c r="L1243" s="2" t="inlineStr">
        <is>
          <t>Win</t>
        </is>
      </c>
      <c r="M1243" s="3">
        <f>M1242+J1243</f>
        <v/>
      </c>
    </row>
    <row r="1244">
      <c r="A1244" s="8" t="inlineStr">
        <is>
          <t>2024-04-08</t>
        </is>
      </c>
      <c r="B1244" s="8" t="inlineStr">
        <is>
          <t>Monday</t>
        </is>
      </c>
      <c r="C1244" s="8" t="inlineStr">
        <is>
          <t>MNQM4</t>
        </is>
      </c>
      <c r="D1244" s="9" t="n">
        <v>18337</v>
      </c>
      <c r="E1244" s="9" t="n">
        <v>18237.75</v>
      </c>
      <c r="F1244" s="9">
        <f>D1244-E1244</f>
        <v/>
      </c>
      <c r="G1244" s="8" t="inlineStr">
        <is>
          <t>Long</t>
        </is>
      </c>
      <c r="H1244" s="9" t="n">
        <v>18337</v>
      </c>
      <c r="I1244" s="9" t="n">
        <v>18297.25</v>
      </c>
      <c r="J1244" s="9">
        <f>IF(G1244="Long",I1244-H1244,IF(G1244="Short",H1244-I1244,0))</f>
        <v/>
      </c>
      <c r="K1244" s="10" t="n">
        <v>85.39</v>
      </c>
      <c r="L1244" s="8" t="inlineStr">
        <is>
          <t>EOD-Close</t>
        </is>
      </c>
      <c r="M1244" s="9">
        <f>M1243+J1244</f>
        <v/>
      </c>
    </row>
    <row r="1245">
      <c r="A1245" s="2" t="inlineStr">
        <is>
          <t>2024-04-09</t>
        </is>
      </c>
      <c r="B1245" s="2" t="inlineStr">
        <is>
          <t>Tuesday</t>
        </is>
      </c>
      <c r="C1245" s="2" t="inlineStr">
        <is>
          <t>MNQM4</t>
        </is>
      </c>
      <c r="D1245" s="3" t="n">
        <v>18405</v>
      </c>
      <c r="E1245" s="3" t="n">
        <v>18342.75</v>
      </c>
      <c r="F1245" s="3">
        <f>D1245-E1245</f>
        <v/>
      </c>
      <c r="G1245" s="2" t="inlineStr">
        <is>
          <t>Short</t>
        </is>
      </c>
      <c r="H1245" s="3" t="n">
        <v>18342.75</v>
      </c>
      <c r="I1245" s="3" t="n">
        <v>18280.5</v>
      </c>
      <c r="J1245" s="3">
        <f>IF(G1245="Long",I1245-H1245,IF(G1245="Short",H1245-I1245,0))</f>
        <v/>
      </c>
      <c r="K1245" s="4" t="n">
        <v>43.78</v>
      </c>
      <c r="L1245" s="2" t="inlineStr">
        <is>
          <t>Win</t>
        </is>
      </c>
      <c r="M1245" s="3">
        <f>M1244+J1245</f>
        <v/>
      </c>
    </row>
    <row r="1246">
      <c r="A1246" s="2" t="inlineStr">
        <is>
          <t>2024-04-09</t>
        </is>
      </c>
      <c r="B1246" s="2" t="inlineStr">
        <is>
          <t>Tuesday</t>
        </is>
      </c>
      <c r="C1246" s="2" t="inlineStr">
        <is>
          <t>MNQM4</t>
        </is>
      </c>
      <c r="D1246" s="3" t="n">
        <v>18405</v>
      </c>
      <c r="E1246" s="3" t="n">
        <v>18342.75</v>
      </c>
      <c r="F1246" s="3">
        <f>D1246-E1246</f>
        <v/>
      </c>
      <c r="G1246" s="2" t="inlineStr">
        <is>
          <t>Short</t>
        </is>
      </c>
      <c r="H1246" s="3" t="n">
        <v>18342.75</v>
      </c>
      <c r="I1246" s="3" t="n">
        <v>18280.5</v>
      </c>
      <c r="J1246" s="3">
        <f>IF(G1246="Long",I1246-H1246,IF(G1246="Short",H1246-I1246,0))</f>
        <v/>
      </c>
      <c r="K1246" s="4" t="n">
        <v>0</v>
      </c>
      <c r="L1246" s="2" t="inlineStr">
        <is>
          <t>Win</t>
        </is>
      </c>
      <c r="M1246" s="3">
        <f>M1245+J1246</f>
        <v/>
      </c>
    </row>
    <row r="1247">
      <c r="A1247" s="5" t="inlineStr">
        <is>
          <t>2024-04-10</t>
        </is>
      </c>
      <c r="B1247" s="5" t="inlineStr">
        <is>
          <t>Wednesday</t>
        </is>
      </c>
      <c r="C1247" s="5" t="inlineStr">
        <is>
          <t>MNQM4</t>
        </is>
      </c>
      <c r="D1247" s="6" t="n">
        <v>18196.25</v>
      </c>
      <c r="E1247" s="6" t="n">
        <v>18119</v>
      </c>
      <c r="F1247" s="6">
        <f>D1247-E1247</f>
        <v/>
      </c>
      <c r="G1247" s="5" t="inlineStr">
        <is>
          <t>Long</t>
        </is>
      </c>
      <c r="H1247" s="6" t="n">
        <v>18196.25</v>
      </c>
      <c r="I1247" s="6" t="n">
        <v>18119</v>
      </c>
      <c r="J1247" s="6">
        <f>IF(G1247="Long",I1247-H1247,IF(G1247="Short",H1247-I1247,0))</f>
        <v/>
      </c>
      <c r="K1247" s="7" t="n">
        <v>100</v>
      </c>
      <c r="L1247" s="5" t="inlineStr">
        <is>
          <t>Loss</t>
        </is>
      </c>
      <c r="M1247" s="6">
        <f>M1246+J1247</f>
        <v/>
      </c>
    </row>
    <row r="1248">
      <c r="A1248" s="5" t="inlineStr">
        <is>
          <t>2024-04-10</t>
        </is>
      </c>
      <c r="B1248" s="5" t="inlineStr">
        <is>
          <t>Wednesday</t>
        </is>
      </c>
      <c r="C1248" s="5" t="inlineStr">
        <is>
          <t>MNQM4</t>
        </is>
      </c>
      <c r="D1248" s="6" t="n">
        <v>18196.25</v>
      </c>
      <c r="E1248" s="6" t="n">
        <v>18119</v>
      </c>
      <c r="F1248" s="6">
        <f>D1248-E1248</f>
        <v/>
      </c>
      <c r="G1248" s="5" t="inlineStr">
        <is>
          <t>Long</t>
        </is>
      </c>
      <c r="H1248" s="6" t="n">
        <v>18196.25</v>
      </c>
      <c r="I1248" s="6" t="n">
        <v>18119</v>
      </c>
      <c r="J1248" s="6">
        <f>IF(G1248="Long",I1248-H1248,IF(G1248="Short",H1248-I1248,0))</f>
        <v/>
      </c>
      <c r="K1248" s="7" t="n">
        <v>100</v>
      </c>
      <c r="L1248" s="5" t="inlineStr">
        <is>
          <t>Loss</t>
        </is>
      </c>
      <c r="M1248" s="6">
        <f>M1247+J1248</f>
        <v/>
      </c>
    </row>
    <row r="1249">
      <c r="A1249" s="2" t="inlineStr">
        <is>
          <t>2024-04-11</t>
        </is>
      </c>
      <c r="B1249" s="2" t="inlineStr">
        <is>
          <t>Thursday</t>
        </is>
      </c>
      <c r="C1249" s="2" t="inlineStr">
        <is>
          <t>MNQM4</t>
        </is>
      </c>
      <c r="D1249" s="3" t="n">
        <v>18274.25</v>
      </c>
      <c r="E1249" s="3" t="n">
        <v>18222.5</v>
      </c>
      <c r="F1249" s="3">
        <f>D1249-E1249</f>
        <v/>
      </c>
      <c r="G1249" s="2" t="inlineStr">
        <is>
          <t>Short</t>
        </is>
      </c>
      <c r="H1249" s="3" t="n">
        <v>18222.5</v>
      </c>
      <c r="I1249" s="3" t="n">
        <v>18170.75</v>
      </c>
      <c r="J1249" s="3">
        <f>IF(G1249="Long",I1249-H1249,IF(G1249="Short",H1249-I1249,0))</f>
        <v/>
      </c>
      <c r="K1249" s="4" t="n">
        <v>0</v>
      </c>
      <c r="L1249" s="2" t="inlineStr">
        <is>
          <t>Win</t>
        </is>
      </c>
      <c r="M1249" s="3">
        <f>M1248+J1249</f>
        <v/>
      </c>
    </row>
    <row r="1250">
      <c r="A1250" s="5" t="inlineStr">
        <is>
          <t>2024-04-11</t>
        </is>
      </c>
      <c r="B1250" s="5" t="inlineStr">
        <is>
          <t>Thursday</t>
        </is>
      </c>
      <c r="C1250" s="5" t="inlineStr">
        <is>
          <t>MNQM4</t>
        </is>
      </c>
      <c r="D1250" s="6" t="n">
        <v>18274.25</v>
      </c>
      <c r="E1250" s="6" t="n">
        <v>18222.5</v>
      </c>
      <c r="F1250" s="6">
        <f>D1250-E1250</f>
        <v/>
      </c>
      <c r="G1250" s="5" t="inlineStr">
        <is>
          <t>Short</t>
        </is>
      </c>
      <c r="H1250" s="6" t="n">
        <v>18222.5</v>
      </c>
      <c r="I1250" s="6" t="n">
        <v>18274.25</v>
      </c>
      <c r="J1250" s="6">
        <f>IF(G1250="Long",I1250-H1250,IF(G1250="Short",H1250-I1250,0))</f>
        <v/>
      </c>
      <c r="K1250" s="7" t="n">
        <v>100</v>
      </c>
      <c r="L1250" s="5" t="inlineStr">
        <is>
          <t>Loss</t>
        </is>
      </c>
      <c r="M1250" s="6">
        <f>M1249+J1250</f>
        <v/>
      </c>
    </row>
    <row r="1251">
      <c r="A1251" s="5" t="inlineStr">
        <is>
          <t>2024-04-12</t>
        </is>
      </c>
      <c r="B1251" s="5" t="inlineStr">
        <is>
          <t>Friday</t>
        </is>
      </c>
      <c r="C1251" s="5" t="inlineStr">
        <is>
          <t>MNQM4</t>
        </is>
      </c>
      <c r="D1251" s="6" t="n">
        <v>18327</v>
      </c>
      <c r="E1251" s="6" t="n">
        <v>18280.75</v>
      </c>
      <c r="F1251" s="6">
        <f>D1251-E1251</f>
        <v/>
      </c>
      <c r="G1251" s="5" t="inlineStr">
        <is>
          <t>Long</t>
        </is>
      </c>
      <c r="H1251" s="6" t="n">
        <v>18327</v>
      </c>
      <c r="I1251" s="6" t="n">
        <v>18280.75</v>
      </c>
      <c r="J1251" s="6">
        <f>IF(G1251="Long",I1251-H1251,IF(G1251="Short",H1251-I1251,0))</f>
        <v/>
      </c>
      <c r="K1251" s="7" t="n">
        <v>100</v>
      </c>
      <c r="L1251" s="5" t="inlineStr">
        <is>
          <t>Loss</t>
        </is>
      </c>
      <c r="M1251" s="6">
        <f>M1250+J1251</f>
        <v/>
      </c>
    </row>
    <row r="1252">
      <c r="A1252" s="2" t="inlineStr">
        <is>
          <t>2024-04-12</t>
        </is>
      </c>
      <c r="B1252" s="2" t="inlineStr">
        <is>
          <t>Friday</t>
        </is>
      </c>
      <c r="C1252" s="2" t="inlineStr">
        <is>
          <t>MNQM4</t>
        </is>
      </c>
      <c r="D1252" s="3" t="n">
        <v>18327</v>
      </c>
      <c r="E1252" s="3" t="n">
        <v>18280.75</v>
      </c>
      <c r="F1252" s="3">
        <f>D1252-E1252</f>
        <v/>
      </c>
      <c r="G1252" s="2" t="inlineStr">
        <is>
          <t>Short</t>
        </is>
      </c>
      <c r="H1252" s="3" t="n">
        <v>18280.75</v>
      </c>
      <c r="I1252" s="3" t="n">
        <v>18234.5</v>
      </c>
      <c r="J1252" s="3">
        <f>IF(G1252="Long",I1252-H1252,IF(G1252="Short",H1252-I1252,0))</f>
        <v/>
      </c>
      <c r="K1252" s="4" t="n">
        <v>62.16</v>
      </c>
      <c r="L1252" s="2" t="inlineStr">
        <is>
          <t>Win</t>
        </is>
      </c>
      <c r="M1252" s="3">
        <f>M1251+J1252</f>
        <v/>
      </c>
    </row>
    <row r="1253">
      <c r="A1253" s="2" t="inlineStr">
        <is>
          <t>2024-04-15</t>
        </is>
      </c>
      <c r="B1253" s="2" t="inlineStr">
        <is>
          <t>Monday</t>
        </is>
      </c>
      <c r="C1253" s="2" t="inlineStr">
        <is>
          <t>MNQM4</t>
        </is>
      </c>
      <c r="D1253" s="3" t="n">
        <v>18339</v>
      </c>
      <c r="E1253" s="3" t="n">
        <v>18261</v>
      </c>
      <c r="F1253" s="3">
        <f>D1253-E1253</f>
        <v/>
      </c>
      <c r="G1253" s="2" t="inlineStr">
        <is>
          <t>Short</t>
        </is>
      </c>
      <c r="H1253" s="3" t="n">
        <v>18261</v>
      </c>
      <c r="I1253" s="3" t="n">
        <v>18183</v>
      </c>
      <c r="J1253" s="3">
        <f>IF(G1253="Long",I1253-H1253,IF(G1253="Short",H1253-I1253,0))</f>
        <v/>
      </c>
      <c r="K1253" s="4" t="n">
        <v>0</v>
      </c>
      <c r="L1253" s="2" t="inlineStr">
        <is>
          <t>Win</t>
        </is>
      </c>
      <c r="M1253" s="3">
        <f>M1252+J1253</f>
        <v/>
      </c>
    </row>
    <row r="1254">
      <c r="A1254" s="5" t="inlineStr">
        <is>
          <t>2024-04-16</t>
        </is>
      </c>
      <c r="B1254" s="5" t="inlineStr">
        <is>
          <t>Tuesday</t>
        </is>
      </c>
      <c r="C1254" s="5" t="inlineStr">
        <is>
          <t>MNQM4</t>
        </is>
      </c>
      <c r="D1254" s="6" t="n">
        <v>17888</v>
      </c>
      <c r="E1254" s="6" t="n">
        <v>17835</v>
      </c>
      <c r="F1254" s="6">
        <f>D1254-E1254</f>
        <v/>
      </c>
      <c r="G1254" s="5" t="inlineStr">
        <is>
          <t>Long</t>
        </is>
      </c>
      <c r="H1254" s="6" t="n">
        <v>17888</v>
      </c>
      <c r="I1254" s="6" t="n">
        <v>17835</v>
      </c>
      <c r="J1254" s="6">
        <f>IF(G1254="Long",I1254-H1254,IF(G1254="Short",H1254-I1254,0))</f>
        <v/>
      </c>
      <c r="K1254" s="7" t="n">
        <v>100</v>
      </c>
      <c r="L1254" s="5" t="inlineStr">
        <is>
          <t>Loss</t>
        </is>
      </c>
      <c r="M1254" s="6">
        <f>M1253+J1254</f>
        <v/>
      </c>
    </row>
    <row r="1255">
      <c r="A1255" s="5" t="inlineStr">
        <is>
          <t>2024-04-16</t>
        </is>
      </c>
      <c r="B1255" s="5" t="inlineStr">
        <is>
          <t>Tuesday</t>
        </is>
      </c>
      <c r="C1255" s="5" t="inlineStr">
        <is>
          <t>MNQM4</t>
        </is>
      </c>
      <c r="D1255" s="6" t="n">
        <v>17888</v>
      </c>
      <c r="E1255" s="6" t="n">
        <v>17835</v>
      </c>
      <c r="F1255" s="6">
        <f>D1255-E1255</f>
        <v/>
      </c>
      <c r="G1255" s="5" t="inlineStr">
        <is>
          <t>Long</t>
        </is>
      </c>
      <c r="H1255" s="6" t="n">
        <v>17888</v>
      </c>
      <c r="I1255" s="6" t="n">
        <v>17835</v>
      </c>
      <c r="J1255" s="6">
        <f>IF(G1255="Long",I1255-H1255,IF(G1255="Short",H1255-I1255,0))</f>
        <v/>
      </c>
      <c r="K1255" s="7" t="n">
        <v>100</v>
      </c>
      <c r="L1255" s="5" t="inlineStr">
        <is>
          <t>Loss</t>
        </is>
      </c>
      <c r="M1255" s="6">
        <f>M1254+J1255</f>
        <v/>
      </c>
    </row>
    <row r="1256">
      <c r="A1256" s="2" t="inlineStr">
        <is>
          <t>2024-04-17</t>
        </is>
      </c>
      <c r="B1256" s="2" t="inlineStr">
        <is>
          <t>Wednesday</t>
        </is>
      </c>
      <c r="C1256" s="2" t="inlineStr">
        <is>
          <t>MNQM4</t>
        </is>
      </c>
      <c r="D1256" s="3" t="n">
        <v>17959.5</v>
      </c>
      <c r="E1256" s="3" t="n">
        <v>17912.75</v>
      </c>
      <c r="F1256" s="3">
        <f>D1256-E1256</f>
        <v/>
      </c>
      <c r="G1256" s="2" t="inlineStr">
        <is>
          <t>Short</t>
        </is>
      </c>
      <c r="H1256" s="3" t="n">
        <v>17912.75</v>
      </c>
      <c r="I1256" s="3" t="n">
        <v>17866</v>
      </c>
      <c r="J1256" s="3">
        <f>IF(G1256="Long",I1256-H1256,IF(G1256="Short",H1256-I1256,0))</f>
        <v/>
      </c>
      <c r="K1256" s="4" t="n">
        <v>5.35</v>
      </c>
      <c r="L1256" s="2" t="inlineStr">
        <is>
          <t>Win</t>
        </is>
      </c>
      <c r="M1256" s="3">
        <f>M1255+J1256</f>
        <v/>
      </c>
    </row>
    <row r="1257">
      <c r="A1257" s="5" t="inlineStr">
        <is>
          <t>2024-04-18</t>
        </is>
      </c>
      <c r="B1257" s="5" t="inlineStr">
        <is>
          <t>Thursday</t>
        </is>
      </c>
      <c r="C1257" s="5" t="inlineStr">
        <is>
          <t>MNQM4</t>
        </is>
      </c>
      <c r="D1257" s="6" t="n">
        <v>17678.75</v>
      </c>
      <c r="E1257" s="6" t="n">
        <v>17551</v>
      </c>
      <c r="F1257" s="6">
        <f>D1257-E1257</f>
        <v/>
      </c>
      <c r="G1257" s="5" t="inlineStr">
        <is>
          <t>Long</t>
        </is>
      </c>
      <c r="H1257" s="6" t="n">
        <v>17678.75</v>
      </c>
      <c r="I1257" s="6" t="n">
        <v>17551</v>
      </c>
      <c r="J1257" s="6">
        <f>IF(G1257="Long",I1257-H1257,IF(G1257="Short",H1257-I1257,0))</f>
        <v/>
      </c>
      <c r="K1257" s="7" t="n">
        <v>100</v>
      </c>
      <c r="L1257" s="5" t="inlineStr">
        <is>
          <t>Loss</t>
        </is>
      </c>
      <c r="M1257" s="6">
        <f>M1256+J1257</f>
        <v/>
      </c>
    </row>
    <row r="1258">
      <c r="A1258" s="8" t="inlineStr">
        <is>
          <t>2024-04-18</t>
        </is>
      </c>
      <c r="B1258" s="8" t="inlineStr">
        <is>
          <t>Thursday</t>
        </is>
      </c>
      <c r="C1258" s="8" t="inlineStr">
        <is>
          <t>MNQM4</t>
        </is>
      </c>
      <c r="D1258" s="9" t="n">
        <v>17678.75</v>
      </c>
      <c r="E1258" s="9" t="n">
        <v>17551</v>
      </c>
      <c r="F1258" s="9">
        <f>D1258-E1258</f>
        <v/>
      </c>
      <c r="G1258" s="8" t="inlineStr">
        <is>
          <t>Short</t>
        </is>
      </c>
      <c r="H1258" s="9" t="n">
        <v>17551</v>
      </c>
      <c r="I1258" s="9" t="n">
        <v>17545</v>
      </c>
      <c r="J1258" s="9">
        <f>IF(G1258="Long",I1258-H1258,IF(G1258="Short",H1258-I1258,0))</f>
        <v/>
      </c>
      <c r="K1258" s="10" t="n">
        <v>36.01</v>
      </c>
      <c r="L1258" s="8" t="inlineStr">
        <is>
          <t>EOD-Close</t>
        </is>
      </c>
      <c r="M1258" s="9">
        <f>M1257+J1258</f>
        <v/>
      </c>
    </row>
    <row r="1259">
      <c r="A1259" s="2" t="inlineStr">
        <is>
          <t>2024-04-19</t>
        </is>
      </c>
      <c r="B1259" s="2" t="inlineStr">
        <is>
          <t>Friday</t>
        </is>
      </c>
      <c r="C1259" s="2" t="inlineStr">
        <is>
          <t>MNQM4</t>
        </is>
      </c>
      <c r="D1259" s="3" t="n">
        <v>17501.5</v>
      </c>
      <c r="E1259" s="3" t="n">
        <v>17432.75</v>
      </c>
      <c r="F1259" s="3">
        <f>D1259-E1259</f>
        <v/>
      </c>
      <c r="G1259" s="2" t="inlineStr">
        <is>
          <t>Short</t>
        </is>
      </c>
      <c r="H1259" s="3" t="n">
        <v>17432.75</v>
      </c>
      <c r="I1259" s="3" t="n">
        <v>17364</v>
      </c>
      <c r="J1259" s="3">
        <f>IF(G1259="Long",I1259-H1259,IF(G1259="Short",H1259-I1259,0))</f>
        <v/>
      </c>
      <c r="K1259" s="4" t="n">
        <v>0</v>
      </c>
      <c r="L1259" s="2" t="inlineStr">
        <is>
          <t>Win</t>
        </is>
      </c>
      <c r="M1259" s="3">
        <f>M1258+J1259</f>
        <v/>
      </c>
    </row>
    <row r="1260">
      <c r="A1260" s="5" t="inlineStr">
        <is>
          <t>2024-04-22</t>
        </is>
      </c>
      <c r="B1260" s="5" t="inlineStr">
        <is>
          <t>Monday</t>
        </is>
      </c>
      <c r="C1260" s="5" t="inlineStr">
        <is>
          <t>MNQM4</t>
        </is>
      </c>
      <c r="D1260" s="6" t="n">
        <v>17307.5</v>
      </c>
      <c r="E1260" s="6" t="n">
        <v>17264</v>
      </c>
      <c r="F1260" s="6">
        <f>D1260-E1260</f>
        <v/>
      </c>
      <c r="G1260" s="5" t="inlineStr">
        <is>
          <t>Long</t>
        </is>
      </c>
      <c r="H1260" s="6" t="n">
        <v>17307.5</v>
      </c>
      <c r="I1260" s="6" t="n">
        <v>17264</v>
      </c>
      <c r="J1260" s="6">
        <f>IF(G1260="Long",I1260-H1260,IF(G1260="Short",H1260-I1260,0))</f>
        <v/>
      </c>
      <c r="K1260" s="7" t="n">
        <v>100</v>
      </c>
      <c r="L1260" s="5" t="inlineStr">
        <is>
          <t>Loss</t>
        </is>
      </c>
      <c r="M1260" s="6">
        <f>M1259+J1260</f>
        <v/>
      </c>
    </row>
    <row r="1261">
      <c r="A1261" s="2" t="inlineStr">
        <is>
          <t>2024-04-22</t>
        </is>
      </c>
      <c r="B1261" s="2" t="inlineStr">
        <is>
          <t>Monday</t>
        </is>
      </c>
      <c r="C1261" s="2" t="inlineStr">
        <is>
          <t>MNQM4</t>
        </is>
      </c>
      <c r="D1261" s="3" t="n">
        <v>17307.5</v>
      </c>
      <c r="E1261" s="3" t="n">
        <v>17264</v>
      </c>
      <c r="F1261" s="3">
        <f>D1261-E1261</f>
        <v/>
      </c>
      <c r="G1261" s="2" t="inlineStr">
        <is>
          <t>Short</t>
        </is>
      </c>
      <c r="H1261" s="3" t="n">
        <v>17264</v>
      </c>
      <c r="I1261" s="3" t="n">
        <v>17220.5</v>
      </c>
      <c r="J1261" s="3">
        <f>IF(G1261="Long",I1261-H1261,IF(G1261="Short",H1261-I1261,0))</f>
        <v/>
      </c>
      <c r="K1261" s="4" t="n">
        <v>0</v>
      </c>
      <c r="L1261" s="2" t="inlineStr">
        <is>
          <t>Win</t>
        </is>
      </c>
      <c r="M1261" s="3">
        <f>M1260+J1261</f>
        <v/>
      </c>
    </row>
    <row r="1262">
      <c r="A1262" s="2" t="inlineStr">
        <is>
          <t>2024-04-23</t>
        </is>
      </c>
      <c r="B1262" s="2" t="inlineStr">
        <is>
          <t>Tuesday</t>
        </is>
      </c>
      <c r="C1262" s="2" t="inlineStr">
        <is>
          <t>MNQM4</t>
        </is>
      </c>
      <c r="D1262" s="3" t="n">
        <v>17478</v>
      </c>
      <c r="E1262" s="3" t="n">
        <v>17413.5</v>
      </c>
      <c r="F1262" s="3">
        <f>D1262-E1262</f>
        <v/>
      </c>
      <c r="G1262" s="2" t="inlineStr">
        <is>
          <t>Long</t>
        </is>
      </c>
      <c r="H1262" s="3" t="n">
        <v>17478</v>
      </c>
      <c r="I1262" s="3" t="n">
        <v>17542.5</v>
      </c>
      <c r="J1262" s="3">
        <f>IF(G1262="Long",I1262-H1262,IF(G1262="Short",H1262-I1262,0))</f>
        <v/>
      </c>
      <c r="K1262" s="4" t="n">
        <v>34.88</v>
      </c>
      <c r="L1262" s="2" t="inlineStr">
        <is>
          <t>Win</t>
        </is>
      </c>
      <c r="M1262" s="3">
        <f>M1261+J1262</f>
        <v/>
      </c>
    </row>
    <row r="1263">
      <c r="A1263" s="2" t="inlineStr">
        <is>
          <t>2024-04-24</t>
        </is>
      </c>
      <c r="B1263" s="2" t="inlineStr">
        <is>
          <t>Wednesday</t>
        </is>
      </c>
      <c r="C1263" s="2" t="inlineStr">
        <is>
          <t>MNQM4</t>
        </is>
      </c>
      <c r="D1263" s="3" t="n">
        <v>17787</v>
      </c>
      <c r="E1263" s="3" t="n">
        <v>17713</v>
      </c>
      <c r="F1263" s="3">
        <f>D1263-E1263</f>
        <v/>
      </c>
      <c r="G1263" s="2" t="inlineStr">
        <is>
          <t>Short</t>
        </is>
      </c>
      <c r="H1263" s="3" t="n">
        <v>17713</v>
      </c>
      <c r="I1263" s="3" t="n">
        <v>17639</v>
      </c>
      <c r="J1263" s="3">
        <f>IF(G1263="Long",I1263-H1263,IF(G1263="Short",H1263-I1263,0))</f>
        <v/>
      </c>
      <c r="K1263" s="4" t="n">
        <v>7.43</v>
      </c>
      <c r="L1263" s="2" t="inlineStr">
        <is>
          <t>Win</t>
        </is>
      </c>
      <c r="M1263" s="3">
        <f>M1262+J1263</f>
        <v/>
      </c>
    </row>
    <row r="1264">
      <c r="A1264" s="2" t="inlineStr">
        <is>
          <t>2024-04-25</t>
        </is>
      </c>
      <c r="B1264" s="2" t="inlineStr">
        <is>
          <t>Thursday</t>
        </is>
      </c>
      <c r="C1264" s="2" t="inlineStr">
        <is>
          <t>MNQM4</t>
        </is>
      </c>
      <c r="D1264" s="3" t="n">
        <v>17375.75</v>
      </c>
      <c r="E1264" s="3" t="n">
        <v>17308</v>
      </c>
      <c r="F1264" s="3">
        <f>D1264-E1264</f>
        <v/>
      </c>
      <c r="G1264" s="2" t="inlineStr">
        <is>
          <t>Long</t>
        </is>
      </c>
      <c r="H1264" s="3" t="n">
        <v>17375.75</v>
      </c>
      <c r="I1264" s="3" t="n">
        <v>17443.5</v>
      </c>
      <c r="J1264" s="3">
        <f>IF(G1264="Long",I1264-H1264,IF(G1264="Short",H1264-I1264,0))</f>
        <v/>
      </c>
      <c r="K1264" s="4" t="n">
        <v>0</v>
      </c>
      <c r="L1264" s="2" t="inlineStr">
        <is>
          <t>Win</t>
        </is>
      </c>
      <c r="M1264" s="3">
        <f>M1263+J1264</f>
        <v/>
      </c>
    </row>
    <row r="1265">
      <c r="A1265" s="2" t="inlineStr">
        <is>
          <t>2024-04-25</t>
        </is>
      </c>
      <c r="B1265" s="2" t="inlineStr">
        <is>
          <t>Thursday</t>
        </is>
      </c>
      <c r="C1265" s="2" t="inlineStr">
        <is>
          <t>MNQM4</t>
        </is>
      </c>
      <c r="D1265" s="3" t="n">
        <v>17375.75</v>
      </c>
      <c r="E1265" s="3" t="n">
        <v>17308</v>
      </c>
      <c r="F1265" s="3">
        <f>D1265-E1265</f>
        <v/>
      </c>
      <c r="G1265" s="2" t="inlineStr">
        <is>
          <t>Long</t>
        </is>
      </c>
      <c r="H1265" s="3" t="n">
        <v>17375.75</v>
      </c>
      <c r="I1265" s="3" t="n">
        <v>17443.5</v>
      </c>
      <c r="J1265" s="3">
        <f>IF(G1265="Long",I1265-H1265,IF(G1265="Short",H1265-I1265,0))</f>
        <v/>
      </c>
      <c r="K1265" s="4" t="n">
        <v>50.55</v>
      </c>
      <c r="L1265" s="2" t="inlineStr">
        <is>
          <t>Win</t>
        </is>
      </c>
      <c r="M1265" s="3">
        <f>M1264+J1265</f>
        <v/>
      </c>
    </row>
    <row r="1266">
      <c r="A1266" s="2" t="inlineStr">
        <is>
          <t>2024-04-26</t>
        </is>
      </c>
      <c r="B1266" s="2" t="inlineStr">
        <is>
          <t>Friday</t>
        </is>
      </c>
      <c r="C1266" s="2" t="inlineStr">
        <is>
          <t>MNQM4</t>
        </is>
      </c>
      <c r="D1266" s="3" t="n">
        <v>17764.5</v>
      </c>
      <c r="E1266" s="3" t="n">
        <v>17668.25</v>
      </c>
      <c r="F1266" s="3">
        <f>D1266-E1266</f>
        <v/>
      </c>
      <c r="G1266" s="2" t="inlineStr">
        <is>
          <t>Long</t>
        </is>
      </c>
      <c r="H1266" s="3" t="n">
        <v>17764.5</v>
      </c>
      <c r="I1266" s="3" t="n">
        <v>17860.75</v>
      </c>
      <c r="J1266" s="3">
        <f>IF(G1266="Long",I1266-H1266,IF(G1266="Short",H1266-I1266,0))</f>
        <v/>
      </c>
      <c r="K1266" s="4" t="n">
        <v>0</v>
      </c>
      <c r="L1266" s="2" t="inlineStr">
        <is>
          <t>Win</t>
        </is>
      </c>
      <c r="M1266" s="3">
        <f>M1265+J1266</f>
        <v/>
      </c>
    </row>
    <row r="1267">
      <c r="A1267" s="8" t="inlineStr">
        <is>
          <t>2024-04-29</t>
        </is>
      </c>
      <c r="B1267" s="8" t="inlineStr">
        <is>
          <t>Monday</t>
        </is>
      </c>
      <c r="C1267" s="8" t="inlineStr">
        <is>
          <t>MNQM4</t>
        </is>
      </c>
      <c r="D1267" s="9" t="n">
        <v>17949</v>
      </c>
      <c r="E1267" s="9" t="n">
        <v>17831.75</v>
      </c>
      <c r="F1267" s="9">
        <f>D1267-E1267</f>
        <v/>
      </c>
      <c r="G1267" s="8" t="inlineStr">
        <is>
          <t>Short</t>
        </is>
      </c>
      <c r="H1267" s="9" t="n">
        <v>17831.75</v>
      </c>
      <c r="I1267" s="9" t="n">
        <v>17905.25</v>
      </c>
      <c r="J1267" s="9">
        <f>IF(G1267="Long",I1267-H1267,IF(G1267="Short",H1267-I1267,0))</f>
        <v/>
      </c>
      <c r="K1267" s="10" t="n">
        <v>67.16</v>
      </c>
      <c r="L1267" s="8" t="inlineStr">
        <is>
          <t>EOD-Close</t>
        </is>
      </c>
      <c r="M1267" s="9">
        <f>M1266+J1267</f>
        <v/>
      </c>
    </row>
    <row r="1268">
      <c r="A1268" s="2" t="inlineStr">
        <is>
          <t>2024-04-30</t>
        </is>
      </c>
      <c r="B1268" s="2" t="inlineStr">
        <is>
          <t>Tuesday</t>
        </is>
      </c>
      <c r="C1268" s="2" t="inlineStr">
        <is>
          <t>MNQM4</t>
        </is>
      </c>
      <c r="D1268" s="3" t="n">
        <v>17886.5</v>
      </c>
      <c r="E1268" s="3" t="n">
        <v>17824</v>
      </c>
      <c r="F1268" s="3">
        <f>D1268-E1268</f>
        <v/>
      </c>
      <c r="G1268" s="2" t="inlineStr">
        <is>
          <t>Short</t>
        </is>
      </c>
      <c r="H1268" s="3" t="n">
        <v>17824</v>
      </c>
      <c r="I1268" s="3" t="n">
        <v>17761.5</v>
      </c>
      <c r="J1268" s="3">
        <f>IF(G1268="Long",I1268-H1268,IF(G1268="Short",H1268-I1268,0))</f>
        <v/>
      </c>
      <c r="K1268" s="4" t="n">
        <v>0.4</v>
      </c>
      <c r="L1268" s="2" t="inlineStr">
        <is>
          <t>Win</t>
        </is>
      </c>
      <c r="M1268" s="3">
        <f>M1267+J1268</f>
        <v/>
      </c>
    </row>
    <row r="1269">
      <c r="A1269" s="2" t="inlineStr">
        <is>
          <t>2024-05-01</t>
        </is>
      </c>
      <c r="B1269" s="2" t="inlineStr">
        <is>
          <t>Wednesday</t>
        </is>
      </c>
      <c r="C1269" s="2" t="inlineStr">
        <is>
          <t>MNQM4</t>
        </is>
      </c>
      <c r="D1269" s="3" t="n">
        <v>17517.5</v>
      </c>
      <c r="E1269" s="3" t="n">
        <v>17468.25</v>
      </c>
      <c r="F1269" s="3">
        <f>D1269-E1269</f>
        <v/>
      </c>
      <c r="G1269" s="2" t="inlineStr">
        <is>
          <t>Short</t>
        </is>
      </c>
      <c r="H1269" s="3" t="n">
        <v>17468.25</v>
      </c>
      <c r="I1269" s="3" t="n">
        <v>17419</v>
      </c>
      <c r="J1269" s="3">
        <f>IF(G1269="Long",I1269-H1269,IF(G1269="Short",H1269-I1269,0))</f>
        <v/>
      </c>
      <c r="K1269" s="4" t="n">
        <v>77.66</v>
      </c>
      <c r="L1269" s="2" t="inlineStr">
        <is>
          <t>Win</t>
        </is>
      </c>
      <c r="M1269" s="3">
        <f>M1268+J1269</f>
        <v/>
      </c>
    </row>
    <row r="1270">
      <c r="A1270" s="2" t="inlineStr">
        <is>
          <t>2024-05-01</t>
        </is>
      </c>
      <c r="B1270" s="2" t="inlineStr">
        <is>
          <t>Wednesday</t>
        </is>
      </c>
      <c r="C1270" s="2" t="inlineStr">
        <is>
          <t>MNQM4</t>
        </is>
      </c>
      <c r="D1270" s="3" t="n">
        <v>17517.5</v>
      </c>
      <c r="E1270" s="3" t="n">
        <v>17468.25</v>
      </c>
      <c r="F1270" s="3">
        <f>D1270-E1270</f>
        <v/>
      </c>
      <c r="G1270" s="2" t="inlineStr">
        <is>
          <t>Short</t>
        </is>
      </c>
      <c r="H1270" s="3" t="n">
        <v>17468.25</v>
      </c>
      <c r="I1270" s="3" t="n">
        <v>17419</v>
      </c>
      <c r="J1270" s="3">
        <f>IF(G1270="Long",I1270-H1270,IF(G1270="Short",H1270-I1270,0))</f>
        <v/>
      </c>
      <c r="K1270" s="4" t="n">
        <v>28.93</v>
      </c>
      <c r="L1270" s="2" t="inlineStr">
        <is>
          <t>Win</t>
        </is>
      </c>
      <c r="M1270" s="3">
        <f>M1269+J1270</f>
        <v/>
      </c>
    </row>
    <row r="1271">
      <c r="A1271" s="2" t="inlineStr">
        <is>
          <t>2024-05-02</t>
        </is>
      </c>
      <c r="B1271" s="2" t="inlineStr">
        <is>
          <t>Thursday</t>
        </is>
      </c>
      <c r="C1271" s="2" t="inlineStr">
        <is>
          <t>MNQM4</t>
        </is>
      </c>
      <c r="D1271" s="3" t="n">
        <v>17602.5</v>
      </c>
      <c r="E1271" s="3" t="n">
        <v>17515.25</v>
      </c>
      <c r="F1271" s="3">
        <f>D1271-E1271</f>
        <v/>
      </c>
      <c r="G1271" s="2" t="inlineStr">
        <is>
          <t>Short</t>
        </is>
      </c>
      <c r="H1271" s="3" t="n">
        <v>17515.25</v>
      </c>
      <c r="I1271" s="3" t="n">
        <v>17428</v>
      </c>
      <c r="J1271" s="3">
        <f>IF(G1271="Long",I1271-H1271,IF(G1271="Short",H1271-I1271,0))</f>
        <v/>
      </c>
      <c r="K1271" s="4" t="n">
        <v>14.04</v>
      </c>
      <c r="L1271" s="2" t="inlineStr">
        <is>
          <t>Win</t>
        </is>
      </c>
      <c r="M1271" s="3">
        <f>M1270+J1271</f>
        <v/>
      </c>
    </row>
    <row r="1272">
      <c r="A1272" s="5" t="inlineStr">
        <is>
          <t>2024-05-02</t>
        </is>
      </c>
      <c r="B1272" s="5" t="inlineStr">
        <is>
          <t>Thursday</t>
        </is>
      </c>
      <c r="C1272" s="5" t="inlineStr">
        <is>
          <t>MNQM4</t>
        </is>
      </c>
      <c r="D1272" s="6" t="n">
        <v>17602.5</v>
      </c>
      <c r="E1272" s="6" t="n">
        <v>17515.25</v>
      </c>
      <c r="F1272" s="6">
        <f>D1272-E1272</f>
        <v/>
      </c>
      <c r="G1272" s="5" t="inlineStr">
        <is>
          <t>Short</t>
        </is>
      </c>
      <c r="H1272" s="6" t="n">
        <v>17515.25</v>
      </c>
      <c r="I1272" s="6" t="n">
        <v>17602.5</v>
      </c>
      <c r="J1272" s="6">
        <f>IF(G1272="Long",I1272-H1272,IF(G1272="Short",H1272-I1272,0))</f>
        <v/>
      </c>
      <c r="K1272" s="7" t="n">
        <v>100</v>
      </c>
      <c r="L1272" s="5" t="inlineStr">
        <is>
          <t>Loss</t>
        </is>
      </c>
      <c r="M1272" s="6">
        <f>M1271+J1272</f>
        <v/>
      </c>
    </row>
    <row r="1273">
      <c r="A1273" s="2" t="inlineStr">
        <is>
          <t>2024-05-03</t>
        </is>
      </c>
      <c r="B1273" s="2" t="inlineStr">
        <is>
          <t>Friday</t>
        </is>
      </c>
      <c r="C1273" s="2" t="inlineStr">
        <is>
          <t>MNQM4</t>
        </is>
      </c>
      <c r="D1273" s="3" t="n">
        <v>17977.75</v>
      </c>
      <c r="E1273" s="3" t="n">
        <v>17919.25</v>
      </c>
      <c r="F1273" s="3">
        <f>D1273-E1273</f>
        <v/>
      </c>
      <c r="G1273" s="2" t="inlineStr">
        <is>
          <t>Long</t>
        </is>
      </c>
      <c r="H1273" s="3" t="n">
        <v>17977.75</v>
      </c>
      <c r="I1273" s="3" t="n">
        <v>18036.25</v>
      </c>
      <c r="J1273" s="3">
        <f>IF(G1273="Long",I1273-H1273,IF(G1273="Short",H1273-I1273,0))</f>
        <v/>
      </c>
      <c r="K1273" s="4" t="n">
        <v>79.48999999999999</v>
      </c>
      <c r="L1273" s="2" t="inlineStr">
        <is>
          <t>Win</t>
        </is>
      </c>
      <c r="M1273" s="3">
        <f>M1272+J1273</f>
        <v/>
      </c>
    </row>
    <row r="1274">
      <c r="A1274" s="5" t="inlineStr">
        <is>
          <t>2024-05-03</t>
        </is>
      </c>
      <c r="B1274" s="5" t="inlineStr">
        <is>
          <t>Friday</t>
        </is>
      </c>
      <c r="C1274" s="5" t="inlineStr">
        <is>
          <t>MNQM4</t>
        </is>
      </c>
      <c r="D1274" s="6" t="n">
        <v>17977.75</v>
      </c>
      <c r="E1274" s="6" t="n">
        <v>17919.25</v>
      </c>
      <c r="F1274" s="6">
        <f>D1274-E1274</f>
        <v/>
      </c>
      <c r="G1274" s="5" t="inlineStr">
        <is>
          <t>Long</t>
        </is>
      </c>
      <c r="H1274" s="6" t="n">
        <v>17977.75</v>
      </c>
      <c r="I1274" s="6" t="n">
        <v>17919.25</v>
      </c>
      <c r="J1274" s="6">
        <f>IF(G1274="Long",I1274-H1274,IF(G1274="Short",H1274-I1274,0))</f>
        <v/>
      </c>
      <c r="K1274" s="7" t="n">
        <v>100</v>
      </c>
      <c r="L1274" s="5" t="inlineStr">
        <is>
          <t>Loss</t>
        </is>
      </c>
      <c r="M1274" s="6">
        <f>M1273+J1274</f>
        <v/>
      </c>
    </row>
    <row r="1275">
      <c r="A1275" s="2" t="inlineStr">
        <is>
          <t>2024-05-06</t>
        </is>
      </c>
      <c r="B1275" s="2" t="inlineStr">
        <is>
          <t>Monday</t>
        </is>
      </c>
      <c r="C1275" s="2" t="inlineStr">
        <is>
          <t>MNQM4</t>
        </is>
      </c>
      <c r="D1275" s="3" t="n">
        <v>18101</v>
      </c>
      <c r="E1275" s="3" t="n">
        <v>18042.5</v>
      </c>
      <c r="F1275" s="3">
        <f>D1275-E1275</f>
        <v/>
      </c>
      <c r="G1275" s="2" t="inlineStr">
        <is>
          <t>Long</t>
        </is>
      </c>
      <c r="H1275" s="3" t="n">
        <v>18101</v>
      </c>
      <c r="I1275" s="3" t="n">
        <v>18159.5</v>
      </c>
      <c r="J1275" s="3">
        <f>IF(G1275="Long",I1275-H1275,IF(G1275="Short",H1275-I1275,0))</f>
        <v/>
      </c>
      <c r="K1275" s="4" t="n">
        <v>57.69</v>
      </c>
      <c r="L1275" s="2" t="inlineStr">
        <is>
          <t>Win</t>
        </is>
      </c>
      <c r="M1275" s="3">
        <f>M1274+J1275</f>
        <v/>
      </c>
    </row>
    <row r="1276">
      <c r="A1276" s="5" t="inlineStr">
        <is>
          <t>2024-05-07</t>
        </is>
      </c>
      <c r="B1276" s="5" t="inlineStr">
        <is>
          <t>Tuesday</t>
        </is>
      </c>
      <c r="C1276" s="5" t="inlineStr">
        <is>
          <t>MNQM4</t>
        </is>
      </c>
      <c r="D1276" s="6" t="n">
        <v>18236.25</v>
      </c>
      <c r="E1276" s="6" t="n">
        <v>18197.25</v>
      </c>
      <c r="F1276" s="6">
        <f>D1276-E1276</f>
        <v/>
      </c>
      <c r="G1276" s="5" t="inlineStr">
        <is>
          <t>Short</t>
        </is>
      </c>
      <c r="H1276" s="6" t="n">
        <v>18197.25</v>
      </c>
      <c r="I1276" s="6" t="n">
        <v>18236.25</v>
      </c>
      <c r="J1276" s="6">
        <f>IF(G1276="Long",I1276-H1276,IF(G1276="Short",H1276-I1276,0))</f>
        <v/>
      </c>
      <c r="K1276" s="7" t="n">
        <v>100</v>
      </c>
      <c r="L1276" s="5" t="inlineStr">
        <is>
          <t>Loss</t>
        </is>
      </c>
      <c r="M1276" s="6">
        <f>M1275+J1276</f>
        <v/>
      </c>
    </row>
    <row r="1277">
      <c r="A1277" s="5" t="inlineStr">
        <is>
          <t>2024-05-07</t>
        </is>
      </c>
      <c r="B1277" s="5" t="inlineStr">
        <is>
          <t>Tuesday</t>
        </is>
      </c>
      <c r="C1277" s="5" t="inlineStr">
        <is>
          <t>MNQM4</t>
        </is>
      </c>
      <c r="D1277" s="6" t="n">
        <v>18236.25</v>
      </c>
      <c r="E1277" s="6" t="n">
        <v>18197.25</v>
      </c>
      <c r="F1277" s="6">
        <f>D1277-E1277</f>
        <v/>
      </c>
      <c r="G1277" s="5" t="inlineStr">
        <is>
          <t>Long</t>
        </is>
      </c>
      <c r="H1277" s="6" t="n">
        <v>18236.25</v>
      </c>
      <c r="I1277" s="6" t="n">
        <v>18197.25</v>
      </c>
      <c r="J1277" s="6">
        <f>IF(G1277="Long",I1277-H1277,IF(G1277="Short",H1277-I1277,0))</f>
        <v/>
      </c>
      <c r="K1277" s="7" t="n">
        <v>100</v>
      </c>
      <c r="L1277" s="5" t="inlineStr">
        <is>
          <t>Loss</t>
        </is>
      </c>
      <c r="M1277" s="6">
        <f>M1276+J1277</f>
        <v/>
      </c>
    </row>
    <row r="1278">
      <c r="A1278" s="2" t="inlineStr">
        <is>
          <t>2024-05-08</t>
        </is>
      </c>
      <c r="B1278" s="2" t="inlineStr">
        <is>
          <t>Wednesday</t>
        </is>
      </c>
      <c r="C1278" s="2" t="inlineStr">
        <is>
          <t>MNQM4</t>
        </is>
      </c>
      <c r="D1278" s="3" t="n">
        <v>18126.5</v>
      </c>
      <c r="E1278" s="3" t="n">
        <v>18079</v>
      </c>
      <c r="F1278" s="3">
        <f>D1278-E1278</f>
        <v/>
      </c>
      <c r="G1278" s="2" t="inlineStr">
        <is>
          <t>Long</t>
        </is>
      </c>
      <c r="H1278" s="3" t="n">
        <v>18126.5</v>
      </c>
      <c r="I1278" s="3" t="n">
        <v>18174</v>
      </c>
      <c r="J1278" s="3">
        <f>IF(G1278="Long",I1278-H1278,IF(G1278="Short",H1278-I1278,0))</f>
        <v/>
      </c>
      <c r="K1278" s="4" t="n">
        <v>0</v>
      </c>
      <c r="L1278" s="2" t="inlineStr">
        <is>
          <t>Win</t>
        </is>
      </c>
      <c r="M1278" s="3">
        <f>M1277+J1278</f>
        <v/>
      </c>
    </row>
    <row r="1279">
      <c r="A1279" s="5" t="inlineStr">
        <is>
          <t>2024-05-09</t>
        </is>
      </c>
      <c r="B1279" s="5" t="inlineStr">
        <is>
          <t>Thursday</t>
        </is>
      </c>
      <c r="C1279" s="5" t="inlineStr">
        <is>
          <t>MNQM4</t>
        </is>
      </c>
      <c r="D1279" s="6" t="n">
        <v>18204</v>
      </c>
      <c r="E1279" s="6" t="n">
        <v>18122.75</v>
      </c>
      <c r="F1279" s="6">
        <f>D1279-E1279</f>
        <v/>
      </c>
      <c r="G1279" s="5" t="inlineStr">
        <is>
          <t>Short</t>
        </is>
      </c>
      <c r="H1279" s="6" t="n">
        <v>18122.75</v>
      </c>
      <c r="I1279" s="6" t="n">
        <v>18204</v>
      </c>
      <c r="J1279" s="6">
        <f>IF(G1279="Long",I1279-H1279,IF(G1279="Short",H1279-I1279,0))</f>
        <v/>
      </c>
      <c r="K1279" s="7" t="n">
        <v>100</v>
      </c>
      <c r="L1279" s="5" t="inlineStr">
        <is>
          <t>Loss</t>
        </is>
      </c>
      <c r="M1279" s="6">
        <f>M1278+J1279</f>
        <v/>
      </c>
    </row>
    <row r="1280">
      <c r="A1280" s="8" t="inlineStr">
        <is>
          <t>2024-05-09</t>
        </is>
      </c>
      <c r="B1280" s="8" t="inlineStr">
        <is>
          <t>Thursday</t>
        </is>
      </c>
      <c r="C1280" s="8" t="inlineStr">
        <is>
          <t>MNQM4</t>
        </is>
      </c>
      <c r="D1280" s="9" t="n">
        <v>18204</v>
      </c>
      <c r="E1280" s="9" t="n">
        <v>18122.75</v>
      </c>
      <c r="F1280" s="9">
        <f>D1280-E1280</f>
        <v/>
      </c>
      <c r="G1280" s="8" t="inlineStr">
        <is>
          <t>Long</t>
        </is>
      </c>
      <c r="H1280" s="9" t="n">
        <v>18204</v>
      </c>
      <c r="I1280" s="9" t="n">
        <v>18215.75</v>
      </c>
      <c r="J1280" s="9">
        <f>IF(G1280="Long",I1280-H1280,IF(G1280="Short",H1280-I1280,0))</f>
        <v/>
      </c>
      <c r="K1280" s="10" t="n">
        <v>41.85</v>
      </c>
      <c r="L1280" s="8" t="inlineStr">
        <is>
          <t>EOD-Close</t>
        </is>
      </c>
      <c r="M1280" s="9">
        <f>M1279+J1280</f>
        <v/>
      </c>
    </row>
    <row r="1281">
      <c r="A1281" s="5" t="inlineStr">
        <is>
          <t>2024-05-10</t>
        </is>
      </c>
      <c r="B1281" s="5" t="inlineStr">
        <is>
          <t>Friday</t>
        </is>
      </c>
      <c r="C1281" s="5" t="inlineStr">
        <is>
          <t>MNQM4</t>
        </is>
      </c>
      <c r="D1281" s="6" t="n">
        <v>18331.5</v>
      </c>
      <c r="E1281" s="6" t="n">
        <v>18256.5</v>
      </c>
      <c r="F1281" s="6">
        <f>D1281-E1281</f>
        <v/>
      </c>
      <c r="G1281" s="5" t="inlineStr">
        <is>
          <t>Long</t>
        </is>
      </c>
      <c r="H1281" s="6" t="n">
        <v>18331.5</v>
      </c>
      <c r="I1281" s="6" t="n">
        <v>18256.5</v>
      </c>
      <c r="J1281" s="6">
        <f>IF(G1281="Long",I1281-H1281,IF(G1281="Short",H1281-I1281,0))</f>
        <v/>
      </c>
      <c r="K1281" s="7" t="n">
        <v>100</v>
      </c>
      <c r="L1281" s="5" t="inlineStr">
        <is>
          <t>Loss</t>
        </is>
      </c>
      <c r="M1281" s="6">
        <f>M1280+J1281</f>
        <v/>
      </c>
    </row>
    <row r="1282">
      <c r="A1282" s="8" t="inlineStr">
        <is>
          <t>2024-05-10</t>
        </is>
      </c>
      <c r="B1282" s="8" t="inlineStr">
        <is>
          <t>Friday</t>
        </is>
      </c>
      <c r="C1282" s="8" t="inlineStr">
        <is>
          <t>MNQM4</t>
        </is>
      </c>
      <c r="D1282" s="9" t="n">
        <v>18331.5</v>
      </c>
      <c r="E1282" s="9" t="n">
        <v>18256.5</v>
      </c>
      <c r="F1282" s="9">
        <f>D1282-E1282</f>
        <v/>
      </c>
      <c r="G1282" s="8" t="inlineStr">
        <is>
          <t>Short</t>
        </is>
      </c>
      <c r="H1282" s="9" t="n">
        <v>18256.5</v>
      </c>
      <c r="I1282" s="9" t="n">
        <v>18254</v>
      </c>
      <c r="J1282" s="9">
        <f>IF(G1282="Long",I1282-H1282,IF(G1282="Short",H1282-I1282,0))</f>
        <v/>
      </c>
      <c r="K1282" s="10" t="n">
        <v>19</v>
      </c>
      <c r="L1282" s="8" t="inlineStr">
        <is>
          <t>EOD-Close</t>
        </is>
      </c>
      <c r="M1282" s="9">
        <f>M1281+J1282</f>
        <v/>
      </c>
    </row>
    <row r="1283">
      <c r="A1283" s="8" t="inlineStr">
        <is>
          <t>2024-05-13</t>
        </is>
      </c>
      <c r="B1283" s="8" t="inlineStr">
        <is>
          <t>Monday</t>
        </is>
      </c>
      <c r="C1283" s="8" t="inlineStr">
        <is>
          <t>MNQM4</t>
        </is>
      </c>
      <c r="D1283" s="9" t="n">
        <v>18336.75</v>
      </c>
      <c r="E1283" s="9" t="n">
        <v>18266.25</v>
      </c>
      <c r="F1283" s="9">
        <f>D1283-E1283</f>
        <v/>
      </c>
      <c r="G1283" s="8" t="inlineStr">
        <is>
          <t>Short</t>
        </is>
      </c>
      <c r="H1283" s="9" t="n">
        <v>18266.25</v>
      </c>
      <c r="I1283" s="9" t="n">
        <v>18295.5</v>
      </c>
      <c r="J1283" s="9">
        <f>IF(G1283="Long",I1283-H1283,IF(G1283="Short",H1283-I1283,0))</f>
        <v/>
      </c>
      <c r="K1283" s="10" t="n">
        <v>64.54000000000001</v>
      </c>
      <c r="L1283" s="8" t="inlineStr">
        <is>
          <t>EOD-Close</t>
        </is>
      </c>
      <c r="M1283" s="9">
        <f>M1282+J1283</f>
        <v/>
      </c>
    </row>
    <row r="1284">
      <c r="A1284" s="2" t="inlineStr">
        <is>
          <t>2024-05-14</t>
        </is>
      </c>
      <c r="B1284" s="2" t="inlineStr">
        <is>
          <t>Tuesday</t>
        </is>
      </c>
      <c r="C1284" s="2" t="inlineStr">
        <is>
          <t>MNQM4</t>
        </is>
      </c>
      <c r="D1284" s="3" t="n">
        <v>18318</v>
      </c>
      <c r="E1284" s="3" t="n">
        <v>18265.25</v>
      </c>
      <c r="F1284" s="3">
        <f>D1284-E1284</f>
        <v/>
      </c>
      <c r="G1284" s="2" t="inlineStr">
        <is>
          <t>Long</t>
        </is>
      </c>
      <c r="H1284" s="3" t="n">
        <v>18318</v>
      </c>
      <c r="I1284" s="3" t="n">
        <v>18370.75</v>
      </c>
      <c r="J1284" s="3">
        <f>IF(G1284="Long",I1284-H1284,IF(G1284="Short",H1284-I1284,0))</f>
        <v/>
      </c>
      <c r="K1284" s="4" t="n">
        <v>0</v>
      </c>
      <c r="L1284" s="2" t="inlineStr">
        <is>
          <t>Win</t>
        </is>
      </c>
      <c r="M1284" s="3">
        <f>M1283+J1284</f>
        <v/>
      </c>
    </row>
    <row r="1285">
      <c r="A1285" s="2" t="inlineStr">
        <is>
          <t>2024-05-14</t>
        </is>
      </c>
      <c r="B1285" s="2" t="inlineStr">
        <is>
          <t>Tuesday</t>
        </is>
      </c>
      <c r="C1285" s="2" t="inlineStr">
        <is>
          <t>MNQM4</t>
        </is>
      </c>
      <c r="D1285" s="3" t="n">
        <v>18318</v>
      </c>
      <c r="E1285" s="3" t="n">
        <v>18265.25</v>
      </c>
      <c r="F1285" s="3">
        <f>D1285-E1285</f>
        <v/>
      </c>
      <c r="G1285" s="2" t="inlineStr">
        <is>
          <t>Long</t>
        </is>
      </c>
      <c r="H1285" s="3" t="n">
        <v>18318</v>
      </c>
      <c r="I1285" s="3" t="n">
        <v>18370.75</v>
      </c>
      <c r="J1285" s="3">
        <f>IF(G1285="Long",I1285-H1285,IF(G1285="Short",H1285-I1285,0))</f>
        <v/>
      </c>
      <c r="K1285" s="4" t="n">
        <v>65.88</v>
      </c>
      <c r="L1285" s="2" t="inlineStr">
        <is>
          <t>Win</t>
        </is>
      </c>
      <c r="M1285" s="3">
        <f>M1284+J1285</f>
        <v/>
      </c>
    </row>
    <row r="1286">
      <c r="A1286" s="2" t="inlineStr">
        <is>
          <t>2024-05-15</t>
        </is>
      </c>
      <c r="B1286" s="2" t="inlineStr">
        <is>
          <t>Wednesday</t>
        </is>
      </c>
      <c r="C1286" s="2" t="inlineStr">
        <is>
          <t>MNQM4</t>
        </is>
      </c>
      <c r="D1286" s="3" t="n">
        <v>18531.75</v>
      </c>
      <c r="E1286" s="3" t="n">
        <v>18491.25</v>
      </c>
      <c r="F1286" s="3">
        <f>D1286-E1286</f>
        <v/>
      </c>
      <c r="G1286" s="2" t="inlineStr">
        <is>
          <t>Short</t>
        </is>
      </c>
      <c r="H1286" s="3" t="n">
        <v>18491.25</v>
      </c>
      <c r="I1286" s="3" t="n">
        <v>18450.75</v>
      </c>
      <c r="J1286" s="3">
        <f>IF(G1286="Long",I1286-H1286,IF(G1286="Short",H1286-I1286,0))</f>
        <v/>
      </c>
      <c r="K1286" s="4" t="n">
        <v>0</v>
      </c>
      <c r="L1286" s="2" t="inlineStr">
        <is>
          <t>Win</t>
        </is>
      </c>
      <c r="M1286" s="3">
        <f>M1285+J1286</f>
        <v/>
      </c>
    </row>
    <row r="1287">
      <c r="A1287" s="5" t="inlineStr">
        <is>
          <t>2024-05-15</t>
        </is>
      </c>
      <c r="B1287" s="5" t="inlineStr">
        <is>
          <t>Wednesday</t>
        </is>
      </c>
      <c r="C1287" s="5" t="inlineStr">
        <is>
          <t>MNQM4</t>
        </is>
      </c>
      <c r="D1287" s="6" t="n">
        <v>18531.75</v>
      </c>
      <c r="E1287" s="6" t="n">
        <v>18491.25</v>
      </c>
      <c r="F1287" s="6">
        <f>D1287-E1287</f>
        <v/>
      </c>
      <c r="G1287" s="5" t="inlineStr">
        <is>
          <t>Short</t>
        </is>
      </c>
      <c r="H1287" s="6" t="n">
        <v>18491.25</v>
      </c>
      <c r="I1287" s="6" t="n">
        <v>18531.75</v>
      </c>
      <c r="J1287" s="6">
        <f>IF(G1287="Long",I1287-H1287,IF(G1287="Short",H1287-I1287,0))</f>
        <v/>
      </c>
      <c r="K1287" s="7" t="n">
        <v>100</v>
      </c>
      <c r="L1287" s="5" t="inlineStr">
        <is>
          <t>Loss</t>
        </is>
      </c>
      <c r="M1287" s="6">
        <f>M1286+J1287</f>
        <v/>
      </c>
    </row>
    <row r="1288">
      <c r="A1288" s="2" t="inlineStr">
        <is>
          <t>2024-05-16</t>
        </is>
      </c>
      <c r="B1288" s="2" t="inlineStr">
        <is>
          <t>Thursday</t>
        </is>
      </c>
      <c r="C1288" s="2" t="inlineStr">
        <is>
          <t>MNQM4</t>
        </is>
      </c>
      <c r="D1288" s="3" t="n">
        <v>18700</v>
      </c>
      <c r="E1288" s="3" t="n">
        <v>18672</v>
      </c>
      <c r="F1288" s="3">
        <f>D1288-E1288</f>
        <v/>
      </c>
      <c r="G1288" s="2" t="inlineStr">
        <is>
          <t>Long</t>
        </is>
      </c>
      <c r="H1288" s="3" t="n">
        <v>18700</v>
      </c>
      <c r="I1288" s="3" t="n">
        <v>18728</v>
      </c>
      <c r="J1288" s="3">
        <f>IF(G1288="Long",I1288-H1288,IF(G1288="Short",H1288-I1288,0))</f>
        <v/>
      </c>
      <c r="K1288" s="4" t="n">
        <v>94.64</v>
      </c>
      <c r="L1288" s="2" t="inlineStr">
        <is>
          <t>Win</t>
        </is>
      </c>
      <c r="M1288" s="3">
        <f>M1287+J1288</f>
        <v/>
      </c>
    </row>
    <row r="1289">
      <c r="A1289" s="2" t="inlineStr">
        <is>
          <t>2024-05-16</t>
        </is>
      </c>
      <c r="B1289" s="2" t="inlineStr">
        <is>
          <t>Thursday</t>
        </is>
      </c>
      <c r="C1289" s="2" t="inlineStr">
        <is>
          <t>MNQM4</t>
        </is>
      </c>
      <c r="D1289" s="3" t="n">
        <v>18700</v>
      </c>
      <c r="E1289" s="3" t="n">
        <v>18672</v>
      </c>
      <c r="F1289" s="3">
        <f>D1289-E1289</f>
        <v/>
      </c>
      <c r="G1289" s="2" t="inlineStr">
        <is>
          <t>Long</t>
        </is>
      </c>
      <c r="H1289" s="3" t="n">
        <v>18700</v>
      </c>
      <c r="I1289" s="3" t="n">
        <v>18728</v>
      </c>
      <c r="J1289" s="3">
        <f>IF(G1289="Long",I1289-H1289,IF(G1289="Short",H1289-I1289,0))</f>
        <v/>
      </c>
      <c r="K1289" s="4" t="n">
        <v>91.06999999999999</v>
      </c>
      <c r="L1289" s="2" t="inlineStr">
        <is>
          <t>Win</t>
        </is>
      </c>
      <c r="M1289" s="3">
        <f>M1288+J1289</f>
        <v/>
      </c>
    </row>
    <row r="1290">
      <c r="A1290" s="5" t="inlineStr">
        <is>
          <t>2024-05-17</t>
        </is>
      </c>
      <c r="B1290" s="5" t="inlineStr">
        <is>
          <t>Friday</t>
        </is>
      </c>
      <c r="C1290" s="5" t="inlineStr">
        <is>
          <t>MNQM4</t>
        </is>
      </c>
      <c r="D1290" s="6" t="n">
        <v>18667.5</v>
      </c>
      <c r="E1290" s="6" t="n">
        <v>18638.25</v>
      </c>
      <c r="F1290" s="6">
        <f>D1290-E1290</f>
        <v/>
      </c>
      <c r="G1290" s="5" t="inlineStr">
        <is>
          <t>Short</t>
        </is>
      </c>
      <c r="H1290" s="6" t="n">
        <v>18638.25</v>
      </c>
      <c r="I1290" s="6" t="n">
        <v>18667.5</v>
      </c>
      <c r="J1290" s="6">
        <f>IF(G1290="Long",I1290-H1290,IF(G1290="Short",H1290-I1290,0))</f>
        <v/>
      </c>
      <c r="K1290" s="7" t="n">
        <v>100</v>
      </c>
      <c r="L1290" s="5" t="inlineStr">
        <is>
          <t>Loss</t>
        </is>
      </c>
      <c r="M1290" s="6">
        <f>M1289+J1290</f>
        <v/>
      </c>
    </row>
    <row r="1291">
      <c r="A1291" s="5" t="inlineStr">
        <is>
          <t>2024-05-17</t>
        </is>
      </c>
      <c r="B1291" s="5" t="inlineStr">
        <is>
          <t>Friday</t>
        </is>
      </c>
      <c r="C1291" s="5" t="inlineStr">
        <is>
          <t>MNQM4</t>
        </is>
      </c>
      <c r="D1291" s="6" t="n">
        <v>18667.5</v>
      </c>
      <c r="E1291" s="6" t="n">
        <v>18638.25</v>
      </c>
      <c r="F1291" s="6">
        <f>D1291-E1291</f>
        <v/>
      </c>
      <c r="G1291" s="5" t="inlineStr">
        <is>
          <t>Long</t>
        </is>
      </c>
      <c r="H1291" s="6" t="n">
        <v>18667.5</v>
      </c>
      <c r="I1291" s="6" t="n">
        <v>18638.25</v>
      </c>
      <c r="J1291" s="6">
        <f>IF(G1291="Long",I1291-H1291,IF(G1291="Short",H1291-I1291,0))</f>
        <v/>
      </c>
      <c r="K1291" s="7" t="n">
        <v>100</v>
      </c>
      <c r="L1291" s="5" t="inlineStr">
        <is>
          <t>Loss</t>
        </is>
      </c>
      <c r="M1291" s="6">
        <f>M1290+J1291</f>
        <v/>
      </c>
    </row>
    <row r="1292">
      <c r="A1292" s="2" t="inlineStr">
        <is>
          <t>2024-05-20</t>
        </is>
      </c>
      <c r="B1292" s="2" t="inlineStr">
        <is>
          <t>Monday</t>
        </is>
      </c>
      <c r="C1292" s="2" t="inlineStr">
        <is>
          <t>MNQM4</t>
        </is>
      </c>
      <c r="D1292" s="3" t="n">
        <v>18710.75</v>
      </c>
      <c r="E1292" s="3" t="n">
        <v>18635.25</v>
      </c>
      <c r="F1292" s="3">
        <f>D1292-E1292</f>
        <v/>
      </c>
      <c r="G1292" s="2" t="inlineStr">
        <is>
          <t>Long</t>
        </is>
      </c>
      <c r="H1292" s="3" t="n">
        <v>18710.75</v>
      </c>
      <c r="I1292" s="3" t="n">
        <v>18786.25</v>
      </c>
      <c r="J1292" s="3">
        <f>IF(G1292="Long",I1292-H1292,IF(G1292="Short",H1292-I1292,0))</f>
        <v/>
      </c>
      <c r="K1292" s="4" t="n">
        <v>0</v>
      </c>
      <c r="L1292" s="2" t="inlineStr">
        <is>
          <t>Win</t>
        </is>
      </c>
      <c r="M1292" s="3">
        <f>M1291+J1292</f>
        <v/>
      </c>
    </row>
    <row r="1293">
      <c r="A1293" s="8" t="inlineStr">
        <is>
          <t>2024-05-20</t>
        </is>
      </c>
      <c r="B1293" s="8" t="inlineStr">
        <is>
          <t>Monday</t>
        </is>
      </c>
      <c r="C1293" s="8" t="inlineStr">
        <is>
          <t>MNQM4</t>
        </is>
      </c>
      <c r="D1293" s="9" t="n">
        <v>18710.75</v>
      </c>
      <c r="E1293" s="9" t="n">
        <v>18635.25</v>
      </c>
      <c r="F1293" s="9">
        <f>D1293-E1293</f>
        <v/>
      </c>
      <c r="G1293" s="8" t="inlineStr">
        <is>
          <t>Long</t>
        </is>
      </c>
      <c r="H1293" s="9" t="n">
        <v>18710.75</v>
      </c>
      <c r="I1293" s="9" t="n">
        <v>18766.5</v>
      </c>
      <c r="J1293" s="9">
        <f>IF(G1293="Long",I1293-H1293,IF(G1293="Short",H1293-I1293,0))</f>
        <v/>
      </c>
      <c r="K1293" s="10" t="n">
        <v>4.64</v>
      </c>
      <c r="L1293" s="8" t="inlineStr">
        <is>
          <t>EOD-Close</t>
        </is>
      </c>
      <c r="M1293" s="9">
        <f>M1292+J1293</f>
        <v/>
      </c>
    </row>
    <row r="1294">
      <c r="A1294" s="2" t="inlineStr">
        <is>
          <t>2024-05-21</t>
        </is>
      </c>
      <c r="B1294" s="2" t="inlineStr">
        <is>
          <t>Tuesday</t>
        </is>
      </c>
      <c r="C1294" s="2" t="inlineStr">
        <is>
          <t>MNQM4</t>
        </is>
      </c>
      <c r="D1294" s="3" t="n">
        <v>18714</v>
      </c>
      <c r="E1294" s="3" t="n">
        <v>18678</v>
      </c>
      <c r="F1294" s="3">
        <f>D1294-E1294</f>
        <v/>
      </c>
      <c r="G1294" s="2" t="inlineStr">
        <is>
          <t>Long</t>
        </is>
      </c>
      <c r="H1294" s="3" t="n">
        <v>18714</v>
      </c>
      <c r="I1294" s="3" t="n">
        <v>18750</v>
      </c>
      <c r="J1294" s="3">
        <f>IF(G1294="Long",I1294-H1294,IF(G1294="Short",H1294-I1294,0))</f>
        <v/>
      </c>
      <c r="K1294" s="4" t="n">
        <v>38.89</v>
      </c>
      <c r="L1294" s="2" t="inlineStr">
        <is>
          <t>Win</t>
        </is>
      </c>
      <c r="M1294" s="3">
        <f>M1293+J1294</f>
        <v/>
      </c>
    </row>
    <row r="1295">
      <c r="A1295" s="5" t="inlineStr">
        <is>
          <t>2024-05-22</t>
        </is>
      </c>
      <c r="B1295" s="5" t="inlineStr">
        <is>
          <t>Wednesday</t>
        </is>
      </c>
      <c r="C1295" s="5" t="inlineStr">
        <is>
          <t>MNQM4</t>
        </is>
      </c>
      <c r="D1295" s="6" t="n">
        <v>18826.5</v>
      </c>
      <c r="E1295" s="6" t="n">
        <v>18789</v>
      </c>
      <c r="F1295" s="6">
        <f>D1295-E1295</f>
        <v/>
      </c>
      <c r="G1295" s="5" t="inlineStr">
        <is>
          <t>Long</t>
        </is>
      </c>
      <c r="H1295" s="6" t="n">
        <v>18826.5</v>
      </c>
      <c r="I1295" s="6" t="n">
        <v>18789</v>
      </c>
      <c r="J1295" s="6">
        <f>IF(G1295="Long",I1295-H1295,IF(G1295="Short",H1295-I1295,0))</f>
        <v/>
      </c>
      <c r="K1295" s="7" t="n">
        <v>100</v>
      </c>
      <c r="L1295" s="5" t="inlineStr">
        <is>
          <t>Loss</t>
        </is>
      </c>
      <c r="M1295" s="6">
        <f>M1294+J1295</f>
        <v/>
      </c>
    </row>
    <row r="1296">
      <c r="A1296" s="2" t="inlineStr">
        <is>
          <t>2024-05-22</t>
        </is>
      </c>
      <c r="B1296" s="2" t="inlineStr">
        <is>
          <t>Wednesday</t>
        </is>
      </c>
      <c r="C1296" s="2" t="inlineStr">
        <is>
          <t>MNQM4</t>
        </is>
      </c>
      <c r="D1296" s="3" t="n">
        <v>18826.5</v>
      </c>
      <c r="E1296" s="3" t="n">
        <v>18789</v>
      </c>
      <c r="F1296" s="3">
        <f>D1296-E1296</f>
        <v/>
      </c>
      <c r="G1296" s="2" t="inlineStr">
        <is>
          <t>Short</t>
        </is>
      </c>
      <c r="H1296" s="3" t="n">
        <v>18789</v>
      </c>
      <c r="I1296" s="3" t="n">
        <v>18751.5</v>
      </c>
      <c r="J1296" s="3">
        <f>IF(G1296="Long",I1296-H1296,IF(G1296="Short",H1296-I1296,0))</f>
        <v/>
      </c>
      <c r="K1296" s="4" t="n">
        <v>0</v>
      </c>
      <c r="L1296" s="2" t="inlineStr">
        <is>
          <t>Win</t>
        </is>
      </c>
      <c r="M1296" s="3">
        <f>M1295+J1296</f>
        <v/>
      </c>
    </row>
    <row r="1297">
      <c r="A1297" s="2" t="inlineStr">
        <is>
          <t>2024-05-23</t>
        </is>
      </c>
      <c r="B1297" s="2" t="inlineStr">
        <is>
          <t>Thursday</t>
        </is>
      </c>
      <c r="C1297" s="2" t="inlineStr">
        <is>
          <t>MNQM4</t>
        </is>
      </c>
      <c r="D1297" s="3" t="n">
        <v>18982.5</v>
      </c>
      <c r="E1297" s="3" t="n">
        <v>18911.5</v>
      </c>
      <c r="F1297" s="3">
        <f>D1297-E1297</f>
        <v/>
      </c>
      <c r="G1297" s="2" t="inlineStr">
        <is>
          <t>Short</t>
        </is>
      </c>
      <c r="H1297" s="3" t="n">
        <v>18911.5</v>
      </c>
      <c r="I1297" s="3" t="n">
        <v>18840.5</v>
      </c>
      <c r="J1297" s="3">
        <f>IF(G1297="Long",I1297-H1297,IF(G1297="Short",H1297-I1297,0))</f>
        <v/>
      </c>
      <c r="K1297" s="4" t="n">
        <v>1.06</v>
      </c>
      <c r="L1297" s="2" t="inlineStr">
        <is>
          <t>Win</t>
        </is>
      </c>
      <c r="M1297" s="3">
        <f>M1296+J1297</f>
        <v/>
      </c>
    </row>
    <row r="1298">
      <c r="A1298" s="2" t="inlineStr">
        <is>
          <t>2024-05-23</t>
        </is>
      </c>
      <c r="B1298" s="2" t="inlineStr">
        <is>
          <t>Thursday</t>
        </is>
      </c>
      <c r="C1298" s="2" t="inlineStr">
        <is>
          <t>MNQM4</t>
        </is>
      </c>
      <c r="D1298" s="3" t="n">
        <v>18982.5</v>
      </c>
      <c r="E1298" s="3" t="n">
        <v>18911.5</v>
      </c>
      <c r="F1298" s="3">
        <f>D1298-E1298</f>
        <v/>
      </c>
      <c r="G1298" s="2" t="inlineStr">
        <is>
          <t>Short</t>
        </is>
      </c>
      <c r="H1298" s="3" t="n">
        <v>18911.5</v>
      </c>
      <c r="I1298" s="3" t="n">
        <v>18840.5</v>
      </c>
      <c r="J1298" s="3">
        <f>IF(G1298="Long",I1298-H1298,IF(G1298="Short",H1298-I1298,0))</f>
        <v/>
      </c>
      <c r="K1298" s="4" t="n">
        <v>5.63</v>
      </c>
      <c r="L1298" s="2" t="inlineStr">
        <is>
          <t>Win</t>
        </is>
      </c>
      <c r="M1298" s="3">
        <f>M1297+J1298</f>
        <v/>
      </c>
    </row>
    <row r="1299">
      <c r="A1299" s="2" t="inlineStr">
        <is>
          <t>2024-05-24</t>
        </is>
      </c>
      <c r="B1299" s="2" t="inlineStr">
        <is>
          <t>Friday</t>
        </is>
      </c>
      <c r="C1299" s="2" t="inlineStr">
        <is>
          <t>MNQM4</t>
        </is>
      </c>
      <c r="D1299" s="3" t="n">
        <v>18777.25</v>
      </c>
      <c r="E1299" s="3" t="n">
        <v>18733.25</v>
      </c>
      <c r="F1299" s="3">
        <f>D1299-E1299</f>
        <v/>
      </c>
      <c r="G1299" s="2" t="inlineStr">
        <is>
          <t>Long</t>
        </is>
      </c>
      <c r="H1299" s="3" t="n">
        <v>18777.25</v>
      </c>
      <c r="I1299" s="3" t="n">
        <v>18821.25</v>
      </c>
      <c r="J1299" s="3">
        <f>IF(G1299="Long",I1299-H1299,IF(G1299="Short",H1299-I1299,0))</f>
        <v/>
      </c>
      <c r="K1299" s="4" t="n">
        <v>5.11</v>
      </c>
      <c r="L1299" s="2" t="inlineStr">
        <is>
          <t>Win</t>
        </is>
      </c>
      <c r="M1299" s="3">
        <f>M1298+J1299</f>
        <v/>
      </c>
    </row>
    <row r="1300">
      <c r="A1300" s="2" t="inlineStr">
        <is>
          <t>2024-05-27</t>
        </is>
      </c>
      <c r="B1300" s="2" t="inlineStr">
        <is>
          <t>Monday</t>
        </is>
      </c>
      <c r="C1300" s="2" t="inlineStr">
        <is>
          <t>MNQM4</t>
        </is>
      </c>
      <c r="D1300" s="3" t="n">
        <v>18911.25</v>
      </c>
      <c r="E1300" s="3" t="n">
        <v>18877.25</v>
      </c>
      <c r="F1300" s="3">
        <f>D1300-E1300</f>
        <v/>
      </c>
      <c r="G1300" s="2" t="inlineStr">
        <is>
          <t>Long</t>
        </is>
      </c>
      <c r="H1300" s="3" t="n">
        <v>18911.25</v>
      </c>
      <c r="I1300" s="3" t="n">
        <v>18945.25</v>
      </c>
      <c r="J1300" s="3">
        <f>IF(G1300="Long",I1300-H1300,IF(G1300="Short",H1300-I1300,0))</f>
        <v/>
      </c>
      <c r="K1300" s="4" t="n">
        <v>0</v>
      </c>
      <c r="L1300" s="2" t="inlineStr">
        <is>
          <t>Win</t>
        </is>
      </c>
      <c r="M1300" s="3">
        <f>M1299+J1300</f>
        <v/>
      </c>
    </row>
    <row r="1301">
      <c r="A1301" s="5" t="inlineStr">
        <is>
          <t>2024-05-28</t>
        </is>
      </c>
      <c r="B1301" s="5" t="inlineStr">
        <is>
          <t>Tuesday</t>
        </is>
      </c>
      <c r="C1301" s="5" t="inlineStr">
        <is>
          <t>MNQM4</t>
        </is>
      </c>
      <c r="D1301" s="6" t="n">
        <v>18937</v>
      </c>
      <c r="E1301" s="6" t="n">
        <v>18869.5</v>
      </c>
      <c r="F1301" s="6">
        <f>D1301-E1301</f>
        <v/>
      </c>
      <c r="G1301" s="5" t="inlineStr">
        <is>
          <t>Short</t>
        </is>
      </c>
      <c r="H1301" s="6" t="n">
        <v>18869.5</v>
      </c>
      <c r="I1301" s="6" t="n">
        <v>18937</v>
      </c>
      <c r="J1301" s="6">
        <f>IF(G1301="Long",I1301-H1301,IF(G1301="Short",H1301-I1301,0))</f>
        <v/>
      </c>
      <c r="K1301" s="7" t="n">
        <v>100</v>
      </c>
      <c r="L1301" s="5" t="inlineStr">
        <is>
          <t>Loss</t>
        </is>
      </c>
      <c r="M1301" s="6">
        <f>M1300+J1301</f>
        <v/>
      </c>
    </row>
    <row r="1302">
      <c r="A1302" s="5" t="inlineStr">
        <is>
          <t>2024-05-28</t>
        </is>
      </c>
      <c r="B1302" s="5" t="inlineStr">
        <is>
          <t>Tuesday</t>
        </is>
      </c>
      <c r="C1302" s="5" t="inlineStr">
        <is>
          <t>MNQM4</t>
        </is>
      </c>
      <c r="D1302" s="6" t="n">
        <v>18937</v>
      </c>
      <c r="E1302" s="6" t="n">
        <v>18869.5</v>
      </c>
      <c r="F1302" s="6">
        <f>D1302-E1302</f>
        <v/>
      </c>
      <c r="G1302" s="5" t="inlineStr">
        <is>
          <t>Long</t>
        </is>
      </c>
      <c r="H1302" s="6" t="n">
        <v>18937</v>
      </c>
      <c r="I1302" s="6" t="n">
        <v>18869.5</v>
      </c>
      <c r="J1302" s="6">
        <f>IF(G1302="Long",I1302-H1302,IF(G1302="Short",H1302-I1302,0))</f>
        <v/>
      </c>
      <c r="K1302" s="7" t="n">
        <v>100</v>
      </c>
      <c r="L1302" s="5" t="inlineStr">
        <is>
          <t>Loss</t>
        </is>
      </c>
      <c r="M1302" s="6">
        <f>M1301+J1302</f>
        <v/>
      </c>
    </row>
    <row r="1303">
      <c r="A1303" s="2" t="inlineStr">
        <is>
          <t>2024-05-29</t>
        </is>
      </c>
      <c r="B1303" s="2" t="inlineStr">
        <is>
          <t>Wednesday</t>
        </is>
      </c>
      <c r="C1303" s="2" t="inlineStr">
        <is>
          <t>MNQM4</t>
        </is>
      </c>
      <c r="D1303" s="3" t="n">
        <v>18817.75</v>
      </c>
      <c r="E1303" s="3" t="n">
        <v>18761</v>
      </c>
      <c r="F1303" s="3">
        <f>D1303-E1303</f>
        <v/>
      </c>
      <c r="G1303" s="2" t="inlineStr">
        <is>
          <t>Long</t>
        </is>
      </c>
      <c r="H1303" s="3" t="n">
        <v>18817.75</v>
      </c>
      <c r="I1303" s="3" t="n">
        <v>18874.5</v>
      </c>
      <c r="J1303" s="3">
        <f>IF(G1303="Long",I1303-H1303,IF(G1303="Short",H1303-I1303,0))</f>
        <v/>
      </c>
      <c r="K1303" s="4" t="n">
        <v>12.33</v>
      </c>
      <c r="L1303" s="2" t="inlineStr">
        <is>
          <t>Win</t>
        </is>
      </c>
      <c r="M1303" s="3">
        <f>M1302+J1303</f>
        <v/>
      </c>
    </row>
    <row r="1304">
      <c r="A1304" s="8" t="inlineStr">
        <is>
          <t>2024-05-29</t>
        </is>
      </c>
      <c r="B1304" s="8" t="inlineStr">
        <is>
          <t>Wednesday</t>
        </is>
      </c>
      <c r="C1304" s="8" t="inlineStr">
        <is>
          <t>MNQM4</t>
        </is>
      </c>
      <c r="D1304" s="9" t="n">
        <v>18817.75</v>
      </c>
      <c r="E1304" s="9" t="n">
        <v>18761</v>
      </c>
      <c r="F1304" s="9">
        <f>D1304-E1304</f>
        <v/>
      </c>
      <c r="G1304" s="8" t="inlineStr">
        <is>
          <t>Long</t>
        </is>
      </c>
      <c r="H1304" s="9" t="n">
        <v>18817.75</v>
      </c>
      <c r="I1304" s="9" t="n">
        <v>18811</v>
      </c>
      <c r="J1304" s="9">
        <f>IF(G1304="Long",I1304-H1304,IF(G1304="Short",H1304-I1304,0))</f>
        <v/>
      </c>
      <c r="K1304" s="10" t="n">
        <v>57.71</v>
      </c>
      <c r="L1304" s="8" t="inlineStr">
        <is>
          <t>EOD-Close</t>
        </is>
      </c>
      <c r="M1304" s="9">
        <f>M1303+J1304</f>
        <v/>
      </c>
    </row>
    <row r="1305">
      <c r="A1305" s="2" t="inlineStr">
        <is>
          <t>2024-05-30</t>
        </is>
      </c>
      <c r="B1305" s="2" t="inlineStr">
        <is>
          <t>Thursday</t>
        </is>
      </c>
      <c r="C1305" s="2" t="inlineStr">
        <is>
          <t>MNQM4</t>
        </is>
      </c>
      <c r="D1305" s="3" t="n">
        <v>18769.25</v>
      </c>
      <c r="E1305" s="3" t="n">
        <v>18696.5</v>
      </c>
      <c r="F1305" s="3">
        <f>D1305-E1305</f>
        <v/>
      </c>
      <c r="G1305" s="2" t="inlineStr">
        <is>
          <t>Short</t>
        </is>
      </c>
      <c r="H1305" s="3" t="n">
        <v>18696.5</v>
      </c>
      <c r="I1305" s="3" t="n">
        <v>18623.75</v>
      </c>
      <c r="J1305" s="3">
        <f>IF(G1305="Long",I1305-H1305,IF(G1305="Short",H1305-I1305,0))</f>
        <v/>
      </c>
      <c r="K1305" s="4" t="n">
        <v>3.44</v>
      </c>
      <c r="L1305" s="2" t="inlineStr">
        <is>
          <t>Win</t>
        </is>
      </c>
      <c r="M1305" s="3">
        <f>M1304+J1305</f>
        <v/>
      </c>
    </row>
    <row r="1306">
      <c r="A1306" s="2" t="inlineStr">
        <is>
          <t>2024-05-30</t>
        </is>
      </c>
      <c r="B1306" s="2" t="inlineStr">
        <is>
          <t>Thursday</t>
        </is>
      </c>
      <c r="C1306" s="2" t="inlineStr">
        <is>
          <t>MNQM4</t>
        </is>
      </c>
      <c r="D1306" s="3" t="n">
        <v>18769.25</v>
      </c>
      <c r="E1306" s="3" t="n">
        <v>18696.5</v>
      </c>
      <c r="F1306" s="3">
        <f>D1306-E1306</f>
        <v/>
      </c>
      <c r="G1306" s="2" t="inlineStr">
        <is>
          <t>Short</t>
        </is>
      </c>
      <c r="H1306" s="3" t="n">
        <v>18696.5</v>
      </c>
      <c r="I1306" s="3" t="n">
        <v>18623.75</v>
      </c>
      <c r="J1306" s="3">
        <f>IF(G1306="Long",I1306-H1306,IF(G1306="Short",H1306-I1306,0))</f>
        <v/>
      </c>
      <c r="K1306" s="4" t="n">
        <v>44.67</v>
      </c>
      <c r="L1306" s="2" t="inlineStr">
        <is>
          <t>Win</t>
        </is>
      </c>
      <c r="M1306" s="3">
        <f>M1305+J1306</f>
        <v/>
      </c>
    </row>
    <row r="1307">
      <c r="A1307" s="2" t="inlineStr">
        <is>
          <t>2024-05-31</t>
        </is>
      </c>
      <c r="B1307" s="2" t="inlineStr">
        <is>
          <t>Friday</t>
        </is>
      </c>
      <c r="C1307" s="2" t="inlineStr">
        <is>
          <t>MNQM4</t>
        </is>
      </c>
      <c r="D1307" s="3" t="n">
        <v>18630.75</v>
      </c>
      <c r="E1307" s="3" t="n">
        <v>18575</v>
      </c>
      <c r="F1307" s="3">
        <f>D1307-E1307</f>
        <v/>
      </c>
      <c r="G1307" s="2" t="inlineStr">
        <is>
          <t>Short</t>
        </is>
      </c>
      <c r="H1307" s="3" t="n">
        <v>18575</v>
      </c>
      <c r="I1307" s="3" t="n">
        <v>18519.25</v>
      </c>
      <c r="J1307" s="3">
        <f>IF(G1307="Long",I1307-H1307,IF(G1307="Short",H1307-I1307,0))</f>
        <v/>
      </c>
      <c r="K1307" s="4" t="n">
        <v>0</v>
      </c>
      <c r="L1307" s="2" t="inlineStr">
        <is>
          <t>Win</t>
        </is>
      </c>
      <c r="M1307" s="3">
        <f>M1306+J1307</f>
        <v/>
      </c>
    </row>
    <row r="1308">
      <c r="A1308" s="8" t="inlineStr">
        <is>
          <t>2024-05-31</t>
        </is>
      </c>
      <c r="B1308" s="8" t="inlineStr">
        <is>
          <t>Friday</t>
        </is>
      </c>
      <c r="C1308" s="8" t="inlineStr">
        <is>
          <t>MNQM4</t>
        </is>
      </c>
      <c r="D1308" s="9" t="n">
        <v>18630.75</v>
      </c>
      <c r="E1308" s="9" t="n">
        <v>18575</v>
      </c>
      <c r="F1308" s="9">
        <f>D1308-E1308</f>
        <v/>
      </c>
      <c r="G1308" s="8" t="inlineStr">
        <is>
          <t>Short</t>
        </is>
      </c>
      <c r="H1308" s="9" t="n">
        <v>18575</v>
      </c>
      <c r="I1308" s="9" t="n">
        <v>18598.75</v>
      </c>
      <c r="J1308" s="9">
        <f>IF(G1308="Long",I1308-H1308,IF(G1308="Short",H1308-I1308,0))</f>
        <v/>
      </c>
      <c r="K1308" s="10" t="n">
        <v>46.64</v>
      </c>
      <c r="L1308" s="8" t="inlineStr">
        <is>
          <t>EOD-Close</t>
        </is>
      </c>
      <c r="M1308" s="9">
        <f>M1307+J1308</f>
        <v/>
      </c>
    </row>
    <row r="1309">
      <c r="A1309" s="2" t="inlineStr">
        <is>
          <t>2024-06-03</t>
        </is>
      </c>
      <c r="B1309" s="2" t="inlineStr">
        <is>
          <t>Monday</t>
        </is>
      </c>
      <c r="C1309" s="2" t="inlineStr">
        <is>
          <t>MNQM4</t>
        </is>
      </c>
      <c r="D1309" s="3" t="n">
        <v>18749.75</v>
      </c>
      <c r="E1309" s="3" t="n">
        <v>18698.25</v>
      </c>
      <c r="F1309" s="3">
        <f>D1309-E1309</f>
        <v/>
      </c>
      <c r="G1309" s="2" t="inlineStr">
        <is>
          <t>Short</t>
        </is>
      </c>
      <c r="H1309" s="3" t="n">
        <v>18698.25</v>
      </c>
      <c r="I1309" s="3" t="n">
        <v>18646.75</v>
      </c>
      <c r="J1309" s="3">
        <f>IF(G1309="Long",I1309-H1309,IF(G1309="Short",H1309-I1309,0))</f>
        <v/>
      </c>
      <c r="K1309" s="4" t="n">
        <v>61.17</v>
      </c>
      <c r="L1309" s="2" t="inlineStr">
        <is>
          <t>Win</t>
        </is>
      </c>
      <c r="M1309" s="3">
        <f>M1308+J1309</f>
        <v/>
      </c>
    </row>
    <row r="1310">
      <c r="A1310" s="2" t="inlineStr">
        <is>
          <t>2024-06-03</t>
        </is>
      </c>
      <c r="B1310" s="2" t="inlineStr">
        <is>
          <t>Monday</t>
        </is>
      </c>
      <c r="C1310" s="2" t="inlineStr">
        <is>
          <t>MNQM4</t>
        </is>
      </c>
      <c r="D1310" s="3" t="n">
        <v>18749.75</v>
      </c>
      <c r="E1310" s="3" t="n">
        <v>18698.25</v>
      </c>
      <c r="F1310" s="3">
        <f>D1310-E1310</f>
        <v/>
      </c>
      <c r="G1310" s="2" t="inlineStr">
        <is>
          <t>Short</t>
        </is>
      </c>
      <c r="H1310" s="3" t="n">
        <v>18698.25</v>
      </c>
      <c r="I1310" s="3" t="n">
        <v>18646.75</v>
      </c>
      <c r="J1310" s="3">
        <f>IF(G1310="Long",I1310-H1310,IF(G1310="Short",H1310-I1310,0))</f>
        <v/>
      </c>
      <c r="K1310" s="4" t="n">
        <v>23.79</v>
      </c>
      <c r="L1310" s="2" t="inlineStr">
        <is>
          <t>Win</t>
        </is>
      </c>
      <c r="M1310" s="3">
        <f>M1309+J1310</f>
        <v/>
      </c>
    </row>
    <row r="1311">
      <c r="A1311" s="5" t="inlineStr">
        <is>
          <t>2024-06-04</t>
        </is>
      </c>
      <c r="B1311" s="5" t="inlineStr">
        <is>
          <t>Tuesday</t>
        </is>
      </c>
      <c r="C1311" s="5" t="inlineStr">
        <is>
          <t>MNQM4</t>
        </is>
      </c>
      <c r="D1311" s="6" t="n">
        <v>18650.75</v>
      </c>
      <c r="E1311" s="6" t="n">
        <v>18581.5</v>
      </c>
      <c r="F1311" s="6">
        <f>D1311-E1311</f>
        <v/>
      </c>
      <c r="G1311" s="5" t="inlineStr">
        <is>
          <t>Short</t>
        </is>
      </c>
      <c r="H1311" s="6" t="n">
        <v>18581.5</v>
      </c>
      <c r="I1311" s="6" t="n">
        <v>18650.75</v>
      </c>
      <c r="J1311" s="6">
        <f>IF(G1311="Long",I1311-H1311,IF(G1311="Short",H1311-I1311,0))</f>
        <v/>
      </c>
      <c r="K1311" s="7" t="n">
        <v>100</v>
      </c>
      <c r="L1311" s="5" t="inlineStr">
        <is>
          <t>Loss</t>
        </is>
      </c>
      <c r="M1311" s="6">
        <f>M1310+J1311</f>
        <v/>
      </c>
    </row>
    <row r="1312">
      <c r="A1312" s="5" t="inlineStr">
        <is>
          <t>2024-06-04</t>
        </is>
      </c>
      <c r="B1312" s="5" t="inlineStr">
        <is>
          <t>Tuesday</t>
        </is>
      </c>
      <c r="C1312" s="5" t="inlineStr">
        <is>
          <t>MNQM4</t>
        </is>
      </c>
      <c r="D1312" s="6" t="n">
        <v>18650.75</v>
      </c>
      <c r="E1312" s="6" t="n">
        <v>18581.5</v>
      </c>
      <c r="F1312" s="6">
        <f>D1312-E1312</f>
        <v/>
      </c>
      <c r="G1312" s="5" t="inlineStr">
        <is>
          <t>Short</t>
        </is>
      </c>
      <c r="H1312" s="6" t="n">
        <v>18581.5</v>
      </c>
      <c r="I1312" s="6" t="n">
        <v>18650.75</v>
      </c>
      <c r="J1312" s="6">
        <f>IF(G1312="Long",I1312-H1312,IF(G1312="Short",H1312-I1312,0))</f>
        <v/>
      </c>
      <c r="K1312" s="7" t="n">
        <v>100</v>
      </c>
      <c r="L1312" s="5" t="inlineStr">
        <is>
          <t>Loss</t>
        </is>
      </c>
      <c r="M1312" s="6">
        <f>M1311+J1312</f>
        <v/>
      </c>
    </row>
    <row r="1313">
      <c r="A1313" s="5" t="inlineStr">
        <is>
          <t>2024-06-05</t>
        </is>
      </c>
      <c r="B1313" s="5" t="inlineStr">
        <is>
          <t>Wednesday</t>
        </is>
      </c>
      <c r="C1313" s="5" t="inlineStr">
        <is>
          <t>MNQM4</t>
        </is>
      </c>
      <c r="D1313" s="6" t="n">
        <v>18852.5</v>
      </c>
      <c r="E1313" s="6" t="n">
        <v>18813.5</v>
      </c>
      <c r="F1313" s="6">
        <f>D1313-E1313</f>
        <v/>
      </c>
      <c r="G1313" s="5" t="inlineStr">
        <is>
          <t>Long</t>
        </is>
      </c>
      <c r="H1313" s="6" t="n">
        <v>18852.5</v>
      </c>
      <c r="I1313" s="6" t="n">
        <v>18813.5</v>
      </c>
      <c r="J1313" s="6">
        <f>IF(G1313="Long",I1313-H1313,IF(G1313="Short",H1313-I1313,0))</f>
        <v/>
      </c>
      <c r="K1313" s="7" t="n">
        <v>100</v>
      </c>
      <c r="L1313" s="5" t="inlineStr">
        <is>
          <t>Loss</t>
        </is>
      </c>
      <c r="M1313" s="6">
        <f>M1312+J1313</f>
        <v/>
      </c>
    </row>
    <row r="1314">
      <c r="A1314" s="2" t="inlineStr">
        <is>
          <t>2024-06-05</t>
        </is>
      </c>
      <c r="B1314" s="2" t="inlineStr">
        <is>
          <t>Wednesday</t>
        </is>
      </c>
      <c r="C1314" s="2" t="inlineStr">
        <is>
          <t>MNQM4</t>
        </is>
      </c>
      <c r="D1314" s="3" t="n">
        <v>18852.5</v>
      </c>
      <c r="E1314" s="3" t="n">
        <v>18813.5</v>
      </c>
      <c r="F1314" s="3">
        <f>D1314-E1314</f>
        <v/>
      </c>
      <c r="G1314" s="2" t="inlineStr">
        <is>
          <t>Long</t>
        </is>
      </c>
      <c r="H1314" s="3" t="n">
        <v>18852.5</v>
      </c>
      <c r="I1314" s="3" t="n">
        <v>18891.5</v>
      </c>
      <c r="J1314" s="3">
        <f>IF(G1314="Long",I1314-H1314,IF(G1314="Short",H1314-I1314,0))</f>
        <v/>
      </c>
      <c r="K1314" s="4" t="n">
        <v>0</v>
      </c>
      <c r="L1314" s="2" t="inlineStr">
        <is>
          <t>Win</t>
        </is>
      </c>
      <c r="M1314" s="3">
        <f>M1313+J1314</f>
        <v/>
      </c>
    </row>
    <row r="1315">
      <c r="A1315" s="2" t="inlineStr">
        <is>
          <t>2024-06-06</t>
        </is>
      </c>
      <c r="B1315" s="2" t="inlineStr">
        <is>
          <t>Thursday</t>
        </is>
      </c>
      <c r="C1315" s="2" t="inlineStr">
        <is>
          <t>MNQM4</t>
        </is>
      </c>
      <c r="D1315" s="3" t="n">
        <v>19115.75</v>
      </c>
      <c r="E1315" s="3" t="n">
        <v>19085.25</v>
      </c>
      <c r="F1315" s="3">
        <f>D1315-E1315</f>
        <v/>
      </c>
      <c r="G1315" s="2" t="inlineStr">
        <is>
          <t>Short</t>
        </is>
      </c>
      <c r="H1315" s="3" t="n">
        <v>19085.25</v>
      </c>
      <c r="I1315" s="3" t="n">
        <v>19054.75</v>
      </c>
      <c r="J1315" s="3">
        <f>IF(G1315="Long",I1315-H1315,IF(G1315="Short",H1315-I1315,0))</f>
        <v/>
      </c>
      <c r="K1315" s="4" t="n">
        <v>0</v>
      </c>
      <c r="L1315" s="2" t="inlineStr">
        <is>
          <t>Win</t>
        </is>
      </c>
      <c r="M1315" s="3">
        <f>M1314+J1315</f>
        <v/>
      </c>
    </row>
    <row r="1316">
      <c r="A1316" s="2" t="inlineStr">
        <is>
          <t>2024-06-06</t>
        </is>
      </c>
      <c r="B1316" s="2" t="inlineStr">
        <is>
          <t>Thursday</t>
        </is>
      </c>
      <c r="C1316" s="2" t="inlineStr">
        <is>
          <t>MNQM4</t>
        </is>
      </c>
      <c r="D1316" s="3" t="n">
        <v>19115.75</v>
      </c>
      <c r="E1316" s="3" t="n">
        <v>19085.25</v>
      </c>
      <c r="F1316" s="3">
        <f>D1316-E1316</f>
        <v/>
      </c>
      <c r="G1316" s="2" t="inlineStr">
        <is>
          <t>Short</t>
        </is>
      </c>
      <c r="H1316" s="3" t="n">
        <v>19085.25</v>
      </c>
      <c r="I1316" s="3" t="n">
        <v>19054.75</v>
      </c>
      <c r="J1316" s="3">
        <f>IF(G1316="Long",I1316-H1316,IF(G1316="Short",H1316-I1316,0))</f>
        <v/>
      </c>
      <c r="K1316" s="4" t="n">
        <v>6.56</v>
      </c>
      <c r="L1316" s="2" t="inlineStr">
        <is>
          <t>Win</t>
        </is>
      </c>
      <c r="M1316" s="3">
        <f>M1315+J1316</f>
        <v/>
      </c>
    </row>
    <row r="1317">
      <c r="A1317" s="2" t="inlineStr">
        <is>
          <t>2024-06-07</t>
        </is>
      </c>
      <c r="B1317" s="2" t="inlineStr">
        <is>
          <t>Friday</t>
        </is>
      </c>
      <c r="C1317" s="2" t="inlineStr">
        <is>
          <t>MNQM4</t>
        </is>
      </c>
      <c r="D1317" s="3" t="n">
        <v>19040.75</v>
      </c>
      <c r="E1317" s="3" t="n">
        <v>18992.25</v>
      </c>
      <c r="F1317" s="3">
        <f>D1317-E1317</f>
        <v/>
      </c>
      <c r="G1317" s="2" t="inlineStr">
        <is>
          <t>Long</t>
        </is>
      </c>
      <c r="H1317" s="3" t="n">
        <v>19040.75</v>
      </c>
      <c r="I1317" s="3" t="n">
        <v>19089.25</v>
      </c>
      <c r="J1317" s="3">
        <f>IF(G1317="Long",I1317-H1317,IF(G1317="Short",H1317-I1317,0))</f>
        <v/>
      </c>
      <c r="K1317" s="4" t="n">
        <v>45.88</v>
      </c>
      <c r="L1317" s="2" t="inlineStr">
        <is>
          <t>Win</t>
        </is>
      </c>
      <c r="M1317" s="3">
        <f>M1316+J1317</f>
        <v/>
      </c>
    </row>
    <row r="1318">
      <c r="A1318" s="2" t="inlineStr">
        <is>
          <t>2024-06-07</t>
        </is>
      </c>
      <c r="B1318" s="2" t="inlineStr">
        <is>
          <t>Friday</t>
        </is>
      </c>
      <c r="C1318" s="2" t="inlineStr">
        <is>
          <t>MNQM4</t>
        </is>
      </c>
      <c r="D1318" s="3" t="n">
        <v>19040.75</v>
      </c>
      <c r="E1318" s="3" t="n">
        <v>18992.25</v>
      </c>
      <c r="F1318" s="3">
        <f>D1318-E1318</f>
        <v/>
      </c>
      <c r="G1318" s="2" t="inlineStr">
        <is>
          <t>Long</t>
        </is>
      </c>
      <c r="H1318" s="3" t="n">
        <v>19040.75</v>
      </c>
      <c r="I1318" s="3" t="n">
        <v>19089.25</v>
      </c>
      <c r="J1318" s="3">
        <f>IF(G1318="Long",I1318-H1318,IF(G1318="Short",H1318-I1318,0))</f>
        <v/>
      </c>
      <c r="K1318" s="4" t="n">
        <v>52.58</v>
      </c>
      <c r="L1318" s="2" t="inlineStr">
        <is>
          <t>Win</t>
        </is>
      </c>
      <c r="M1318" s="3">
        <f>M1317+J1318</f>
        <v/>
      </c>
    </row>
    <row r="1319">
      <c r="A1319" s="2" t="inlineStr">
        <is>
          <t>2024-06-10</t>
        </is>
      </c>
      <c r="B1319" s="2" t="inlineStr">
        <is>
          <t>Monday</t>
        </is>
      </c>
      <c r="C1319" s="2" t="inlineStr">
        <is>
          <t>MNQM4</t>
        </is>
      </c>
      <c r="D1319" s="3" t="n">
        <v>19023.5</v>
      </c>
      <c r="E1319" s="3" t="n">
        <v>18977.5</v>
      </c>
      <c r="F1319" s="3">
        <f>D1319-E1319</f>
        <v/>
      </c>
      <c r="G1319" s="2" t="inlineStr">
        <is>
          <t>Long</t>
        </is>
      </c>
      <c r="H1319" s="3" t="n">
        <v>19023.5</v>
      </c>
      <c r="I1319" s="3" t="n">
        <v>19069.5</v>
      </c>
      <c r="J1319" s="3">
        <f>IF(G1319="Long",I1319-H1319,IF(G1319="Short",H1319-I1319,0))</f>
        <v/>
      </c>
      <c r="K1319" s="4" t="n">
        <v>2.72</v>
      </c>
      <c r="L1319" s="2" t="inlineStr">
        <is>
          <t>Win</t>
        </is>
      </c>
      <c r="M1319" s="3">
        <f>M1318+J1319</f>
        <v/>
      </c>
    </row>
    <row r="1320">
      <c r="A1320" s="2" t="inlineStr">
        <is>
          <t>2024-06-11</t>
        </is>
      </c>
      <c r="B1320" s="2" t="inlineStr">
        <is>
          <t>Tuesday</t>
        </is>
      </c>
      <c r="C1320" s="2" t="inlineStr">
        <is>
          <t>MNQM4</t>
        </is>
      </c>
      <c r="D1320" s="3" t="n">
        <v>19087.5</v>
      </c>
      <c r="E1320" s="3" t="n">
        <v>19046</v>
      </c>
      <c r="F1320" s="3">
        <f>D1320-E1320</f>
        <v/>
      </c>
      <c r="G1320" s="2" t="inlineStr">
        <is>
          <t>Short</t>
        </is>
      </c>
      <c r="H1320" s="3" t="n">
        <v>19046</v>
      </c>
      <c r="I1320" s="3" t="n">
        <v>19004.5</v>
      </c>
      <c r="J1320" s="3">
        <f>IF(G1320="Long",I1320-H1320,IF(G1320="Short",H1320-I1320,0))</f>
        <v/>
      </c>
      <c r="K1320" s="4" t="n">
        <v>0</v>
      </c>
      <c r="L1320" s="2" t="inlineStr">
        <is>
          <t>Win</t>
        </is>
      </c>
      <c r="M1320" s="3">
        <f>M1319+J1320</f>
        <v/>
      </c>
    </row>
    <row r="1321">
      <c r="A1321" s="5" t="inlineStr">
        <is>
          <t>2024-06-11</t>
        </is>
      </c>
      <c r="B1321" s="5" t="inlineStr">
        <is>
          <t>Tuesday</t>
        </is>
      </c>
      <c r="C1321" s="5" t="inlineStr">
        <is>
          <t>MNQM4</t>
        </is>
      </c>
      <c r="D1321" s="6" t="n">
        <v>19087.5</v>
      </c>
      <c r="E1321" s="6" t="n">
        <v>19046</v>
      </c>
      <c r="F1321" s="6">
        <f>D1321-E1321</f>
        <v/>
      </c>
      <c r="G1321" s="5" t="inlineStr">
        <is>
          <t>Short</t>
        </is>
      </c>
      <c r="H1321" s="6" t="n">
        <v>19046</v>
      </c>
      <c r="I1321" s="6" t="n">
        <v>19087.5</v>
      </c>
      <c r="J1321" s="6">
        <f>IF(G1321="Long",I1321-H1321,IF(G1321="Short",H1321-I1321,0))</f>
        <v/>
      </c>
      <c r="K1321" s="7" t="n">
        <v>100</v>
      </c>
      <c r="L1321" s="5" t="inlineStr">
        <is>
          <t>Loss</t>
        </is>
      </c>
      <c r="M1321" s="6">
        <f>M1320+J1321</f>
        <v/>
      </c>
    </row>
    <row r="1322">
      <c r="A1322" s="8" t="inlineStr">
        <is>
          <t>2024-06-12</t>
        </is>
      </c>
      <c r="B1322" s="8" t="inlineStr">
        <is>
          <t>Wednesday</t>
        </is>
      </c>
      <c r="C1322" s="8" t="inlineStr">
        <is>
          <t>MNQM4</t>
        </is>
      </c>
      <c r="D1322" s="9" t="n">
        <v>19481.75</v>
      </c>
      <c r="E1322" s="9" t="n">
        <v>19374.5</v>
      </c>
      <c r="F1322" s="9">
        <f>D1322-E1322</f>
        <v/>
      </c>
      <c r="G1322" s="8" t="inlineStr">
        <is>
          <t>Long</t>
        </is>
      </c>
      <c r="H1322" s="9" t="n">
        <v>19481.75</v>
      </c>
      <c r="I1322" s="9" t="n">
        <v>19491.75</v>
      </c>
      <c r="J1322" s="9">
        <f>IF(G1322="Long",I1322-H1322,IF(G1322="Short",H1322-I1322,0))</f>
        <v/>
      </c>
      <c r="K1322" s="10" t="n">
        <v>45.45</v>
      </c>
      <c r="L1322" s="8" t="inlineStr">
        <is>
          <t>EOD-Close</t>
        </is>
      </c>
      <c r="M1322" s="9">
        <f>M1321+J1322</f>
        <v/>
      </c>
    </row>
    <row r="1323">
      <c r="A1323" s="2" t="inlineStr">
        <is>
          <t>2024-06-13</t>
        </is>
      </c>
      <c r="B1323" s="2" t="inlineStr">
        <is>
          <t>Thursday</t>
        </is>
      </c>
      <c r="C1323" s="2" t="inlineStr">
        <is>
          <t>MNQM4</t>
        </is>
      </c>
      <c r="D1323" s="3" t="n">
        <v>19663.75</v>
      </c>
      <c r="E1323" s="3" t="n">
        <v>19618.25</v>
      </c>
      <c r="F1323" s="3">
        <f>D1323-E1323</f>
        <v/>
      </c>
      <c r="G1323" s="2" t="inlineStr">
        <is>
          <t>Short</t>
        </is>
      </c>
      <c r="H1323" s="3" t="n">
        <v>19618.25</v>
      </c>
      <c r="I1323" s="3" t="n">
        <v>19572.75</v>
      </c>
      <c r="J1323" s="3">
        <f>IF(G1323="Long",I1323-H1323,IF(G1323="Short",H1323-I1323,0))</f>
        <v/>
      </c>
      <c r="K1323" s="4" t="n">
        <v>0</v>
      </c>
      <c r="L1323" s="2" t="inlineStr">
        <is>
          <t>Win</t>
        </is>
      </c>
      <c r="M1323" s="3">
        <f>M1322+J1323</f>
        <v/>
      </c>
    </row>
    <row r="1324">
      <c r="A1324" s="8" t="inlineStr">
        <is>
          <t>2024-06-13</t>
        </is>
      </c>
      <c r="B1324" s="8" t="inlineStr">
        <is>
          <t>Thursday</t>
        </is>
      </c>
      <c r="C1324" s="8" t="inlineStr">
        <is>
          <t>MNQM4</t>
        </is>
      </c>
      <c r="D1324" s="9" t="n">
        <v>19663.75</v>
      </c>
      <c r="E1324" s="9" t="n">
        <v>19618.25</v>
      </c>
      <c r="F1324" s="9">
        <f>D1324-E1324</f>
        <v/>
      </c>
      <c r="G1324" s="8" t="inlineStr">
        <is>
          <t>Short</t>
        </is>
      </c>
      <c r="H1324" s="9" t="n">
        <v>19618.25</v>
      </c>
      <c r="I1324" s="9" t="n">
        <v>19593</v>
      </c>
      <c r="J1324" s="9">
        <f>IF(G1324="Long",I1324-H1324,IF(G1324="Short",H1324-I1324,0))</f>
        <v/>
      </c>
      <c r="K1324" s="10" t="n">
        <v>31.87</v>
      </c>
      <c r="L1324" s="8" t="inlineStr">
        <is>
          <t>EOD-Close</t>
        </is>
      </c>
      <c r="M1324" s="9">
        <f>M1323+J1324</f>
        <v/>
      </c>
    </row>
    <row r="1325">
      <c r="A1325" s="2" t="inlineStr">
        <is>
          <t>2024-06-14</t>
        </is>
      </c>
      <c r="B1325" s="2" t="inlineStr">
        <is>
          <t>Friday</t>
        </is>
      </c>
      <c r="C1325" s="2" t="inlineStr">
        <is>
          <t>MNQM4</t>
        </is>
      </c>
      <c r="D1325" s="3" t="n">
        <v>19603.5</v>
      </c>
      <c r="E1325" s="3" t="n">
        <v>19557</v>
      </c>
      <c r="F1325" s="3">
        <f>D1325-E1325</f>
        <v/>
      </c>
      <c r="G1325" s="2" t="inlineStr">
        <is>
          <t>Long</t>
        </is>
      </c>
      <c r="H1325" s="3" t="n">
        <v>19603.5</v>
      </c>
      <c r="I1325" s="3" t="n">
        <v>19650</v>
      </c>
      <c r="J1325" s="3">
        <f>IF(G1325="Long",I1325-H1325,IF(G1325="Short",H1325-I1325,0))</f>
        <v/>
      </c>
      <c r="K1325" s="4" t="n">
        <v>86.56</v>
      </c>
      <c r="L1325" s="2" t="inlineStr">
        <is>
          <t>Win</t>
        </is>
      </c>
      <c r="M1325" s="3">
        <f>M1324+J1325</f>
        <v/>
      </c>
    </row>
    <row r="1326">
      <c r="A1326" s="5" t="inlineStr">
        <is>
          <t>2024-06-17</t>
        </is>
      </c>
      <c r="B1326" s="5" t="inlineStr">
        <is>
          <t>Monday</t>
        </is>
      </c>
      <c r="C1326" s="5" t="inlineStr">
        <is>
          <t>MNQU4</t>
        </is>
      </c>
      <c r="D1326" s="6" t="n">
        <v>19973.75</v>
      </c>
      <c r="E1326" s="6" t="n">
        <v>19928.25</v>
      </c>
      <c r="F1326" s="6">
        <f>D1326-E1326</f>
        <v/>
      </c>
      <c r="G1326" s="5" t="inlineStr">
        <is>
          <t>Short</t>
        </is>
      </c>
      <c r="H1326" s="6" t="n">
        <v>19928.25</v>
      </c>
      <c r="I1326" s="6" t="n">
        <v>19973.75</v>
      </c>
      <c r="J1326" s="6">
        <f>IF(G1326="Long",I1326-H1326,IF(G1326="Short",H1326-I1326,0))</f>
        <v/>
      </c>
      <c r="K1326" s="7" t="n">
        <v>100</v>
      </c>
      <c r="L1326" s="5" t="inlineStr">
        <is>
          <t>Loss</t>
        </is>
      </c>
      <c r="M1326" s="6">
        <f>M1325+J1326</f>
        <v/>
      </c>
    </row>
    <row r="1327">
      <c r="A1327" s="2" t="inlineStr">
        <is>
          <t>2024-06-17</t>
        </is>
      </c>
      <c r="B1327" s="2" t="inlineStr">
        <is>
          <t>Monday</t>
        </is>
      </c>
      <c r="C1327" s="2" t="inlineStr">
        <is>
          <t>MNQU4</t>
        </is>
      </c>
      <c r="D1327" s="3" t="n">
        <v>19973.75</v>
      </c>
      <c r="E1327" s="3" t="n">
        <v>19928.25</v>
      </c>
      <c r="F1327" s="3">
        <f>D1327-E1327</f>
        <v/>
      </c>
      <c r="G1327" s="2" t="inlineStr">
        <is>
          <t>Long</t>
        </is>
      </c>
      <c r="H1327" s="3" t="n">
        <v>19973.75</v>
      </c>
      <c r="I1327" s="3" t="n">
        <v>20019.25</v>
      </c>
      <c r="J1327" s="3">
        <f>IF(G1327="Long",I1327-H1327,IF(G1327="Short",H1327-I1327,0))</f>
        <v/>
      </c>
      <c r="K1327" s="4" t="n">
        <v>0</v>
      </c>
      <c r="L1327" s="2" t="inlineStr">
        <is>
          <t>Win</t>
        </is>
      </c>
      <c r="M1327" s="3">
        <f>M1326+J1327</f>
        <v/>
      </c>
    </row>
    <row r="1328">
      <c r="A1328" s="2" t="inlineStr">
        <is>
          <t>2024-06-18</t>
        </is>
      </c>
      <c r="B1328" s="2" t="inlineStr">
        <is>
          <t>Tuesday</t>
        </is>
      </c>
      <c r="C1328" s="2" t="inlineStr">
        <is>
          <t>MNQU4</t>
        </is>
      </c>
      <c r="D1328" s="3" t="n">
        <v>20219.25</v>
      </c>
      <c r="E1328" s="3" t="n">
        <v>20179.75</v>
      </c>
      <c r="F1328" s="3">
        <f>D1328-E1328</f>
        <v/>
      </c>
      <c r="G1328" s="2" t="inlineStr">
        <is>
          <t>Short</t>
        </is>
      </c>
      <c r="H1328" s="3" t="n">
        <v>20179.75</v>
      </c>
      <c r="I1328" s="3" t="n">
        <v>20140.25</v>
      </c>
      <c r="J1328" s="3">
        <f>IF(G1328="Long",I1328-H1328,IF(G1328="Short",H1328-I1328,0))</f>
        <v/>
      </c>
      <c r="K1328" s="4" t="n">
        <v>84.18000000000001</v>
      </c>
      <c r="L1328" s="2" t="inlineStr">
        <is>
          <t>Win</t>
        </is>
      </c>
      <c r="M1328" s="3">
        <f>M1327+J1328</f>
        <v/>
      </c>
    </row>
    <row r="1329">
      <c r="A1329" s="5" t="inlineStr">
        <is>
          <t>2024-06-18</t>
        </is>
      </c>
      <c r="B1329" s="5" t="inlineStr">
        <is>
          <t>Tuesday</t>
        </is>
      </c>
      <c r="C1329" s="5" t="inlineStr">
        <is>
          <t>MNQU4</t>
        </is>
      </c>
      <c r="D1329" s="6" t="n">
        <v>20219.25</v>
      </c>
      <c r="E1329" s="6" t="n">
        <v>20179.75</v>
      </c>
      <c r="F1329" s="6">
        <f>D1329-E1329</f>
        <v/>
      </c>
      <c r="G1329" s="5" t="inlineStr">
        <is>
          <t>Short</t>
        </is>
      </c>
      <c r="H1329" s="6" t="n">
        <v>20179.75</v>
      </c>
      <c r="I1329" s="6" t="n">
        <v>20219.25</v>
      </c>
      <c r="J1329" s="6">
        <f>IF(G1329="Long",I1329-H1329,IF(G1329="Short",H1329-I1329,0))</f>
        <v/>
      </c>
      <c r="K1329" s="7" t="n">
        <v>100</v>
      </c>
      <c r="L1329" s="5" t="inlineStr">
        <is>
          <t>Loss</t>
        </is>
      </c>
      <c r="M1329" s="6">
        <f>M1328+J1329</f>
        <v/>
      </c>
    </row>
    <row r="1330">
      <c r="A1330" s="8" t="inlineStr">
        <is>
          <t>2024-06-19</t>
        </is>
      </c>
      <c r="B1330" s="8" t="inlineStr">
        <is>
          <t>Wednesday</t>
        </is>
      </c>
      <c r="C1330" s="8" t="inlineStr">
        <is>
          <t>MNQU4</t>
        </is>
      </c>
      <c r="D1330" s="9" t="n">
        <v>20252.25</v>
      </c>
      <c r="E1330" s="9" t="n">
        <v>20235.25</v>
      </c>
      <c r="F1330" s="9">
        <f>D1330-E1330</f>
        <v/>
      </c>
      <c r="G1330" s="8" t="inlineStr">
        <is>
          <t>Short</t>
        </is>
      </c>
      <c r="H1330" s="9" t="n">
        <v>20235.25</v>
      </c>
      <c r="I1330" s="9" t="n">
        <v>20230.75</v>
      </c>
      <c r="J1330" s="9">
        <f>IF(G1330="Long",I1330-H1330,IF(G1330="Short",H1330-I1330,0))</f>
        <v/>
      </c>
      <c r="K1330" s="10" t="n">
        <v>75</v>
      </c>
      <c r="L1330" s="8" t="inlineStr">
        <is>
          <t>EOD-Close</t>
        </is>
      </c>
      <c r="M1330" s="9">
        <f>M1329+J1330</f>
        <v/>
      </c>
    </row>
    <row r="1331">
      <c r="A1331" s="2" t="inlineStr">
        <is>
          <t>2024-06-20</t>
        </is>
      </c>
      <c r="B1331" s="2" t="inlineStr">
        <is>
          <t>Thursday</t>
        </is>
      </c>
      <c r="C1331" s="2" t="inlineStr">
        <is>
          <t>MNQU4</t>
        </is>
      </c>
      <c r="D1331" s="3" t="n">
        <v>20262</v>
      </c>
      <c r="E1331" s="3" t="n">
        <v>20200</v>
      </c>
      <c r="F1331" s="3">
        <f>D1331-E1331</f>
        <v/>
      </c>
      <c r="G1331" s="2" t="inlineStr">
        <is>
          <t>Short</t>
        </is>
      </c>
      <c r="H1331" s="3" t="n">
        <v>20200</v>
      </c>
      <c r="I1331" s="3" t="n">
        <v>20138</v>
      </c>
      <c r="J1331" s="3">
        <f>IF(G1331="Long",I1331-H1331,IF(G1331="Short",H1331-I1331,0))</f>
        <v/>
      </c>
      <c r="K1331" s="4" t="n">
        <v>0</v>
      </c>
      <c r="L1331" s="2" t="inlineStr">
        <is>
          <t>Win</t>
        </is>
      </c>
      <c r="M1331" s="3">
        <f>M1330+J1331</f>
        <v/>
      </c>
    </row>
    <row r="1332">
      <c r="A1332" s="2" t="inlineStr">
        <is>
          <t>2024-06-20</t>
        </is>
      </c>
      <c r="B1332" s="2" t="inlineStr">
        <is>
          <t>Thursday</t>
        </is>
      </c>
      <c r="C1332" s="2" t="inlineStr">
        <is>
          <t>MNQU4</t>
        </is>
      </c>
      <c r="D1332" s="3" t="n">
        <v>20262</v>
      </c>
      <c r="E1332" s="3" t="n">
        <v>20200</v>
      </c>
      <c r="F1332" s="3">
        <f>D1332-E1332</f>
        <v/>
      </c>
      <c r="G1332" s="2" t="inlineStr">
        <is>
          <t>Short</t>
        </is>
      </c>
      <c r="H1332" s="3" t="n">
        <v>20200</v>
      </c>
      <c r="I1332" s="3" t="n">
        <v>20138</v>
      </c>
      <c r="J1332" s="3">
        <f>IF(G1332="Long",I1332-H1332,IF(G1332="Short",H1332-I1332,0))</f>
        <v/>
      </c>
      <c r="K1332" s="4" t="n">
        <v>46.77</v>
      </c>
      <c r="L1332" s="2" t="inlineStr">
        <is>
          <t>Win</t>
        </is>
      </c>
      <c r="M1332" s="3">
        <f>M1331+J1332</f>
        <v/>
      </c>
    </row>
    <row r="1333">
      <c r="A1333" s="2" t="inlineStr">
        <is>
          <t>2024-06-21</t>
        </is>
      </c>
      <c r="B1333" s="2" t="inlineStr">
        <is>
          <t>Friday</t>
        </is>
      </c>
      <c r="C1333" s="2" t="inlineStr">
        <is>
          <t>MNQU4</t>
        </is>
      </c>
      <c r="D1333" s="3" t="n">
        <v>20027.75</v>
      </c>
      <c r="E1333" s="3" t="n">
        <v>19973.5</v>
      </c>
      <c r="F1333" s="3">
        <f>D1333-E1333</f>
        <v/>
      </c>
      <c r="G1333" s="2" t="inlineStr">
        <is>
          <t>Short</t>
        </is>
      </c>
      <c r="H1333" s="3" t="n">
        <v>19973.5</v>
      </c>
      <c r="I1333" s="3" t="n">
        <v>19919.25</v>
      </c>
      <c r="J1333" s="3">
        <f>IF(G1333="Long",I1333-H1333,IF(G1333="Short",H1333-I1333,0))</f>
        <v/>
      </c>
      <c r="K1333" s="4" t="n">
        <v>0</v>
      </c>
      <c r="L1333" s="2" t="inlineStr">
        <is>
          <t>Win</t>
        </is>
      </c>
      <c r="M1333" s="3">
        <f>M1332+J1333</f>
        <v/>
      </c>
    </row>
    <row r="1334">
      <c r="A1334" s="5" t="inlineStr">
        <is>
          <t>2024-06-21</t>
        </is>
      </c>
      <c r="B1334" s="5" t="inlineStr">
        <is>
          <t>Friday</t>
        </is>
      </c>
      <c r="C1334" s="5" t="inlineStr">
        <is>
          <t>MNQU4</t>
        </is>
      </c>
      <c r="D1334" s="6" t="n">
        <v>20027.75</v>
      </c>
      <c r="E1334" s="6" t="n">
        <v>19973.5</v>
      </c>
      <c r="F1334" s="6">
        <f>D1334-E1334</f>
        <v/>
      </c>
      <c r="G1334" s="5" t="inlineStr">
        <is>
          <t>Short</t>
        </is>
      </c>
      <c r="H1334" s="6" t="n">
        <v>19973.5</v>
      </c>
      <c r="I1334" s="6" t="n">
        <v>20027.75</v>
      </c>
      <c r="J1334" s="6">
        <f>IF(G1334="Long",I1334-H1334,IF(G1334="Short",H1334-I1334,0))</f>
        <v/>
      </c>
      <c r="K1334" s="7" t="n">
        <v>100</v>
      </c>
      <c r="L1334" s="5" t="inlineStr">
        <is>
          <t>Loss</t>
        </is>
      </c>
      <c r="M1334" s="6">
        <f>M1333+J1334</f>
        <v/>
      </c>
    </row>
    <row r="1335">
      <c r="A1335" s="5" t="inlineStr">
        <is>
          <t>2024-06-24</t>
        </is>
      </c>
      <c r="B1335" s="5" t="inlineStr">
        <is>
          <t>Monday</t>
        </is>
      </c>
      <c r="C1335" s="5" t="inlineStr">
        <is>
          <t>MNQU4</t>
        </is>
      </c>
      <c r="D1335" s="6" t="n">
        <v>19965.25</v>
      </c>
      <c r="E1335" s="6" t="n">
        <v>19886.75</v>
      </c>
      <c r="F1335" s="6">
        <f>D1335-E1335</f>
        <v/>
      </c>
      <c r="G1335" s="5" t="inlineStr">
        <is>
          <t>Short</t>
        </is>
      </c>
      <c r="H1335" s="6" t="n">
        <v>19886.75</v>
      </c>
      <c r="I1335" s="6" t="n">
        <v>19965.25</v>
      </c>
      <c r="J1335" s="6">
        <f>IF(G1335="Long",I1335-H1335,IF(G1335="Short",H1335-I1335,0))</f>
        <v/>
      </c>
      <c r="K1335" s="7" t="n">
        <v>100</v>
      </c>
      <c r="L1335" s="5" t="inlineStr">
        <is>
          <t>Loss</t>
        </is>
      </c>
      <c r="M1335" s="6">
        <f>M1334+J1335</f>
        <v/>
      </c>
    </row>
    <row r="1336">
      <c r="A1336" s="5" t="inlineStr">
        <is>
          <t>2024-06-24</t>
        </is>
      </c>
      <c r="B1336" s="5" t="inlineStr">
        <is>
          <t>Monday</t>
        </is>
      </c>
      <c r="C1336" s="5" t="inlineStr">
        <is>
          <t>MNQU4</t>
        </is>
      </c>
      <c r="D1336" s="6" t="n">
        <v>19965.25</v>
      </c>
      <c r="E1336" s="6" t="n">
        <v>19886.75</v>
      </c>
      <c r="F1336" s="6">
        <f>D1336-E1336</f>
        <v/>
      </c>
      <c r="G1336" s="5" t="inlineStr">
        <is>
          <t>Long</t>
        </is>
      </c>
      <c r="H1336" s="6" t="n">
        <v>19965.25</v>
      </c>
      <c r="I1336" s="6" t="n">
        <v>19886.75</v>
      </c>
      <c r="J1336" s="6">
        <f>IF(G1336="Long",I1336-H1336,IF(G1336="Short",H1336-I1336,0))</f>
        <v/>
      </c>
      <c r="K1336" s="7" t="n">
        <v>100</v>
      </c>
      <c r="L1336" s="5" t="inlineStr">
        <is>
          <t>Loss</t>
        </is>
      </c>
      <c r="M1336" s="6">
        <f>M1335+J1336</f>
        <v/>
      </c>
    </row>
    <row r="1337">
      <c r="A1337" s="2" t="inlineStr">
        <is>
          <t>2024-06-25</t>
        </is>
      </c>
      <c r="B1337" s="2" t="inlineStr">
        <is>
          <t>Tuesday</t>
        </is>
      </c>
      <c r="C1337" s="2" t="inlineStr">
        <is>
          <t>MNQU4</t>
        </is>
      </c>
      <c r="D1337" s="3" t="n">
        <v>19841.5</v>
      </c>
      <c r="E1337" s="3" t="n">
        <v>19792.25</v>
      </c>
      <c r="F1337" s="3">
        <f>D1337-E1337</f>
        <v/>
      </c>
      <c r="G1337" s="2" t="inlineStr">
        <is>
          <t>Long</t>
        </is>
      </c>
      <c r="H1337" s="3" t="n">
        <v>19841.5</v>
      </c>
      <c r="I1337" s="3" t="n">
        <v>19890.75</v>
      </c>
      <c r="J1337" s="3">
        <f>IF(G1337="Long",I1337-H1337,IF(G1337="Short",H1337-I1337,0))</f>
        <v/>
      </c>
      <c r="K1337" s="4" t="n">
        <v>0</v>
      </c>
      <c r="L1337" s="2" t="inlineStr">
        <is>
          <t>Win</t>
        </is>
      </c>
      <c r="M1337" s="3">
        <f>M1336+J1337</f>
        <v/>
      </c>
    </row>
    <row r="1338">
      <c r="A1338" s="2" t="inlineStr">
        <is>
          <t>2024-06-25</t>
        </is>
      </c>
      <c r="B1338" s="2" t="inlineStr">
        <is>
          <t>Tuesday</t>
        </is>
      </c>
      <c r="C1338" s="2" t="inlineStr">
        <is>
          <t>MNQU4</t>
        </is>
      </c>
      <c r="D1338" s="3" t="n">
        <v>19841.5</v>
      </c>
      <c r="E1338" s="3" t="n">
        <v>19792.25</v>
      </c>
      <c r="F1338" s="3">
        <f>D1338-E1338</f>
        <v/>
      </c>
      <c r="G1338" s="2" t="inlineStr">
        <is>
          <t>Long</t>
        </is>
      </c>
      <c r="H1338" s="3" t="n">
        <v>19841.5</v>
      </c>
      <c r="I1338" s="3" t="n">
        <v>19890.75</v>
      </c>
      <c r="J1338" s="3">
        <f>IF(G1338="Long",I1338-H1338,IF(G1338="Short",H1338-I1338,0))</f>
        <v/>
      </c>
      <c r="K1338" s="4" t="n">
        <v>8.119999999999999</v>
      </c>
      <c r="L1338" s="2" t="inlineStr">
        <is>
          <t>Win</t>
        </is>
      </c>
      <c r="M1338" s="3">
        <f>M1337+J1338</f>
        <v/>
      </c>
    </row>
    <row r="1339">
      <c r="A1339" s="2" t="inlineStr">
        <is>
          <t>2024-06-26</t>
        </is>
      </c>
      <c r="B1339" s="2" t="inlineStr">
        <is>
          <t>Wednesday</t>
        </is>
      </c>
      <c r="C1339" s="2" t="inlineStr">
        <is>
          <t>MNQU4</t>
        </is>
      </c>
      <c r="D1339" s="3" t="n">
        <v>19954.5</v>
      </c>
      <c r="E1339" s="3" t="n">
        <v>19918.5</v>
      </c>
      <c r="F1339" s="3">
        <f>D1339-E1339</f>
        <v/>
      </c>
      <c r="G1339" s="2" t="inlineStr">
        <is>
          <t>Long</t>
        </is>
      </c>
      <c r="H1339" s="3" t="n">
        <v>19954.5</v>
      </c>
      <c r="I1339" s="3" t="n">
        <v>19990.5</v>
      </c>
      <c r="J1339" s="3">
        <f>IF(G1339="Long",I1339-H1339,IF(G1339="Short",H1339-I1339,0))</f>
        <v/>
      </c>
      <c r="K1339" s="4" t="n">
        <v>0</v>
      </c>
      <c r="L1339" s="2" t="inlineStr">
        <is>
          <t>Win</t>
        </is>
      </c>
      <c r="M1339" s="3">
        <f>M1338+J1339</f>
        <v/>
      </c>
    </row>
    <row r="1340">
      <c r="A1340" s="2" t="inlineStr">
        <is>
          <t>2024-06-26</t>
        </is>
      </c>
      <c r="B1340" s="2" t="inlineStr">
        <is>
          <t>Wednesday</t>
        </is>
      </c>
      <c r="C1340" s="2" t="inlineStr">
        <is>
          <t>MNQU4</t>
        </is>
      </c>
      <c r="D1340" s="3" t="n">
        <v>19954.5</v>
      </c>
      <c r="E1340" s="3" t="n">
        <v>19918.5</v>
      </c>
      <c r="F1340" s="3">
        <f>D1340-E1340</f>
        <v/>
      </c>
      <c r="G1340" s="2" t="inlineStr">
        <is>
          <t>Long</t>
        </is>
      </c>
      <c r="H1340" s="3" t="n">
        <v>19954.5</v>
      </c>
      <c r="I1340" s="3" t="n">
        <v>19990.5</v>
      </c>
      <c r="J1340" s="3">
        <f>IF(G1340="Long",I1340-H1340,IF(G1340="Short",H1340-I1340,0))</f>
        <v/>
      </c>
      <c r="K1340" s="4" t="n">
        <v>4.86</v>
      </c>
      <c r="L1340" s="2" t="inlineStr">
        <is>
          <t>Win</t>
        </is>
      </c>
      <c r="M1340" s="3">
        <f>M1339+J1340</f>
        <v/>
      </c>
    </row>
    <row r="1341">
      <c r="A1341" s="5" t="inlineStr">
        <is>
          <t>2024-06-27</t>
        </is>
      </c>
      <c r="B1341" s="5" t="inlineStr">
        <is>
          <t>Thursday</t>
        </is>
      </c>
      <c r="C1341" s="5" t="inlineStr">
        <is>
          <t>MNQU4</t>
        </is>
      </c>
      <c r="D1341" s="6" t="n">
        <v>20101.25</v>
      </c>
      <c r="E1341" s="6" t="n">
        <v>19989.75</v>
      </c>
      <c r="F1341" s="6">
        <f>D1341-E1341</f>
        <v/>
      </c>
      <c r="G1341" s="5" t="inlineStr">
        <is>
          <t>Long</t>
        </is>
      </c>
      <c r="H1341" s="6" t="n">
        <v>20101.25</v>
      </c>
      <c r="I1341" s="6" t="n">
        <v>19989.75</v>
      </c>
      <c r="J1341" s="6">
        <f>IF(G1341="Long",I1341-H1341,IF(G1341="Short",H1341-I1341,0))</f>
        <v/>
      </c>
      <c r="K1341" s="7" t="n">
        <v>100</v>
      </c>
      <c r="L1341" s="5" t="inlineStr">
        <is>
          <t>Loss</t>
        </is>
      </c>
      <c r="M1341" s="6">
        <f>M1340+J1341</f>
        <v/>
      </c>
    </row>
    <row r="1342">
      <c r="A1342" s="8" t="inlineStr">
        <is>
          <t>2024-06-27</t>
        </is>
      </c>
      <c r="B1342" s="8" t="inlineStr">
        <is>
          <t>Thursday</t>
        </is>
      </c>
      <c r="C1342" s="8" t="inlineStr">
        <is>
          <t>MNQU4</t>
        </is>
      </c>
      <c r="D1342" s="9" t="n">
        <v>20101.25</v>
      </c>
      <c r="E1342" s="9" t="n">
        <v>19989.75</v>
      </c>
      <c r="F1342" s="9">
        <f>D1342-E1342</f>
        <v/>
      </c>
      <c r="G1342" s="8" t="inlineStr">
        <is>
          <t>Short</t>
        </is>
      </c>
      <c r="H1342" s="9" t="n">
        <v>19989.75</v>
      </c>
      <c r="I1342" s="9" t="n">
        <v>20047.75</v>
      </c>
      <c r="J1342" s="9">
        <f>IF(G1342="Long",I1342-H1342,IF(G1342="Short",H1342-I1342,0))</f>
        <v/>
      </c>
      <c r="K1342" s="10" t="n">
        <v>68.61</v>
      </c>
      <c r="L1342" s="8" t="inlineStr">
        <is>
          <t>EOD-Close</t>
        </is>
      </c>
      <c r="M1342" s="9">
        <f>M1341+J1342</f>
        <v/>
      </c>
    </row>
    <row r="1343">
      <c r="A1343" s="2" t="inlineStr">
        <is>
          <t>2024-06-28</t>
        </is>
      </c>
      <c r="B1343" s="2" t="inlineStr">
        <is>
          <t>Friday</t>
        </is>
      </c>
      <c r="C1343" s="2" t="inlineStr">
        <is>
          <t>MNQU4</t>
        </is>
      </c>
      <c r="D1343" s="3" t="n">
        <v>20105.5</v>
      </c>
      <c r="E1343" s="3" t="n">
        <v>20039</v>
      </c>
      <c r="F1343" s="3">
        <f>D1343-E1343</f>
        <v/>
      </c>
      <c r="G1343" s="2" t="inlineStr">
        <is>
          <t>Long</t>
        </is>
      </c>
      <c r="H1343" s="3" t="n">
        <v>20105.5</v>
      </c>
      <c r="I1343" s="3" t="n">
        <v>20172</v>
      </c>
      <c r="J1343" s="3">
        <f>IF(G1343="Long",I1343-H1343,IF(G1343="Short",H1343-I1343,0))</f>
        <v/>
      </c>
      <c r="K1343" s="4" t="n">
        <v>0</v>
      </c>
      <c r="L1343" s="2" t="inlineStr">
        <is>
          <t>Win</t>
        </is>
      </c>
      <c r="M1343" s="3">
        <f>M1342+J1343</f>
        <v/>
      </c>
    </row>
    <row r="1344">
      <c r="A1344" s="5" t="inlineStr">
        <is>
          <t>2024-06-28</t>
        </is>
      </c>
      <c r="B1344" s="5" t="inlineStr">
        <is>
          <t>Friday</t>
        </is>
      </c>
      <c r="C1344" s="5" t="inlineStr">
        <is>
          <t>MNQU4</t>
        </is>
      </c>
      <c r="D1344" s="6" t="n">
        <v>20105.5</v>
      </c>
      <c r="E1344" s="6" t="n">
        <v>20039</v>
      </c>
      <c r="F1344" s="6">
        <f>D1344-E1344</f>
        <v/>
      </c>
      <c r="G1344" s="5" t="inlineStr">
        <is>
          <t>Long</t>
        </is>
      </c>
      <c r="H1344" s="6" t="n">
        <v>20105.5</v>
      </c>
      <c r="I1344" s="6" t="n">
        <v>20039</v>
      </c>
      <c r="J1344" s="6">
        <f>IF(G1344="Long",I1344-H1344,IF(G1344="Short",H1344-I1344,0))</f>
        <v/>
      </c>
      <c r="K1344" s="7" t="n">
        <v>100</v>
      </c>
      <c r="L1344" s="5" t="inlineStr">
        <is>
          <t>Loss</t>
        </is>
      </c>
      <c r="M1344" s="6">
        <f>M1343+J1344</f>
        <v/>
      </c>
    </row>
    <row r="1345">
      <c r="A1345" s="2" t="inlineStr">
        <is>
          <t>2024-07-01</t>
        </is>
      </c>
      <c r="B1345" s="2" t="inlineStr">
        <is>
          <t>Monday</t>
        </is>
      </c>
      <c r="C1345" s="2" t="inlineStr">
        <is>
          <t>MNQU4</t>
        </is>
      </c>
      <c r="D1345" s="3" t="n">
        <v>19985.75</v>
      </c>
      <c r="E1345" s="3" t="n">
        <v>19912.75</v>
      </c>
      <c r="F1345" s="3">
        <f>D1345-E1345</f>
        <v/>
      </c>
      <c r="G1345" s="2" t="inlineStr">
        <is>
          <t>Short</t>
        </is>
      </c>
      <c r="H1345" s="3" t="n">
        <v>19912.75</v>
      </c>
      <c r="I1345" s="3" t="n">
        <v>19839.75</v>
      </c>
      <c r="J1345" s="3">
        <f>IF(G1345="Long",I1345-H1345,IF(G1345="Short",H1345-I1345,0))</f>
        <v/>
      </c>
      <c r="K1345" s="4" t="n">
        <v>26.71</v>
      </c>
      <c r="L1345" s="2" t="inlineStr">
        <is>
          <t>Win</t>
        </is>
      </c>
      <c r="M1345" s="3">
        <f>M1344+J1345</f>
        <v/>
      </c>
    </row>
    <row r="1346">
      <c r="A1346" s="2" t="inlineStr">
        <is>
          <t>2024-07-01</t>
        </is>
      </c>
      <c r="B1346" s="2" t="inlineStr">
        <is>
          <t>Monday</t>
        </is>
      </c>
      <c r="C1346" s="2" t="inlineStr">
        <is>
          <t>MNQU4</t>
        </is>
      </c>
      <c r="D1346" s="3" t="n">
        <v>19985.75</v>
      </c>
      <c r="E1346" s="3" t="n">
        <v>19912.75</v>
      </c>
      <c r="F1346" s="3">
        <f>D1346-E1346</f>
        <v/>
      </c>
      <c r="G1346" s="2" t="inlineStr">
        <is>
          <t>Short</t>
        </is>
      </c>
      <c r="H1346" s="3" t="n">
        <v>19912.75</v>
      </c>
      <c r="I1346" s="3" t="n">
        <v>19839.75</v>
      </c>
      <c r="J1346" s="3">
        <f>IF(G1346="Long",I1346-H1346,IF(G1346="Short",H1346-I1346,0))</f>
        <v/>
      </c>
      <c r="K1346" s="4" t="n">
        <v>9.93</v>
      </c>
      <c r="L1346" s="2" t="inlineStr">
        <is>
          <t>Win</t>
        </is>
      </c>
      <c r="M1346" s="3">
        <f>M1345+J1346</f>
        <v/>
      </c>
    </row>
    <row r="1347">
      <c r="A1347" s="2" t="inlineStr">
        <is>
          <t>2024-07-02</t>
        </is>
      </c>
      <c r="B1347" s="2" t="inlineStr">
        <is>
          <t>Tuesday</t>
        </is>
      </c>
      <c r="C1347" s="2" t="inlineStr">
        <is>
          <t>MNQU4</t>
        </is>
      </c>
      <c r="D1347" s="3" t="n">
        <v>20083</v>
      </c>
      <c r="E1347" s="3" t="n">
        <v>19976.5</v>
      </c>
      <c r="F1347" s="3">
        <f>D1347-E1347</f>
        <v/>
      </c>
      <c r="G1347" s="2" t="inlineStr">
        <is>
          <t>Long</t>
        </is>
      </c>
      <c r="H1347" s="3" t="n">
        <v>20083</v>
      </c>
      <c r="I1347" s="3" t="n">
        <v>20189.5</v>
      </c>
      <c r="J1347" s="3">
        <f>IF(G1347="Long",I1347-H1347,IF(G1347="Short",H1347-I1347,0))</f>
        <v/>
      </c>
      <c r="K1347" s="4" t="n">
        <v>20.42</v>
      </c>
      <c r="L1347" s="2" t="inlineStr">
        <is>
          <t>Win</t>
        </is>
      </c>
      <c r="M1347" s="3">
        <f>M1346+J1347</f>
        <v/>
      </c>
    </row>
    <row r="1348">
      <c r="A1348" s="2" t="inlineStr">
        <is>
          <t>2024-07-03</t>
        </is>
      </c>
      <c r="B1348" s="2" t="inlineStr">
        <is>
          <t>Wednesday</t>
        </is>
      </c>
      <c r="C1348" s="2" t="inlineStr">
        <is>
          <t>MNQU4</t>
        </is>
      </c>
      <c r="D1348" s="3" t="n">
        <v>20267.5</v>
      </c>
      <c r="E1348" s="3" t="n">
        <v>20216</v>
      </c>
      <c r="F1348" s="3">
        <f>D1348-E1348</f>
        <v/>
      </c>
      <c r="G1348" s="2" t="inlineStr">
        <is>
          <t>Long</t>
        </is>
      </c>
      <c r="H1348" s="3" t="n">
        <v>20267.5</v>
      </c>
      <c r="I1348" s="3" t="n">
        <v>20319</v>
      </c>
      <c r="J1348" s="3">
        <f>IF(G1348="Long",I1348-H1348,IF(G1348="Short",H1348-I1348,0))</f>
        <v/>
      </c>
      <c r="K1348" s="4" t="n">
        <v>62.62</v>
      </c>
      <c r="L1348" s="2" t="inlineStr">
        <is>
          <t>Win</t>
        </is>
      </c>
      <c r="M1348" s="3">
        <f>M1347+J1348</f>
        <v/>
      </c>
    </row>
    <row r="1349">
      <c r="A1349" s="8" t="inlineStr">
        <is>
          <t>2024-07-04</t>
        </is>
      </c>
      <c r="B1349" s="8" t="inlineStr">
        <is>
          <t>Thursday</t>
        </is>
      </c>
      <c r="C1349" s="8" t="inlineStr">
        <is>
          <t>MNQU4</t>
        </is>
      </c>
      <c r="D1349" s="9" t="n">
        <v>20406.25</v>
      </c>
      <c r="E1349" s="9" t="n">
        <v>20387.5</v>
      </c>
      <c r="F1349" s="9">
        <f>D1349-E1349</f>
        <v/>
      </c>
      <c r="G1349" s="8" t="inlineStr">
        <is>
          <t>Short</t>
        </is>
      </c>
      <c r="H1349" s="9" t="n">
        <v>20387.5</v>
      </c>
      <c r="I1349" s="9" t="n">
        <v>20381.5</v>
      </c>
      <c r="J1349" s="9">
        <f>IF(G1349="Long",I1349-H1349,IF(G1349="Short",H1349-I1349,0))</f>
        <v/>
      </c>
      <c r="K1349" s="10" t="n">
        <v>32</v>
      </c>
      <c r="L1349" s="8" t="inlineStr">
        <is>
          <t>EOD-Close</t>
        </is>
      </c>
      <c r="M1349" s="9">
        <f>M1348+J1349</f>
        <v/>
      </c>
    </row>
    <row r="1350">
      <c r="A1350" s="2" t="inlineStr">
        <is>
          <t>2024-07-05</t>
        </is>
      </c>
      <c r="B1350" s="2" t="inlineStr">
        <is>
          <t>Friday</t>
        </is>
      </c>
      <c r="C1350" s="2" t="inlineStr">
        <is>
          <t>MNQU4</t>
        </is>
      </c>
      <c r="D1350" s="3" t="n">
        <v>20494.75</v>
      </c>
      <c r="E1350" s="3" t="n">
        <v>20440</v>
      </c>
      <c r="F1350" s="3">
        <f>D1350-E1350</f>
        <v/>
      </c>
      <c r="G1350" s="2" t="inlineStr">
        <is>
          <t>Long</t>
        </is>
      </c>
      <c r="H1350" s="3" t="n">
        <v>20494.75</v>
      </c>
      <c r="I1350" s="3" t="n">
        <v>20549.5</v>
      </c>
      <c r="J1350" s="3">
        <f>IF(G1350="Long",I1350-H1350,IF(G1350="Short",H1350-I1350,0))</f>
        <v/>
      </c>
      <c r="K1350" s="4" t="n">
        <v>59.36</v>
      </c>
      <c r="L1350" s="2" t="inlineStr">
        <is>
          <t>Win</t>
        </is>
      </c>
      <c r="M1350" s="3">
        <f>M1349+J1350</f>
        <v/>
      </c>
    </row>
    <row r="1351">
      <c r="A1351" s="8" t="inlineStr">
        <is>
          <t>2024-07-08</t>
        </is>
      </c>
      <c r="B1351" s="8" t="inlineStr">
        <is>
          <t>Monday</t>
        </is>
      </c>
      <c r="C1351" s="8" t="inlineStr">
        <is>
          <t>MNQU4</t>
        </is>
      </c>
      <c r="D1351" s="9" t="n">
        <v>20645</v>
      </c>
      <c r="E1351" s="9" t="n">
        <v>20600.75</v>
      </c>
      <c r="F1351" s="9">
        <f>D1351-E1351</f>
        <v/>
      </c>
      <c r="G1351" s="8" t="inlineStr">
        <is>
          <t>Long</t>
        </is>
      </c>
      <c r="H1351" s="9" t="n">
        <v>20645</v>
      </c>
      <c r="I1351" s="9" t="n">
        <v>20666.25</v>
      </c>
      <c r="J1351" s="9">
        <f>IF(G1351="Long",I1351-H1351,IF(G1351="Short",H1351-I1351,0))</f>
        <v/>
      </c>
      <c r="K1351" s="10" t="n">
        <v>81.36</v>
      </c>
      <c r="L1351" s="8" t="inlineStr">
        <is>
          <t>EOD-Close</t>
        </is>
      </c>
      <c r="M1351" s="9">
        <f>M1350+J1351</f>
        <v/>
      </c>
    </row>
    <row r="1352">
      <c r="A1352" s="2" t="inlineStr">
        <is>
          <t>2024-07-09</t>
        </is>
      </c>
      <c r="B1352" s="2" t="inlineStr">
        <is>
          <t>Tuesday</t>
        </is>
      </c>
      <c r="C1352" s="2" t="inlineStr">
        <is>
          <t>MNQU4</t>
        </is>
      </c>
      <c r="D1352" s="3" t="n">
        <v>20764.5</v>
      </c>
      <c r="E1352" s="3" t="n">
        <v>20719.25</v>
      </c>
      <c r="F1352" s="3">
        <f>D1352-E1352</f>
        <v/>
      </c>
      <c r="G1352" s="2" t="inlineStr">
        <is>
          <t>Short</t>
        </is>
      </c>
      <c r="H1352" s="3" t="n">
        <v>20719.25</v>
      </c>
      <c r="I1352" s="3" t="n">
        <v>20674</v>
      </c>
      <c r="J1352" s="3">
        <f>IF(G1352="Long",I1352-H1352,IF(G1352="Short",H1352-I1352,0))</f>
        <v/>
      </c>
      <c r="K1352" s="4" t="n">
        <v>50.83</v>
      </c>
      <c r="L1352" s="2" t="inlineStr">
        <is>
          <t>Win</t>
        </is>
      </c>
      <c r="M1352" s="3">
        <f>M1351+J1352</f>
        <v/>
      </c>
    </row>
    <row r="1353">
      <c r="A1353" s="5" t="inlineStr">
        <is>
          <t>2024-07-10</t>
        </is>
      </c>
      <c r="B1353" s="5" t="inlineStr">
        <is>
          <t>Wednesday</t>
        </is>
      </c>
      <c r="C1353" s="5" t="inlineStr">
        <is>
          <t>MNQU4</t>
        </is>
      </c>
      <c r="D1353" s="6" t="n">
        <v>20768.25</v>
      </c>
      <c r="E1353" s="6" t="n">
        <v>20721.5</v>
      </c>
      <c r="F1353" s="6">
        <f>D1353-E1353</f>
        <v/>
      </c>
      <c r="G1353" s="5" t="inlineStr">
        <is>
          <t>Long</t>
        </is>
      </c>
      <c r="H1353" s="6" t="n">
        <v>20768.25</v>
      </c>
      <c r="I1353" s="6" t="n">
        <v>20721.5</v>
      </c>
      <c r="J1353" s="6">
        <f>IF(G1353="Long",I1353-H1353,IF(G1353="Short",H1353-I1353,0))</f>
        <v/>
      </c>
      <c r="K1353" s="7" t="n">
        <v>100</v>
      </c>
      <c r="L1353" s="5" t="inlineStr">
        <is>
          <t>Loss</t>
        </is>
      </c>
      <c r="M1353" s="6">
        <f>M1352+J1353</f>
        <v/>
      </c>
    </row>
    <row r="1354">
      <c r="A1354" s="5" t="inlineStr">
        <is>
          <t>2024-07-10</t>
        </is>
      </c>
      <c r="B1354" s="5" t="inlineStr">
        <is>
          <t>Wednesday</t>
        </is>
      </c>
      <c r="C1354" s="5" t="inlineStr">
        <is>
          <t>MNQU4</t>
        </is>
      </c>
      <c r="D1354" s="6" t="n">
        <v>20768.25</v>
      </c>
      <c r="E1354" s="6" t="n">
        <v>20721.5</v>
      </c>
      <c r="F1354" s="6">
        <f>D1354-E1354</f>
        <v/>
      </c>
      <c r="G1354" s="5" t="inlineStr">
        <is>
          <t>Short</t>
        </is>
      </c>
      <c r="H1354" s="6" t="n">
        <v>20721.5</v>
      </c>
      <c r="I1354" s="6" t="n">
        <v>20768.25</v>
      </c>
      <c r="J1354" s="6">
        <f>IF(G1354="Long",I1354-H1354,IF(G1354="Short",H1354-I1354,0))</f>
        <v/>
      </c>
      <c r="K1354" s="7" t="n">
        <v>100</v>
      </c>
      <c r="L1354" s="5" t="inlineStr">
        <is>
          <t>Loss</t>
        </is>
      </c>
      <c r="M1354" s="6">
        <f>M1353+J1354</f>
        <v/>
      </c>
    </row>
    <row r="1355">
      <c r="A1355" s="2" t="inlineStr">
        <is>
          <t>2024-07-11</t>
        </is>
      </c>
      <c r="B1355" s="2" t="inlineStr">
        <is>
          <t>Thursday</t>
        </is>
      </c>
      <c r="C1355" s="2" t="inlineStr">
        <is>
          <t>MNQU4</t>
        </is>
      </c>
      <c r="D1355" s="3" t="n">
        <v>20902.25</v>
      </c>
      <c r="E1355" s="3" t="n">
        <v>20852.25</v>
      </c>
      <c r="F1355" s="3">
        <f>D1355-E1355</f>
        <v/>
      </c>
      <c r="G1355" s="2" t="inlineStr">
        <is>
          <t>Short</t>
        </is>
      </c>
      <c r="H1355" s="3" t="n">
        <v>20852.25</v>
      </c>
      <c r="I1355" s="3" t="n">
        <v>20802.25</v>
      </c>
      <c r="J1355" s="3">
        <f>IF(G1355="Long",I1355-H1355,IF(G1355="Short",H1355-I1355,0))</f>
        <v/>
      </c>
      <c r="K1355" s="4" t="n">
        <v>39.5</v>
      </c>
      <c r="L1355" s="2" t="inlineStr">
        <is>
          <t>Win</t>
        </is>
      </c>
      <c r="M1355" s="3">
        <f>M1354+J1355</f>
        <v/>
      </c>
    </row>
    <row r="1356">
      <c r="A1356" s="2" t="inlineStr">
        <is>
          <t>2024-07-12</t>
        </is>
      </c>
      <c r="B1356" s="2" t="inlineStr">
        <is>
          <t>Friday</t>
        </is>
      </c>
      <c r="C1356" s="2" t="inlineStr">
        <is>
          <t>MNQU4</t>
        </is>
      </c>
      <c r="D1356" s="3" t="n">
        <v>20477.75</v>
      </c>
      <c r="E1356" s="3" t="n">
        <v>20425.25</v>
      </c>
      <c r="F1356" s="3">
        <f>D1356-E1356</f>
        <v/>
      </c>
      <c r="G1356" s="2" t="inlineStr">
        <is>
          <t>Long</t>
        </is>
      </c>
      <c r="H1356" s="3" t="n">
        <v>20477.75</v>
      </c>
      <c r="I1356" s="3" t="n">
        <v>20530.25</v>
      </c>
      <c r="J1356" s="3">
        <f>IF(G1356="Long",I1356-H1356,IF(G1356="Short",H1356-I1356,0))</f>
        <v/>
      </c>
      <c r="K1356" s="4" t="n">
        <v>0</v>
      </c>
      <c r="L1356" s="2" t="inlineStr">
        <is>
          <t>Win</t>
        </is>
      </c>
      <c r="M1356" s="3">
        <f>M1355+J1356</f>
        <v/>
      </c>
    </row>
    <row r="1357">
      <c r="A1357" s="2" t="inlineStr">
        <is>
          <t>2024-07-15</t>
        </is>
      </c>
      <c r="B1357" s="2" t="inlineStr">
        <is>
          <t>Monday</t>
        </is>
      </c>
      <c r="C1357" s="2" t="inlineStr">
        <is>
          <t>MNQU4</t>
        </is>
      </c>
      <c r="D1357" s="3" t="n">
        <v>20665.5</v>
      </c>
      <c r="E1357" s="3" t="n">
        <v>20595.5</v>
      </c>
      <c r="F1357" s="3">
        <f>D1357-E1357</f>
        <v/>
      </c>
      <c r="G1357" s="2" t="inlineStr">
        <is>
          <t>Long</t>
        </is>
      </c>
      <c r="H1357" s="3" t="n">
        <v>20665.5</v>
      </c>
      <c r="I1357" s="3" t="n">
        <v>20735.5</v>
      </c>
      <c r="J1357" s="3">
        <f>IF(G1357="Long",I1357-H1357,IF(G1357="Short",H1357-I1357,0))</f>
        <v/>
      </c>
      <c r="K1357" s="4" t="n">
        <v>22.86</v>
      </c>
      <c r="L1357" s="2" t="inlineStr">
        <is>
          <t>Win</t>
        </is>
      </c>
      <c r="M1357" s="3">
        <f>M1356+J1357</f>
        <v/>
      </c>
    </row>
    <row r="1358">
      <c r="A1358" s="5" t="inlineStr">
        <is>
          <t>2024-07-15</t>
        </is>
      </c>
      <c r="B1358" s="5" t="inlineStr">
        <is>
          <t>Monday</t>
        </is>
      </c>
      <c r="C1358" s="5" t="inlineStr">
        <is>
          <t>MNQU4</t>
        </is>
      </c>
      <c r="D1358" s="6" t="n">
        <v>20665.5</v>
      </c>
      <c r="E1358" s="6" t="n">
        <v>20595.5</v>
      </c>
      <c r="F1358" s="6">
        <f>D1358-E1358</f>
        <v/>
      </c>
      <c r="G1358" s="5" t="inlineStr">
        <is>
          <t>Long</t>
        </is>
      </c>
      <c r="H1358" s="6" t="n">
        <v>20665.5</v>
      </c>
      <c r="I1358" s="6" t="n">
        <v>20595.5</v>
      </c>
      <c r="J1358" s="6">
        <f>IF(G1358="Long",I1358-H1358,IF(G1358="Short",H1358-I1358,0))</f>
        <v/>
      </c>
      <c r="K1358" s="7" t="n">
        <v>100</v>
      </c>
      <c r="L1358" s="5" t="inlineStr">
        <is>
          <t>Loss</t>
        </is>
      </c>
      <c r="M1358" s="6">
        <f>M1357+J1358</f>
        <v/>
      </c>
    </row>
    <row r="1359">
      <c r="A1359" s="2" t="inlineStr">
        <is>
          <t>2024-07-16</t>
        </is>
      </c>
      <c r="B1359" s="2" t="inlineStr">
        <is>
          <t>Tuesday</t>
        </is>
      </c>
      <c r="C1359" s="2" t="inlineStr">
        <is>
          <t>MNQU4</t>
        </is>
      </c>
      <c r="D1359" s="3" t="n">
        <v>20684</v>
      </c>
      <c r="E1359" s="3" t="n">
        <v>20630</v>
      </c>
      <c r="F1359" s="3">
        <f>D1359-E1359</f>
        <v/>
      </c>
      <c r="G1359" s="2" t="inlineStr">
        <is>
          <t>Short</t>
        </is>
      </c>
      <c r="H1359" s="3" t="n">
        <v>20630</v>
      </c>
      <c r="I1359" s="3" t="n">
        <v>20576</v>
      </c>
      <c r="J1359" s="3">
        <f>IF(G1359="Long",I1359-H1359,IF(G1359="Short",H1359-I1359,0))</f>
        <v/>
      </c>
      <c r="K1359" s="4" t="n">
        <v>10.19</v>
      </c>
      <c r="L1359" s="2" t="inlineStr">
        <is>
          <t>Win</t>
        </is>
      </c>
      <c r="M1359" s="3">
        <f>M1358+J1359</f>
        <v/>
      </c>
    </row>
    <row r="1360">
      <c r="A1360" s="2" t="inlineStr">
        <is>
          <t>2024-07-17</t>
        </is>
      </c>
      <c r="B1360" s="2" t="inlineStr">
        <is>
          <t>Wednesday</t>
        </is>
      </c>
      <c r="C1360" s="2" t="inlineStr">
        <is>
          <t>MNQU4</t>
        </is>
      </c>
      <c r="D1360" s="3" t="n">
        <v>20281.5</v>
      </c>
      <c r="E1360" s="3" t="n">
        <v>20210.5</v>
      </c>
      <c r="F1360" s="3">
        <f>D1360-E1360</f>
        <v/>
      </c>
      <c r="G1360" s="2" t="inlineStr">
        <is>
          <t>Short</t>
        </is>
      </c>
      <c r="H1360" s="3" t="n">
        <v>20210.5</v>
      </c>
      <c r="I1360" s="3" t="n">
        <v>20139.5</v>
      </c>
      <c r="J1360" s="3">
        <f>IF(G1360="Long",I1360-H1360,IF(G1360="Short",H1360-I1360,0))</f>
        <v/>
      </c>
      <c r="K1360" s="4" t="n">
        <v>3.17</v>
      </c>
      <c r="L1360" s="2" t="inlineStr">
        <is>
          <t>Win</t>
        </is>
      </c>
      <c r="M1360" s="3">
        <f>M1359+J1360</f>
        <v/>
      </c>
    </row>
    <row r="1361">
      <c r="A1361" s="2" t="inlineStr">
        <is>
          <t>2024-07-18</t>
        </is>
      </c>
      <c r="B1361" s="2" t="inlineStr">
        <is>
          <t>Thursday</t>
        </is>
      </c>
      <c r="C1361" s="2" t="inlineStr">
        <is>
          <t>MNQU4</t>
        </is>
      </c>
      <c r="D1361" s="3" t="n">
        <v>20149.25</v>
      </c>
      <c r="E1361" s="3" t="n">
        <v>20038.5</v>
      </c>
      <c r="F1361" s="3">
        <f>D1361-E1361</f>
        <v/>
      </c>
      <c r="G1361" s="2" t="inlineStr">
        <is>
          <t>Short</t>
        </is>
      </c>
      <c r="H1361" s="3" t="n">
        <v>20038.5</v>
      </c>
      <c r="I1361" s="3" t="n">
        <v>19927.75</v>
      </c>
      <c r="J1361" s="3">
        <f>IF(G1361="Long",I1361-H1361,IF(G1361="Short",H1361-I1361,0))</f>
        <v/>
      </c>
      <c r="K1361" s="4" t="n">
        <v>61.85</v>
      </c>
      <c r="L1361" s="2" t="inlineStr">
        <is>
          <t>Win</t>
        </is>
      </c>
      <c r="M1361" s="3">
        <f>M1360+J1361</f>
        <v/>
      </c>
    </row>
    <row r="1362">
      <c r="A1362" s="2" t="inlineStr">
        <is>
          <t>2024-07-19</t>
        </is>
      </c>
      <c r="B1362" s="2" t="inlineStr">
        <is>
          <t>Friday</t>
        </is>
      </c>
      <c r="C1362" s="2" t="inlineStr">
        <is>
          <t>MNQU4</t>
        </is>
      </c>
      <c r="D1362" s="3" t="n">
        <v>19976.75</v>
      </c>
      <c r="E1362" s="3" t="n">
        <v>19836</v>
      </c>
      <c r="F1362" s="3">
        <f>D1362-E1362</f>
        <v/>
      </c>
      <c r="G1362" s="2" t="inlineStr">
        <is>
          <t>Short</t>
        </is>
      </c>
      <c r="H1362" s="3" t="n">
        <v>19836</v>
      </c>
      <c r="I1362" s="3" t="n">
        <v>19695.25</v>
      </c>
      <c r="J1362" s="3">
        <f>IF(G1362="Long",I1362-H1362,IF(G1362="Short",H1362-I1362,0))</f>
        <v/>
      </c>
      <c r="K1362" s="4" t="n">
        <v>27.89</v>
      </c>
      <c r="L1362" s="2" t="inlineStr">
        <is>
          <t>Win</t>
        </is>
      </c>
      <c r="M1362" s="3">
        <f>M1361+J1362</f>
        <v/>
      </c>
    </row>
    <row r="1363">
      <c r="A1363" s="5" t="inlineStr">
        <is>
          <t>2024-07-22</t>
        </is>
      </c>
      <c r="B1363" s="5" t="inlineStr">
        <is>
          <t>Monday</t>
        </is>
      </c>
      <c r="C1363" s="5" t="inlineStr">
        <is>
          <t>MNQU4</t>
        </is>
      </c>
      <c r="D1363" s="6" t="n">
        <v>19979.25</v>
      </c>
      <c r="E1363" s="6" t="n">
        <v>19882.25</v>
      </c>
      <c r="F1363" s="6">
        <f>D1363-E1363</f>
        <v/>
      </c>
      <c r="G1363" s="5" t="inlineStr">
        <is>
          <t>Long</t>
        </is>
      </c>
      <c r="H1363" s="6" t="n">
        <v>19979.25</v>
      </c>
      <c r="I1363" s="6" t="n">
        <v>19882.25</v>
      </c>
      <c r="J1363" s="6">
        <f>IF(G1363="Long",I1363-H1363,IF(G1363="Short",H1363-I1363,0))</f>
        <v/>
      </c>
      <c r="K1363" s="7" t="n">
        <v>100</v>
      </c>
      <c r="L1363" s="5" t="inlineStr">
        <is>
          <t>Loss</t>
        </is>
      </c>
      <c r="M1363" s="6">
        <f>M1362+J1363</f>
        <v/>
      </c>
    </row>
    <row r="1364">
      <c r="A1364" s="5" t="inlineStr">
        <is>
          <t>2024-07-22</t>
        </is>
      </c>
      <c r="B1364" s="5" t="inlineStr">
        <is>
          <t>Monday</t>
        </is>
      </c>
      <c r="C1364" s="5" t="inlineStr">
        <is>
          <t>MNQU4</t>
        </is>
      </c>
      <c r="D1364" s="6" t="n">
        <v>19979.25</v>
      </c>
      <c r="E1364" s="6" t="n">
        <v>19882.25</v>
      </c>
      <c r="F1364" s="6">
        <f>D1364-E1364</f>
        <v/>
      </c>
      <c r="G1364" s="5" t="inlineStr">
        <is>
          <t>Short</t>
        </is>
      </c>
      <c r="H1364" s="6" t="n">
        <v>19882.25</v>
      </c>
      <c r="I1364" s="6" t="n">
        <v>19979.25</v>
      </c>
      <c r="J1364" s="6">
        <f>IF(G1364="Long",I1364-H1364,IF(G1364="Short",H1364-I1364,0))</f>
        <v/>
      </c>
      <c r="K1364" s="7" t="n">
        <v>100</v>
      </c>
      <c r="L1364" s="5" t="inlineStr">
        <is>
          <t>Loss</t>
        </is>
      </c>
      <c r="M1364" s="6">
        <f>M1363+J1364</f>
        <v/>
      </c>
    </row>
    <row r="1365">
      <c r="A1365" s="5" t="inlineStr">
        <is>
          <t>2024-07-23</t>
        </is>
      </c>
      <c r="B1365" s="5" t="inlineStr">
        <is>
          <t>Tuesday</t>
        </is>
      </c>
      <c r="C1365" s="5" t="inlineStr">
        <is>
          <t>MNQU4</t>
        </is>
      </c>
      <c r="D1365" s="6" t="n">
        <v>20033.75</v>
      </c>
      <c r="E1365" s="6" t="n">
        <v>19933.25</v>
      </c>
      <c r="F1365" s="6">
        <f>D1365-E1365</f>
        <v/>
      </c>
      <c r="G1365" s="5" t="inlineStr">
        <is>
          <t>Long</t>
        </is>
      </c>
      <c r="H1365" s="6" t="n">
        <v>20033.75</v>
      </c>
      <c r="I1365" s="6" t="n">
        <v>19933.25</v>
      </c>
      <c r="J1365" s="6">
        <f>IF(G1365="Long",I1365-H1365,IF(G1365="Short",H1365-I1365,0))</f>
        <v/>
      </c>
      <c r="K1365" s="7" t="n">
        <v>100</v>
      </c>
      <c r="L1365" s="5" t="inlineStr">
        <is>
          <t>Loss</t>
        </is>
      </c>
      <c r="M1365" s="6">
        <f>M1364+J1365</f>
        <v/>
      </c>
    </row>
    <row r="1366">
      <c r="A1366" s="8" t="inlineStr">
        <is>
          <t>2024-07-23</t>
        </is>
      </c>
      <c r="B1366" s="8" t="inlineStr">
        <is>
          <t>Tuesday</t>
        </is>
      </c>
      <c r="C1366" s="8" t="inlineStr">
        <is>
          <t>MNQU4</t>
        </is>
      </c>
      <c r="D1366" s="9" t="n">
        <v>20033.75</v>
      </c>
      <c r="E1366" s="9" t="n">
        <v>19933.25</v>
      </c>
      <c r="F1366" s="9">
        <f>D1366-E1366</f>
        <v/>
      </c>
      <c r="G1366" s="8" t="inlineStr">
        <is>
          <t>Short</t>
        </is>
      </c>
      <c r="H1366" s="9" t="n">
        <v>19933.25</v>
      </c>
      <c r="I1366" s="9" t="n">
        <v>19924.5</v>
      </c>
      <c r="J1366" s="9">
        <f>IF(G1366="Long",I1366-H1366,IF(G1366="Short",H1366-I1366,0))</f>
        <v/>
      </c>
      <c r="K1366" s="10" t="n">
        <v>0</v>
      </c>
      <c r="L1366" s="8" t="inlineStr">
        <is>
          <t>EOD-Close</t>
        </is>
      </c>
      <c r="M1366" s="9">
        <f>M1365+J1366</f>
        <v/>
      </c>
    </row>
    <row r="1367">
      <c r="A1367" s="2" t="inlineStr">
        <is>
          <t>2024-07-24</t>
        </is>
      </c>
      <c r="B1367" s="2" t="inlineStr">
        <is>
          <t>Wednesday</t>
        </is>
      </c>
      <c r="C1367" s="2" t="inlineStr">
        <is>
          <t>MNQU4</t>
        </is>
      </c>
      <c r="D1367" s="3" t="n">
        <v>19655</v>
      </c>
      <c r="E1367" s="3" t="n">
        <v>19527</v>
      </c>
      <c r="F1367" s="3">
        <f>D1367-E1367</f>
        <v/>
      </c>
      <c r="G1367" s="2" t="inlineStr">
        <is>
          <t>Short</t>
        </is>
      </c>
      <c r="H1367" s="3" t="n">
        <v>19527</v>
      </c>
      <c r="I1367" s="3" t="n">
        <v>19399</v>
      </c>
      <c r="J1367" s="3">
        <f>IF(G1367="Long",I1367-H1367,IF(G1367="Short",H1367-I1367,0))</f>
        <v/>
      </c>
      <c r="K1367" s="4" t="n">
        <v>0</v>
      </c>
      <c r="L1367" s="2" t="inlineStr">
        <is>
          <t>Win</t>
        </is>
      </c>
      <c r="M1367" s="3">
        <f>M1366+J1367</f>
        <v/>
      </c>
    </row>
    <row r="1368">
      <c r="A1368" s="2" t="inlineStr">
        <is>
          <t>2024-07-25</t>
        </is>
      </c>
      <c r="B1368" s="2" t="inlineStr">
        <is>
          <t>Thursday</t>
        </is>
      </c>
      <c r="C1368" s="2" t="inlineStr">
        <is>
          <t>MNQU4</t>
        </is>
      </c>
      <c r="D1368" s="3" t="n">
        <v>19226.5</v>
      </c>
      <c r="E1368" s="3" t="n">
        <v>19107.5</v>
      </c>
      <c r="F1368" s="3">
        <f>D1368-E1368</f>
        <v/>
      </c>
      <c r="G1368" s="2" t="inlineStr">
        <is>
          <t>Short</t>
        </is>
      </c>
      <c r="H1368" s="3" t="n">
        <v>19107.5</v>
      </c>
      <c r="I1368" s="3" t="n">
        <v>18988.5</v>
      </c>
      <c r="J1368" s="3">
        <f>IF(G1368="Long",I1368-H1368,IF(G1368="Short",H1368-I1368,0))</f>
        <v/>
      </c>
      <c r="K1368" s="4" t="n">
        <v>0</v>
      </c>
      <c r="L1368" s="2" t="inlineStr">
        <is>
          <t>Win</t>
        </is>
      </c>
      <c r="M1368" s="3">
        <f>M1367+J1368</f>
        <v/>
      </c>
    </row>
    <row r="1369">
      <c r="A1369" s="5" t="inlineStr">
        <is>
          <t>2024-07-25</t>
        </is>
      </c>
      <c r="B1369" s="5" t="inlineStr">
        <is>
          <t>Thursday</t>
        </is>
      </c>
      <c r="C1369" s="5" t="inlineStr">
        <is>
          <t>MNQU4</t>
        </is>
      </c>
      <c r="D1369" s="6" t="n">
        <v>19226.5</v>
      </c>
      <c r="E1369" s="6" t="n">
        <v>19107.5</v>
      </c>
      <c r="F1369" s="6">
        <f>D1369-E1369</f>
        <v/>
      </c>
      <c r="G1369" s="5" t="inlineStr">
        <is>
          <t>Short</t>
        </is>
      </c>
      <c r="H1369" s="6" t="n">
        <v>19107.5</v>
      </c>
      <c r="I1369" s="6" t="n">
        <v>19226.5</v>
      </c>
      <c r="J1369" s="6">
        <f>IF(G1369="Long",I1369-H1369,IF(G1369="Short",H1369-I1369,0))</f>
        <v/>
      </c>
      <c r="K1369" s="7" t="n">
        <v>100</v>
      </c>
      <c r="L1369" s="5" t="inlineStr">
        <is>
          <t>Loss</t>
        </is>
      </c>
      <c r="M1369" s="6">
        <f>M1368+J1369</f>
        <v/>
      </c>
    </row>
    <row r="1370">
      <c r="A1370" s="5" t="inlineStr">
        <is>
          <t>2024-07-26</t>
        </is>
      </c>
      <c r="B1370" s="5" t="inlineStr">
        <is>
          <t>Friday</t>
        </is>
      </c>
      <c r="C1370" s="5" t="inlineStr">
        <is>
          <t>MNQU4</t>
        </is>
      </c>
      <c r="D1370" s="6" t="n">
        <v>19166</v>
      </c>
      <c r="E1370" s="6" t="n">
        <v>19078.75</v>
      </c>
      <c r="F1370" s="6">
        <f>D1370-E1370</f>
        <v/>
      </c>
      <c r="G1370" s="5" t="inlineStr">
        <is>
          <t>Short</t>
        </is>
      </c>
      <c r="H1370" s="6" t="n">
        <v>19078.75</v>
      </c>
      <c r="I1370" s="6" t="n">
        <v>19166</v>
      </c>
      <c r="J1370" s="6">
        <f>IF(G1370="Long",I1370-H1370,IF(G1370="Short",H1370-I1370,0))</f>
        <v/>
      </c>
      <c r="K1370" s="7" t="n">
        <v>100</v>
      </c>
      <c r="L1370" s="5" t="inlineStr">
        <is>
          <t>Loss</t>
        </is>
      </c>
      <c r="M1370" s="6">
        <f>M1369+J1370</f>
        <v/>
      </c>
    </row>
    <row r="1371">
      <c r="A1371" s="5" t="inlineStr">
        <is>
          <t>2024-07-26</t>
        </is>
      </c>
      <c r="B1371" s="5" t="inlineStr">
        <is>
          <t>Friday</t>
        </is>
      </c>
      <c r="C1371" s="5" t="inlineStr">
        <is>
          <t>MNQU4</t>
        </is>
      </c>
      <c r="D1371" s="6" t="n">
        <v>19166</v>
      </c>
      <c r="E1371" s="6" t="n">
        <v>19078.75</v>
      </c>
      <c r="F1371" s="6">
        <f>D1371-E1371</f>
        <v/>
      </c>
      <c r="G1371" s="5" t="inlineStr">
        <is>
          <t>Short</t>
        </is>
      </c>
      <c r="H1371" s="6" t="n">
        <v>19078.75</v>
      </c>
      <c r="I1371" s="6" t="n">
        <v>19166</v>
      </c>
      <c r="J1371" s="6">
        <f>IF(G1371="Long",I1371-H1371,IF(G1371="Short",H1371-I1371,0))</f>
        <v/>
      </c>
      <c r="K1371" s="7" t="n">
        <v>100</v>
      </c>
      <c r="L1371" s="5" t="inlineStr">
        <is>
          <t>Loss</t>
        </is>
      </c>
      <c r="M1371" s="6">
        <f>M1370+J1371</f>
        <v/>
      </c>
    </row>
    <row r="1372">
      <c r="A1372" s="5" t="inlineStr">
        <is>
          <t>2024-07-29</t>
        </is>
      </c>
      <c r="B1372" s="5" t="inlineStr">
        <is>
          <t>Monday</t>
        </is>
      </c>
      <c r="C1372" s="5" t="inlineStr">
        <is>
          <t>MNQU4</t>
        </is>
      </c>
      <c r="D1372" s="6" t="n">
        <v>19342.75</v>
      </c>
      <c r="E1372" s="6" t="n">
        <v>19222.5</v>
      </c>
      <c r="F1372" s="6">
        <f>D1372-E1372</f>
        <v/>
      </c>
      <c r="G1372" s="5" t="inlineStr">
        <is>
          <t>Long</t>
        </is>
      </c>
      <c r="H1372" s="6" t="n">
        <v>19342.75</v>
      </c>
      <c r="I1372" s="6" t="n">
        <v>19222.5</v>
      </c>
      <c r="J1372" s="6">
        <f>IF(G1372="Long",I1372-H1372,IF(G1372="Short",H1372-I1372,0))</f>
        <v/>
      </c>
      <c r="K1372" s="7" t="n">
        <v>100</v>
      </c>
      <c r="L1372" s="5" t="inlineStr">
        <is>
          <t>Loss</t>
        </is>
      </c>
      <c r="M1372" s="6">
        <f>M1371+J1372</f>
        <v/>
      </c>
    </row>
    <row r="1373">
      <c r="A1373" s="5" t="inlineStr">
        <is>
          <t>2024-07-29</t>
        </is>
      </c>
      <c r="B1373" s="5" t="inlineStr">
        <is>
          <t>Monday</t>
        </is>
      </c>
      <c r="C1373" s="5" t="inlineStr">
        <is>
          <t>MNQU4</t>
        </is>
      </c>
      <c r="D1373" s="6" t="n">
        <v>19342.75</v>
      </c>
      <c r="E1373" s="6" t="n">
        <v>19222.5</v>
      </c>
      <c r="F1373" s="6">
        <f>D1373-E1373</f>
        <v/>
      </c>
      <c r="G1373" s="5" t="inlineStr">
        <is>
          <t>Short</t>
        </is>
      </c>
      <c r="H1373" s="6" t="n">
        <v>19222.5</v>
      </c>
      <c r="I1373" s="6" t="n">
        <v>19342.75</v>
      </c>
      <c r="J1373" s="6">
        <f>IF(G1373="Long",I1373-H1373,IF(G1373="Short",H1373-I1373,0))</f>
        <v/>
      </c>
      <c r="K1373" s="7" t="n">
        <v>100</v>
      </c>
      <c r="L1373" s="5" t="inlineStr">
        <is>
          <t>Loss</t>
        </is>
      </c>
      <c r="M1373" s="6">
        <f>M1372+J1373</f>
        <v/>
      </c>
    </row>
    <row r="1374">
      <c r="A1374" s="2" t="inlineStr">
        <is>
          <t>2024-07-30</t>
        </is>
      </c>
      <c r="B1374" s="2" t="inlineStr">
        <is>
          <t>Tuesday</t>
        </is>
      </c>
      <c r="C1374" s="2" t="inlineStr">
        <is>
          <t>MNQU4</t>
        </is>
      </c>
      <c r="D1374" s="3" t="n">
        <v>19319.25</v>
      </c>
      <c r="E1374" s="3" t="n">
        <v>19255.25</v>
      </c>
      <c r="F1374" s="3">
        <f>D1374-E1374</f>
        <v/>
      </c>
      <c r="G1374" s="2" t="inlineStr">
        <is>
          <t>Short</t>
        </is>
      </c>
      <c r="H1374" s="3" t="n">
        <v>19255.25</v>
      </c>
      <c r="I1374" s="3" t="n">
        <v>19191.25</v>
      </c>
      <c r="J1374" s="3">
        <f>IF(G1374="Long",I1374-H1374,IF(G1374="Short",H1374-I1374,0))</f>
        <v/>
      </c>
      <c r="K1374" s="4" t="n">
        <v>0</v>
      </c>
      <c r="L1374" s="2" t="inlineStr">
        <is>
          <t>Win</t>
        </is>
      </c>
      <c r="M1374" s="3">
        <f>M1373+J1374</f>
        <v/>
      </c>
    </row>
    <row r="1375">
      <c r="A1375" s="2" t="inlineStr">
        <is>
          <t>2024-07-31</t>
        </is>
      </c>
      <c r="B1375" s="2" t="inlineStr">
        <is>
          <t>Wednesday</t>
        </is>
      </c>
      <c r="C1375" s="2" t="inlineStr">
        <is>
          <t>MNQU4</t>
        </is>
      </c>
      <c r="D1375" s="3" t="n">
        <v>19412</v>
      </c>
      <c r="E1375" s="3" t="n">
        <v>19310.5</v>
      </c>
      <c r="F1375" s="3">
        <f>D1375-E1375</f>
        <v/>
      </c>
      <c r="G1375" s="2" t="inlineStr">
        <is>
          <t>Long</t>
        </is>
      </c>
      <c r="H1375" s="3" t="n">
        <v>19412</v>
      </c>
      <c r="I1375" s="3" t="n">
        <v>19513.5</v>
      </c>
      <c r="J1375" s="3">
        <f>IF(G1375="Long",I1375-H1375,IF(G1375="Short",H1375-I1375,0))</f>
        <v/>
      </c>
      <c r="K1375" s="4" t="n">
        <v>0.74</v>
      </c>
      <c r="L1375" s="2" t="inlineStr">
        <is>
          <t>Win</t>
        </is>
      </c>
      <c r="M1375" s="3">
        <f>M1374+J1375</f>
        <v/>
      </c>
    </row>
    <row r="1376">
      <c r="A1376" s="2" t="inlineStr">
        <is>
          <t>2024-07-31</t>
        </is>
      </c>
      <c r="B1376" s="2" t="inlineStr">
        <is>
          <t>Wednesday</t>
        </is>
      </c>
      <c r="C1376" s="2" t="inlineStr">
        <is>
          <t>MNQU4</t>
        </is>
      </c>
      <c r="D1376" s="3" t="n">
        <v>19412</v>
      </c>
      <c r="E1376" s="3" t="n">
        <v>19310.5</v>
      </c>
      <c r="F1376" s="3">
        <f>D1376-E1376</f>
        <v/>
      </c>
      <c r="G1376" s="2" t="inlineStr">
        <is>
          <t>Long</t>
        </is>
      </c>
      <c r="H1376" s="3" t="n">
        <v>19412</v>
      </c>
      <c r="I1376" s="3" t="n">
        <v>19513.5</v>
      </c>
      <c r="J1376" s="3">
        <f>IF(G1376="Long",I1376-H1376,IF(G1376="Short",H1376-I1376,0))</f>
        <v/>
      </c>
      <c r="K1376" s="4" t="n">
        <v>66.75</v>
      </c>
      <c r="L1376" s="2" t="inlineStr">
        <is>
          <t>Win</t>
        </is>
      </c>
      <c r="M1376" s="3">
        <f>M1375+J1376</f>
        <v/>
      </c>
    </row>
    <row r="1377">
      <c r="A1377" s="5" t="inlineStr">
        <is>
          <t>2024-08-01</t>
        </is>
      </c>
      <c r="B1377" s="5" t="inlineStr">
        <is>
          <t>Thursday</t>
        </is>
      </c>
      <c r="C1377" s="5" t="inlineStr">
        <is>
          <t>MNQU4</t>
        </is>
      </c>
      <c r="D1377" s="6" t="n">
        <v>19636.5</v>
      </c>
      <c r="E1377" s="6" t="n">
        <v>19505</v>
      </c>
      <c r="F1377" s="6">
        <f>D1377-E1377</f>
        <v/>
      </c>
      <c r="G1377" s="5" t="inlineStr">
        <is>
          <t>Long</t>
        </is>
      </c>
      <c r="H1377" s="6" t="n">
        <v>19636.5</v>
      </c>
      <c r="I1377" s="6" t="n">
        <v>19505</v>
      </c>
      <c r="J1377" s="6">
        <f>IF(G1377="Long",I1377-H1377,IF(G1377="Short",H1377-I1377,0))</f>
        <v/>
      </c>
      <c r="K1377" s="7" t="n">
        <v>100</v>
      </c>
      <c r="L1377" s="5" t="inlineStr">
        <is>
          <t>Loss</t>
        </is>
      </c>
      <c r="M1377" s="6">
        <f>M1376+J1377</f>
        <v/>
      </c>
    </row>
    <row r="1378">
      <c r="A1378" s="2" t="inlineStr">
        <is>
          <t>2024-08-01</t>
        </is>
      </c>
      <c r="B1378" s="2" t="inlineStr">
        <is>
          <t>Thursday</t>
        </is>
      </c>
      <c r="C1378" s="2" t="inlineStr">
        <is>
          <t>MNQU4</t>
        </is>
      </c>
      <c r="D1378" s="3" t="n">
        <v>19636.5</v>
      </c>
      <c r="E1378" s="3" t="n">
        <v>19505</v>
      </c>
      <c r="F1378" s="3">
        <f>D1378-E1378</f>
        <v/>
      </c>
      <c r="G1378" s="2" t="inlineStr">
        <is>
          <t>Short</t>
        </is>
      </c>
      <c r="H1378" s="3" t="n">
        <v>19505</v>
      </c>
      <c r="I1378" s="3" t="n">
        <v>19373.5</v>
      </c>
      <c r="J1378" s="3">
        <f>IF(G1378="Long",I1378-H1378,IF(G1378="Short",H1378-I1378,0))</f>
        <v/>
      </c>
      <c r="K1378" s="4" t="n">
        <v>7.03</v>
      </c>
      <c r="L1378" s="2" t="inlineStr">
        <is>
          <t>Win</t>
        </is>
      </c>
      <c r="M1378" s="3">
        <f>M1377+J1378</f>
        <v/>
      </c>
    </row>
    <row r="1379">
      <c r="A1379" s="8" t="inlineStr">
        <is>
          <t>2024-08-02</t>
        </is>
      </c>
      <c r="B1379" s="8" t="inlineStr">
        <is>
          <t>Friday</t>
        </is>
      </c>
      <c r="C1379" s="8" t="inlineStr">
        <is>
          <t>MNQU4</t>
        </is>
      </c>
      <c r="D1379" s="9" t="n">
        <v>18761.25</v>
      </c>
      <c r="E1379" s="9" t="n">
        <v>18541.75</v>
      </c>
      <c r="F1379" s="9">
        <f>D1379-E1379</f>
        <v/>
      </c>
      <c r="G1379" s="8" t="inlineStr">
        <is>
          <t>Short</t>
        </is>
      </c>
      <c r="H1379" s="9" t="n">
        <v>18541.75</v>
      </c>
      <c r="I1379" s="9" t="n">
        <v>18561.25</v>
      </c>
      <c r="J1379" s="9">
        <f>IF(G1379="Long",I1379-H1379,IF(G1379="Short",H1379-I1379,0))</f>
        <v/>
      </c>
      <c r="K1379" s="10" t="n">
        <v>41.69</v>
      </c>
      <c r="L1379" s="8" t="inlineStr">
        <is>
          <t>EOD-Close</t>
        </is>
      </c>
      <c r="M1379" s="9">
        <f>M1378+J1379</f>
        <v/>
      </c>
    </row>
    <row r="1380">
      <c r="A1380" s="2" t="inlineStr">
        <is>
          <t>2024-08-05</t>
        </is>
      </c>
      <c r="B1380" s="2" t="inlineStr">
        <is>
          <t>Monday</t>
        </is>
      </c>
      <c r="C1380" s="2" t="inlineStr">
        <is>
          <t>MNQU4</t>
        </is>
      </c>
      <c r="D1380" s="3" t="n">
        <v>17871.5</v>
      </c>
      <c r="E1380" s="3" t="n">
        <v>17509.25</v>
      </c>
      <c r="F1380" s="3">
        <f>D1380-E1380</f>
        <v/>
      </c>
      <c r="G1380" s="2" t="inlineStr">
        <is>
          <t>Long</t>
        </is>
      </c>
      <c r="H1380" s="3" t="n">
        <v>17871.5</v>
      </c>
      <c r="I1380" s="3" t="n">
        <v>18233.75</v>
      </c>
      <c r="J1380" s="3">
        <f>IF(G1380="Long",I1380-H1380,IF(G1380="Short",H1380-I1380,0))</f>
        <v/>
      </c>
      <c r="K1380" s="4" t="n">
        <v>5.87</v>
      </c>
      <c r="L1380" s="2" t="inlineStr">
        <is>
          <t>Win</t>
        </is>
      </c>
      <c r="M1380" s="3">
        <f>M1379+J1380</f>
        <v/>
      </c>
    </row>
    <row r="1381">
      <c r="A1381" s="2" t="inlineStr">
        <is>
          <t>2024-08-06</t>
        </is>
      </c>
      <c r="B1381" s="2" t="inlineStr">
        <is>
          <t>Tuesday</t>
        </is>
      </c>
      <c r="C1381" s="2" t="inlineStr">
        <is>
          <t>MNQU4</t>
        </is>
      </c>
      <c r="D1381" s="3" t="n">
        <v>18173.75</v>
      </c>
      <c r="E1381" s="3" t="n">
        <v>17970.75</v>
      </c>
      <c r="F1381" s="3">
        <f>D1381-E1381</f>
        <v/>
      </c>
      <c r="G1381" s="2" t="inlineStr">
        <is>
          <t>Long</t>
        </is>
      </c>
      <c r="H1381" s="3" t="n">
        <v>18173.75</v>
      </c>
      <c r="I1381" s="3" t="n">
        <v>18376.75</v>
      </c>
      <c r="J1381" s="3">
        <f>IF(G1381="Long",I1381-H1381,IF(G1381="Short",H1381-I1381,0))</f>
        <v/>
      </c>
      <c r="K1381" s="4" t="n">
        <v>22.91</v>
      </c>
      <c r="L1381" s="2" t="inlineStr">
        <is>
          <t>Win</t>
        </is>
      </c>
      <c r="M1381" s="3">
        <f>M1380+J1381</f>
        <v/>
      </c>
    </row>
    <row r="1382">
      <c r="A1382" s="8" t="inlineStr">
        <is>
          <t>2024-08-06</t>
        </is>
      </c>
      <c r="B1382" s="8" t="inlineStr">
        <is>
          <t>Tuesday</t>
        </is>
      </c>
      <c r="C1382" s="8" t="inlineStr">
        <is>
          <t>MNQU4</t>
        </is>
      </c>
      <c r="D1382" s="9" t="n">
        <v>18173.75</v>
      </c>
      <c r="E1382" s="9" t="n">
        <v>17970.75</v>
      </c>
      <c r="F1382" s="9">
        <f>D1382-E1382</f>
        <v/>
      </c>
      <c r="G1382" s="8" t="inlineStr">
        <is>
          <t>Long</t>
        </is>
      </c>
      <c r="H1382" s="9" t="n">
        <v>18173.75</v>
      </c>
      <c r="I1382" s="9" t="n">
        <v>18171.25</v>
      </c>
      <c r="J1382" s="9">
        <f>IF(G1382="Long",I1382-H1382,IF(G1382="Short",H1382-I1382,0))</f>
        <v/>
      </c>
      <c r="K1382" s="10" t="n">
        <v>4.68</v>
      </c>
      <c r="L1382" s="8" t="inlineStr">
        <is>
          <t>EOD-Close</t>
        </is>
      </c>
      <c r="M1382" s="9">
        <f>M1381+J1382</f>
        <v/>
      </c>
    </row>
    <row r="1383">
      <c r="A1383" s="5" t="inlineStr">
        <is>
          <t>2024-08-07</t>
        </is>
      </c>
      <c r="B1383" s="5" t="inlineStr">
        <is>
          <t>Wednesday</t>
        </is>
      </c>
      <c r="C1383" s="5" t="inlineStr">
        <is>
          <t>MNQU4</t>
        </is>
      </c>
      <c r="D1383" s="6" t="n">
        <v>18540.75</v>
      </c>
      <c r="E1383" s="6" t="n">
        <v>18438.75</v>
      </c>
      <c r="F1383" s="6">
        <f>D1383-E1383</f>
        <v/>
      </c>
      <c r="G1383" s="5" t="inlineStr">
        <is>
          <t>Short</t>
        </is>
      </c>
      <c r="H1383" s="6" t="n">
        <v>18438.75</v>
      </c>
      <c r="I1383" s="6" t="n">
        <v>18540.75</v>
      </c>
      <c r="J1383" s="6">
        <f>IF(G1383="Long",I1383-H1383,IF(G1383="Short",H1383-I1383,0))</f>
        <v/>
      </c>
      <c r="K1383" s="7" t="n">
        <v>100</v>
      </c>
      <c r="L1383" s="5" t="inlineStr">
        <is>
          <t>Loss</t>
        </is>
      </c>
      <c r="M1383" s="6">
        <f>M1382+J1383</f>
        <v/>
      </c>
    </row>
    <row r="1384">
      <c r="A1384" s="2" t="inlineStr">
        <is>
          <t>2024-08-07</t>
        </is>
      </c>
      <c r="B1384" s="2" t="inlineStr">
        <is>
          <t>Wednesday</t>
        </is>
      </c>
      <c r="C1384" s="2" t="inlineStr">
        <is>
          <t>MNQU4</t>
        </is>
      </c>
      <c r="D1384" s="3" t="n">
        <v>18540.75</v>
      </c>
      <c r="E1384" s="3" t="n">
        <v>18438.75</v>
      </c>
      <c r="F1384" s="3">
        <f>D1384-E1384</f>
        <v/>
      </c>
      <c r="G1384" s="2" t="inlineStr">
        <is>
          <t>Short</t>
        </is>
      </c>
      <c r="H1384" s="3" t="n">
        <v>18438.75</v>
      </c>
      <c r="I1384" s="3" t="n">
        <v>18336.75</v>
      </c>
      <c r="J1384" s="3">
        <f>IF(G1384="Long",I1384-H1384,IF(G1384="Short",H1384-I1384,0))</f>
        <v/>
      </c>
      <c r="K1384" s="4" t="n">
        <v>0</v>
      </c>
      <c r="L1384" s="2" t="inlineStr">
        <is>
          <t>Win</t>
        </is>
      </c>
      <c r="M1384" s="3">
        <f>M1383+J1384</f>
        <v/>
      </c>
    </row>
    <row r="1385">
      <c r="A1385" s="5" t="inlineStr">
        <is>
          <t>2024-08-08</t>
        </is>
      </c>
      <c r="B1385" s="5" t="inlineStr">
        <is>
          <t>Thursday</t>
        </is>
      </c>
      <c r="C1385" s="5" t="inlineStr">
        <is>
          <t>MNQU4</t>
        </is>
      </c>
      <c r="D1385" s="6" t="n">
        <v>18244</v>
      </c>
      <c r="E1385" s="6" t="n">
        <v>18130.25</v>
      </c>
      <c r="F1385" s="6">
        <f>D1385-E1385</f>
        <v/>
      </c>
      <c r="G1385" s="5" t="inlineStr">
        <is>
          <t>Short</t>
        </is>
      </c>
      <c r="H1385" s="6" t="n">
        <v>18130.25</v>
      </c>
      <c r="I1385" s="6" t="n">
        <v>18244</v>
      </c>
      <c r="J1385" s="6">
        <f>IF(G1385="Long",I1385-H1385,IF(G1385="Short",H1385-I1385,0))</f>
        <v/>
      </c>
      <c r="K1385" s="7" t="n">
        <v>100</v>
      </c>
      <c r="L1385" s="5" t="inlineStr">
        <is>
          <t>Loss</t>
        </is>
      </c>
      <c r="M1385" s="6">
        <f>M1384+J1385</f>
        <v/>
      </c>
    </row>
    <row r="1386">
      <c r="A1386" s="2" t="inlineStr">
        <is>
          <t>2024-08-08</t>
        </is>
      </c>
      <c r="B1386" s="2" t="inlineStr">
        <is>
          <t>Thursday</t>
        </is>
      </c>
      <c r="C1386" s="2" t="inlineStr">
        <is>
          <t>MNQU4</t>
        </is>
      </c>
      <c r="D1386" s="3" t="n">
        <v>18244</v>
      </c>
      <c r="E1386" s="3" t="n">
        <v>18130.25</v>
      </c>
      <c r="F1386" s="3">
        <f>D1386-E1386</f>
        <v/>
      </c>
      <c r="G1386" s="2" t="inlineStr">
        <is>
          <t>Long</t>
        </is>
      </c>
      <c r="H1386" s="3" t="n">
        <v>18244</v>
      </c>
      <c r="I1386" s="3" t="n">
        <v>18357.75</v>
      </c>
      <c r="J1386" s="3">
        <f>IF(G1386="Long",I1386-H1386,IF(G1386="Short",H1386-I1386,0))</f>
        <v/>
      </c>
      <c r="K1386" s="4" t="n">
        <v>12.09</v>
      </c>
      <c r="L1386" s="2" t="inlineStr">
        <is>
          <t>Win</t>
        </is>
      </c>
      <c r="M1386" s="3">
        <f>M1385+J1386</f>
        <v/>
      </c>
    </row>
    <row r="1387">
      <c r="A1387" s="5" t="inlineStr">
        <is>
          <t>2024-08-09</t>
        </is>
      </c>
      <c r="B1387" s="5" t="inlineStr">
        <is>
          <t>Friday</t>
        </is>
      </c>
      <c r="C1387" s="5" t="inlineStr">
        <is>
          <t>MNQU4</t>
        </is>
      </c>
      <c r="D1387" s="6" t="n">
        <v>18528.75</v>
      </c>
      <c r="E1387" s="6" t="n">
        <v>18445.5</v>
      </c>
      <c r="F1387" s="6">
        <f>D1387-E1387</f>
        <v/>
      </c>
      <c r="G1387" s="5" t="inlineStr">
        <is>
          <t>Short</t>
        </is>
      </c>
      <c r="H1387" s="6" t="n">
        <v>18445.5</v>
      </c>
      <c r="I1387" s="6" t="n">
        <v>18528.75</v>
      </c>
      <c r="J1387" s="6">
        <f>IF(G1387="Long",I1387-H1387,IF(G1387="Short",H1387-I1387,0))</f>
        <v/>
      </c>
      <c r="K1387" s="7" t="n">
        <v>100</v>
      </c>
      <c r="L1387" s="5" t="inlineStr">
        <is>
          <t>Loss</t>
        </is>
      </c>
      <c r="M1387" s="6">
        <f>M1386+J1387</f>
        <v/>
      </c>
    </row>
    <row r="1388">
      <c r="A1388" s="5" t="inlineStr">
        <is>
          <t>2024-08-09</t>
        </is>
      </c>
      <c r="B1388" s="5" t="inlineStr">
        <is>
          <t>Friday</t>
        </is>
      </c>
      <c r="C1388" s="5" t="inlineStr">
        <is>
          <t>MNQU4</t>
        </is>
      </c>
      <c r="D1388" s="6" t="n">
        <v>18528.75</v>
      </c>
      <c r="E1388" s="6" t="n">
        <v>18445.5</v>
      </c>
      <c r="F1388" s="6">
        <f>D1388-E1388</f>
        <v/>
      </c>
      <c r="G1388" s="5" t="inlineStr">
        <is>
          <t>Long</t>
        </is>
      </c>
      <c r="H1388" s="6" t="n">
        <v>18528.75</v>
      </c>
      <c r="I1388" s="6" t="n">
        <v>18445.5</v>
      </c>
      <c r="J1388" s="6">
        <f>IF(G1388="Long",I1388-H1388,IF(G1388="Short",H1388-I1388,0))</f>
        <v/>
      </c>
      <c r="K1388" s="7" t="n">
        <v>100</v>
      </c>
      <c r="L1388" s="5" t="inlineStr">
        <is>
          <t>Loss</t>
        </is>
      </c>
      <c r="M1388" s="6">
        <f>M1387+J1388</f>
        <v/>
      </c>
    </row>
    <row r="1389">
      <c r="A1389" s="5" t="inlineStr">
        <is>
          <t>2024-08-12</t>
        </is>
      </c>
      <c r="B1389" s="5" t="inlineStr">
        <is>
          <t>Monday</t>
        </is>
      </c>
      <c r="C1389" s="5" t="inlineStr">
        <is>
          <t>MNQU4</t>
        </is>
      </c>
      <c r="D1389" s="6" t="n">
        <v>18672.75</v>
      </c>
      <c r="E1389" s="6" t="n">
        <v>18557.25</v>
      </c>
      <c r="F1389" s="6">
        <f>D1389-E1389</f>
        <v/>
      </c>
      <c r="G1389" s="5" t="inlineStr">
        <is>
          <t>Short</t>
        </is>
      </c>
      <c r="H1389" s="6" t="n">
        <v>18557.25</v>
      </c>
      <c r="I1389" s="6" t="n">
        <v>18672.75</v>
      </c>
      <c r="J1389" s="6">
        <f>IF(G1389="Long",I1389-H1389,IF(G1389="Short",H1389-I1389,0))</f>
        <v/>
      </c>
      <c r="K1389" s="7" t="n">
        <v>100</v>
      </c>
      <c r="L1389" s="5" t="inlineStr">
        <is>
          <t>Loss</t>
        </is>
      </c>
      <c r="M1389" s="6">
        <f>M1388+J1389</f>
        <v/>
      </c>
    </row>
    <row r="1390">
      <c r="A1390" s="8" t="inlineStr">
        <is>
          <t>2024-08-12</t>
        </is>
      </c>
      <c r="B1390" s="8" t="inlineStr">
        <is>
          <t>Monday</t>
        </is>
      </c>
      <c r="C1390" s="8" t="inlineStr">
        <is>
          <t>MNQU4</t>
        </is>
      </c>
      <c r="D1390" s="9" t="n">
        <v>18672.75</v>
      </c>
      <c r="E1390" s="9" t="n">
        <v>18557.25</v>
      </c>
      <c r="F1390" s="9">
        <f>D1390-E1390</f>
        <v/>
      </c>
      <c r="G1390" s="8" t="inlineStr">
        <is>
          <t>Long</t>
        </is>
      </c>
      <c r="H1390" s="9" t="n">
        <v>18672.75</v>
      </c>
      <c r="I1390" s="9" t="n">
        <v>18644.5</v>
      </c>
      <c r="J1390" s="9">
        <f>IF(G1390="Long",I1390-H1390,IF(G1390="Short",H1390-I1390,0))</f>
        <v/>
      </c>
      <c r="K1390" s="10" t="n">
        <v>83.55</v>
      </c>
      <c r="L1390" s="8" t="inlineStr">
        <is>
          <t>EOD-Close</t>
        </is>
      </c>
      <c r="M1390" s="9">
        <f>M1389+J1390</f>
        <v/>
      </c>
    </row>
    <row r="1391">
      <c r="A1391" s="2" t="inlineStr">
        <is>
          <t>2024-08-13</t>
        </is>
      </c>
      <c r="B1391" s="2" t="inlineStr">
        <is>
          <t>Tuesday</t>
        </is>
      </c>
      <c r="C1391" s="2" t="inlineStr">
        <is>
          <t>MNQU4</t>
        </is>
      </c>
      <c r="D1391" s="3" t="n">
        <v>18891.25</v>
      </c>
      <c r="E1391" s="3" t="n">
        <v>18815.75</v>
      </c>
      <c r="F1391" s="3">
        <f>D1391-E1391</f>
        <v/>
      </c>
      <c r="G1391" s="2" t="inlineStr">
        <is>
          <t>Long</t>
        </is>
      </c>
      <c r="H1391" s="3" t="n">
        <v>18891.25</v>
      </c>
      <c r="I1391" s="3" t="n">
        <v>18966.75</v>
      </c>
      <c r="J1391" s="3">
        <f>IF(G1391="Long",I1391-H1391,IF(G1391="Short",H1391-I1391,0))</f>
        <v/>
      </c>
      <c r="K1391" s="4" t="n">
        <v>47.02</v>
      </c>
      <c r="L1391" s="2" t="inlineStr">
        <is>
          <t>Win</t>
        </is>
      </c>
      <c r="M1391" s="3">
        <f>M1390+J1391</f>
        <v/>
      </c>
    </row>
    <row r="1392">
      <c r="A1392" s="5" t="inlineStr">
        <is>
          <t>2024-08-14</t>
        </is>
      </c>
      <c r="B1392" s="5" t="inlineStr">
        <is>
          <t>Wednesday</t>
        </is>
      </c>
      <c r="C1392" s="5" t="inlineStr">
        <is>
          <t>MNQU4</t>
        </is>
      </c>
      <c r="D1392" s="6" t="n">
        <v>19175</v>
      </c>
      <c r="E1392" s="6" t="n">
        <v>19043.5</v>
      </c>
      <c r="F1392" s="6">
        <f>D1392-E1392</f>
        <v/>
      </c>
      <c r="G1392" s="5" t="inlineStr">
        <is>
          <t>Short</t>
        </is>
      </c>
      <c r="H1392" s="6" t="n">
        <v>19043.5</v>
      </c>
      <c r="I1392" s="6" t="n">
        <v>19175</v>
      </c>
      <c r="J1392" s="6">
        <f>IF(G1392="Long",I1392-H1392,IF(G1392="Short",H1392-I1392,0))</f>
        <v/>
      </c>
      <c r="K1392" s="7" t="n">
        <v>100</v>
      </c>
      <c r="L1392" s="5" t="inlineStr">
        <is>
          <t>Loss</t>
        </is>
      </c>
      <c r="M1392" s="6">
        <f>M1391+J1392</f>
        <v/>
      </c>
    </row>
    <row r="1393">
      <c r="A1393" s="5" t="inlineStr">
        <is>
          <t>2024-08-14</t>
        </is>
      </c>
      <c r="B1393" s="5" t="inlineStr">
        <is>
          <t>Wednesday</t>
        </is>
      </c>
      <c r="C1393" s="5" t="inlineStr">
        <is>
          <t>MNQU4</t>
        </is>
      </c>
      <c r="D1393" s="6" t="n">
        <v>19175</v>
      </c>
      <c r="E1393" s="6" t="n">
        <v>19043.5</v>
      </c>
      <c r="F1393" s="6">
        <f>D1393-E1393</f>
        <v/>
      </c>
      <c r="G1393" s="5" t="inlineStr">
        <is>
          <t>Long</t>
        </is>
      </c>
      <c r="H1393" s="6" t="n">
        <v>19175</v>
      </c>
      <c r="I1393" s="6" t="n">
        <v>19043.5</v>
      </c>
      <c r="J1393" s="6">
        <f>IF(G1393="Long",I1393-H1393,IF(G1393="Short",H1393-I1393,0))</f>
        <v/>
      </c>
      <c r="K1393" s="7" t="n">
        <v>100</v>
      </c>
      <c r="L1393" s="5" t="inlineStr">
        <is>
          <t>Loss</t>
        </is>
      </c>
      <c r="M1393" s="6">
        <f>M1392+J1393</f>
        <v/>
      </c>
    </row>
    <row r="1394">
      <c r="A1394" s="2" t="inlineStr">
        <is>
          <t>2024-08-15</t>
        </is>
      </c>
      <c r="B1394" s="2" t="inlineStr">
        <is>
          <t>Thursday</t>
        </is>
      </c>
      <c r="C1394" s="2" t="inlineStr">
        <is>
          <t>MNQU4</t>
        </is>
      </c>
      <c r="D1394" s="3" t="n">
        <v>19395.75</v>
      </c>
      <c r="E1394" s="3" t="n">
        <v>19336.25</v>
      </c>
      <c r="F1394" s="3">
        <f>D1394-E1394</f>
        <v/>
      </c>
      <c r="G1394" s="2" t="inlineStr">
        <is>
          <t>Long</t>
        </is>
      </c>
      <c r="H1394" s="3" t="n">
        <v>19395.75</v>
      </c>
      <c r="I1394" s="3" t="n">
        <v>19455.25</v>
      </c>
      <c r="J1394" s="3">
        <f>IF(G1394="Long",I1394-H1394,IF(G1394="Short",H1394-I1394,0))</f>
        <v/>
      </c>
      <c r="K1394" s="4" t="n">
        <v>0</v>
      </c>
      <c r="L1394" s="2" t="inlineStr">
        <is>
          <t>Win</t>
        </is>
      </c>
      <c r="M1394" s="3">
        <f>M1393+J1394</f>
        <v/>
      </c>
    </row>
    <row r="1395">
      <c r="A1395" s="2" t="inlineStr">
        <is>
          <t>2024-08-16</t>
        </is>
      </c>
      <c r="B1395" s="2" t="inlineStr">
        <is>
          <t>Friday</t>
        </is>
      </c>
      <c r="C1395" s="2" t="inlineStr">
        <is>
          <t>MNQU4</t>
        </is>
      </c>
      <c r="D1395" s="3" t="n">
        <v>19534.75</v>
      </c>
      <c r="E1395" s="3" t="n">
        <v>19462.5</v>
      </c>
      <c r="F1395" s="3">
        <f>D1395-E1395</f>
        <v/>
      </c>
      <c r="G1395" s="2" t="inlineStr">
        <is>
          <t>Long</t>
        </is>
      </c>
      <c r="H1395" s="3" t="n">
        <v>19534.75</v>
      </c>
      <c r="I1395" s="3" t="n">
        <v>19607</v>
      </c>
      <c r="J1395" s="3">
        <f>IF(G1395="Long",I1395-H1395,IF(G1395="Short",H1395-I1395,0))</f>
        <v/>
      </c>
      <c r="K1395" s="4" t="n">
        <v>58.48</v>
      </c>
      <c r="L1395" s="2" t="inlineStr">
        <is>
          <t>Win</t>
        </is>
      </c>
      <c r="M1395" s="3">
        <f>M1394+J1395</f>
        <v/>
      </c>
    </row>
    <row r="1396">
      <c r="A1396" s="5" t="inlineStr">
        <is>
          <t>2024-08-19</t>
        </is>
      </c>
      <c r="B1396" s="5" t="inlineStr">
        <is>
          <t>Monday</t>
        </is>
      </c>
      <c r="C1396" s="5" t="inlineStr">
        <is>
          <t>MNQU4</t>
        </is>
      </c>
      <c r="D1396" s="6" t="n">
        <v>19616.75</v>
      </c>
      <c r="E1396" s="6" t="n">
        <v>19545</v>
      </c>
      <c r="F1396" s="6">
        <f>D1396-E1396</f>
        <v/>
      </c>
      <c r="G1396" s="5" t="inlineStr">
        <is>
          <t>Long</t>
        </is>
      </c>
      <c r="H1396" s="6" t="n">
        <v>19616.75</v>
      </c>
      <c r="I1396" s="6" t="n">
        <v>19545</v>
      </c>
      <c r="J1396" s="6">
        <f>IF(G1396="Long",I1396-H1396,IF(G1396="Short",H1396-I1396,0))</f>
        <v/>
      </c>
      <c r="K1396" s="7" t="n">
        <v>100</v>
      </c>
      <c r="L1396" s="5" t="inlineStr">
        <is>
          <t>Loss</t>
        </is>
      </c>
      <c r="M1396" s="6">
        <f>M1395+J1396</f>
        <v/>
      </c>
    </row>
    <row r="1397">
      <c r="A1397" s="5" t="inlineStr">
        <is>
          <t>2024-08-19</t>
        </is>
      </c>
      <c r="B1397" s="5" t="inlineStr">
        <is>
          <t>Monday</t>
        </is>
      </c>
      <c r="C1397" s="5" t="inlineStr">
        <is>
          <t>MNQU4</t>
        </is>
      </c>
      <c r="D1397" s="6" t="n">
        <v>19616.75</v>
      </c>
      <c r="E1397" s="6" t="n">
        <v>19545</v>
      </c>
      <c r="F1397" s="6">
        <f>D1397-E1397</f>
        <v/>
      </c>
      <c r="G1397" s="5" t="inlineStr">
        <is>
          <t>Short</t>
        </is>
      </c>
      <c r="H1397" s="6" t="n">
        <v>19545</v>
      </c>
      <c r="I1397" s="6" t="n">
        <v>19616.75</v>
      </c>
      <c r="J1397" s="6">
        <f>IF(G1397="Long",I1397-H1397,IF(G1397="Short",H1397-I1397,0))</f>
        <v/>
      </c>
      <c r="K1397" s="7" t="n">
        <v>100</v>
      </c>
      <c r="L1397" s="5" t="inlineStr">
        <is>
          <t>Loss</t>
        </is>
      </c>
      <c r="M1397" s="6">
        <f>M1396+J1397</f>
        <v/>
      </c>
    </row>
    <row r="1398">
      <c r="A1398" s="5" t="inlineStr">
        <is>
          <t>2024-08-20</t>
        </is>
      </c>
      <c r="B1398" s="5" t="inlineStr">
        <is>
          <t>Tuesday</t>
        </is>
      </c>
      <c r="C1398" s="5" t="inlineStr">
        <is>
          <t>MNQU4</t>
        </is>
      </c>
      <c r="D1398" s="6" t="n">
        <v>19878.5</v>
      </c>
      <c r="E1398" s="6" t="n">
        <v>19816.75</v>
      </c>
      <c r="F1398" s="6">
        <f>D1398-E1398</f>
        <v/>
      </c>
      <c r="G1398" s="5" t="inlineStr">
        <is>
          <t>Long</t>
        </is>
      </c>
      <c r="H1398" s="6" t="n">
        <v>19878.5</v>
      </c>
      <c r="I1398" s="6" t="n">
        <v>19816.75</v>
      </c>
      <c r="J1398" s="6">
        <f>IF(G1398="Long",I1398-H1398,IF(G1398="Short",H1398-I1398,0))</f>
        <v/>
      </c>
      <c r="K1398" s="7" t="n">
        <v>100</v>
      </c>
      <c r="L1398" s="5" t="inlineStr">
        <is>
          <t>Loss</t>
        </is>
      </c>
      <c r="M1398" s="6">
        <f>M1397+J1398</f>
        <v/>
      </c>
    </row>
    <row r="1399">
      <c r="A1399" s="2" t="inlineStr">
        <is>
          <t>2024-08-20</t>
        </is>
      </c>
      <c r="B1399" s="2" t="inlineStr">
        <is>
          <t>Tuesday</t>
        </is>
      </c>
      <c r="C1399" s="2" t="inlineStr">
        <is>
          <t>MNQU4</t>
        </is>
      </c>
      <c r="D1399" s="3" t="n">
        <v>19878.5</v>
      </c>
      <c r="E1399" s="3" t="n">
        <v>19816.75</v>
      </c>
      <c r="F1399" s="3">
        <f>D1399-E1399</f>
        <v/>
      </c>
      <c r="G1399" s="2" t="inlineStr">
        <is>
          <t>Short</t>
        </is>
      </c>
      <c r="H1399" s="3" t="n">
        <v>19816.75</v>
      </c>
      <c r="I1399" s="3" t="n">
        <v>19755</v>
      </c>
      <c r="J1399" s="3">
        <f>IF(G1399="Long",I1399-H1399,IF(G1399="Short",H1399-I1399,0))</f>
        <v/>
      </c>
      <c r="K1399" s="4" t="n">
        <v>0</v>
      </c>
      <c r="L1399" s="2" t="inlineStr">
        <is>
          <t>Win</t>
        </is>
      </c>
      <c r="M1399" s="3">
        <f>M1398+J1399</f>
        <v/>
      </c>
    </row>
    <row r="1400">
      <c r="A1400" s="2" t="inlineStr">
        <is>
          <t>2024-08-21</t>
        </is>
      </c>
      <c r="B1400" s="2" t="inlineStr">
        <is>
          <t>Wednesday</t>
        </is>
      </c>
      <c r="C1400" s="2" t="inlineStr">
        <is>
          <t>MNQU4</t>
        </is>
      </c>
      <c r="D1400" s="3" t="n">
        <v>19860.5</v>
      </c>
      <c r="E1400" s="3" t="n">
        <v>19813.25</v>
      </c>
      <c r="F1400" s="3">
        <f>D1400-E1400</f>
        <v/>
      </c>
      <c r="G1400" s="2" t="inlineStr">
        <is>
          <t>Long</t>
        </is>
      </c>
      <c r="H1400" s="3" t="n">
        <v>19860.5</v>
      </c>
      <c r="I1400" s="3" t="n">
        <v>19907.75</v>
      </c>
      <c r="J1400" s="3">
        <f>IF(G1400="Long",I1400-H1400,IF(G1400="Short",H1400-I1400,0))</f>
        <v/>
      </c>
      <c r="K1400" s="4" t="n">
        <v>0</v>
      </c>
      <c r="L1400" s="2" t="inlineStr">
        <is>
          <t>Win</t>
        </is>
      </c>
      <c r="M1400" s="3">
        <f>M1399+J1400</f>
        <v/>
      </c>
    </row>
    <row r="1401">
      <c r="A1401" s="2" t="inlineStr">
        <is>
          <t>2024-08-21</t>
        </is>
      </c>
      <c r="B1401" s="2" t="inlineStr">
        <is>
          <t>Wednesday</t>
        </is>
      </c>
      <c r="C1401" s="2" t="inlineStr">
        <is>
          <t>MNQU4</t>
        </is>
      </c>
      <c r="D1401" s="3" t="n">
        <v>19860.5</v>
      </c>
      <c r="E1401" s="3" t="n">
        <v>19813.25</v>
      </c>
      <c r="F1401" s="3">
        <f>D1401-E1401</f>
        <v/>
      </c>
      <c r="G1401" s="2" t="inlineStr">
        <is>
          <t>Long</t>
        </is>
      </c>
      <c r="H1401" s="3" t="n">
        <v>19860.5</v>
      </c>
      <c r="I1401" s="3" t="n">
        <v>19907.75</v>
      </c>
      <c r="J1401" s="3">
        <f>IF(G1401="Long",I1401-H1401,IF(G1401="Short",H1401-I1401,0))</f>
        <v/>
      </c>
      <c r="K1401" s="4" t="n">
        <v>13.76</v>
      </c>
      <c r="L1401" s="2" t="inlineStr">
        <is>
          <t>Win</t>
        </is>
      </c>
      <c r="M1401" s="3">
        <f>M1400+J1401</f>
        <v/>
      </c>
    </row>
    <row r="1402">
      <c r="A1402" s="2" t="inlineStr">
        <is>
          <t>2024-08-22</t>
        </is>
      </c>
      <c r="B1402" s="2" t="inlineStr">
        <is>
          <t>Thursday</t>
        </is>
      </c>
      <c r="C1402" s="2" t="inlineStr">
        <is>
          <t>MNQU4</t>
        </is>
      </c>
      <c r="D1402" s="3" t="n">
        <v>20025.75</v>
      </c>
      <c r="E1402" s="3" t="n">
        <v>19970</v>
      </c>
      <c r="F1402" s="3">
        <f>D1402-E1402</f>
        <v/>
      </c>
      <c r="G1402" s="2" t="inlineStr">
        <is>
          <t>Short</t>
        </is>
      </c>
      <c r="H1402" s="3" t="n">
        <v>19970</v>
      </c>
      <c r="I1402" s="3" t="n">
        <v>19914.25</v>
      </c>
      <c r="J1402" s="3">
        <f>IF(G1402="Long",I1402-H1402,IF(G1402="Short",H1402-I1402,0))</f>
        <v/>
      </c>
      <c r="K1402" s="4" t="n">
        <v>4.04</v>
      </c>
      <c r="L1402" s="2" t="inlineStr">
        <is>
          <t>Win</t>
        </is>
      </c>
      <c r="M1402" s="3">
        <f>M1401+J1402</f>
        <v/>
      </c>
    </row>
    <row r="1403">
      <c r="A1403" s="2" t="inlineStr">
        <is>
          <t>2024-08-22</t>
        </is>
      </c>
      <c r="B1403" s="2" t="inlineStr">
        <is>
          <t>Thursday</t>
        </is>
      </c>
      <c r="C1403" s="2" t="inlineStr">
        <is>
          <t>MNQU4</t>
        </is>
      </c>
      <c r="D1403" s="3" t="n">
        <v>20025.75</v>
      </c>
      <c r="E1403" s="3" t="n">
        <v>19970</v>
      </c>
      <c r="F1403" s="3">
        <f>D1403-E1403</f>
        <v/>
      </c>
      <c r="G1403" s="2" t="inlineStr">
        <is>
          <t>Short</t>
        </is>
      </c>
      <c r="H1403" s="3" t="n">
        <v>19970</v>
      </c>
      <c r="I1403" s="3" t="n">
        <v>19914.25</v>
      </c>
      <c r="J1403" s="3">
        <f>IF(G1403="Long",I1403-H1403,IF(G1403="Short",H1403-I1403,0))</f>
        <v/>
      </c>
      <c r="K1403" s="4" t="n">
        <v>0</v>
      </c>
      <c r="L1403" s="2" t="inlineStr">
        <is>
          <t>Win</t>
        </is>
      </c>
      <c r="M1403" s="3">
        <f>M1402+J1403</f>
        <v/>
      </c>
    </row>
    <row r="1404">
      <c r="A1404" s="2" t="inlineStr">
        <is>
          <t>2024-08-23</t>
        </is>
      </c>
      <c r="B1404" s="2" t="inlineStr">
        <is>
          <t>Friday</t>
        </is>
      </c>
      <c r="C1404" s="2" t="inlineStr">
        <is>
          <t>MNQU4</t>
        </is>
      </c>
      <c r="D1404" s="3" t="n">
        <v>19764.5</v>
      </c>
      <c r="E1404" s="3" t="n">
        <v>19706.5</v>
      </c>
      <c r="F1404" s="3">
        <f>D1404-E1404</f>
        <v/>
      </c>
      <c r="G1404" s="2" t="inlineStr">
        <is>
          <t>Long</t>
        </is>
      </c>
      <c r="H1404" s="3" t="n">
        <v>19764.5</v>
      </c>
      <c r="I1404" s="3" t="n">
        <v>19822.5</v>
      </c>
      <c r="J1404" s="3">
        <f>IF(G1404="Long",I1404-H1404,IF(G1404="Short",H1404-I1404,0))</f>
        <v/>
      </c>
      <c r="K1404" s="4" t="n">
        <v>0</v>
      </c>
      <c r="L1404" s="2" t="inlineStr">
        <is>
          <t>Win</t>
        </is>
      </c>
      <c r="M1404" s="3">
        <f>M1403+J1404</f>
        <v/>
      </c>
    </row>
    <row r="1405">
      <c r="A1405" s="5" t="inlineStr">
        <is>
          <t>2024-08-23</t>
        </is>
      </c>
      <c r="B1405" s="5" t="inlineStr">
        <is>
          <t>Friday</t>
        </is>
      </c>
      <c r="C1405" s="5" t="inlineStr">
        <is>
          <t>MNQU4</t>
        </is>
      </c>
      <c r="D1405" s="6" t="n">
        <v>19764.5</v>
      </c>
      <c r="E1405" s="6" t="n">
        <v>19706.5</v>
      </c>
      <c r="F1405" s="6">
        <f>D1405-E1405</f>
        <v/>
      </c>
      <c r="G1405" s="5" t="inlineStr">
        <is>
          <t>Long</t>
        </is>
      </c>
      <c r="H1405" s="6" t="n">
        <v>19764.5</v>
      </c>
      <c r="I1405" s="6" t="n">
        <v>19706.5</v>
      </c>
      <c r="J1405" s="6">
        <f>IF(G1405="Long",I1405-H1405,IF(G1405="Short",H1405-I1405,0))</f>
        <v/>
      </c>
      <c r="K1405" s="7" t="n">
        <v>100</v>
      </c>
      <c r="L1405" s="5" t="inlineStr">
        <is>
          <t>Loss</t>
        </is>
      </c>
      <c r="M1405" s="6">
        <f>M1404+J1405</f>
        <v/>
      </c>
    </row>
    <row r="1406">
      <c r="A1406" s="2" t="inlineStr">
        <is>
          <t>2024-08-26</t>
        </is>
      </c>
      <c r="B1406" s="2" t="inlineStr">
        <is>
          <t>Monday</t>
        </is>
      </c>
      <c r="C1406" s="2" t="inlineStr">
        <is>
          <t>MNQU4</t>
        </is>
      </c>
      <c r="D1406" s="3" t="n">
        <v>19801.5</v>
      </c>
      <c r="E1406" s="3" t="n">
        <v>19742.75</v>
      </c>
      <c r="F1406" s="3">
        <f>D1406-E1406</f>
        <v/>
      </c>
      <c r="G1406" s="2" t="inlineStr">
        <is>
          <t>Short</t>
        </is>
      </c>
      <c r="H1406" s="3" t="n">
        <v>19742.75</v>
      </c>
      <c r="I1406" s="3" t="n">
        <v>19684</v>
      </c>
      <c r="J1406" s="3">
        <f>IF(G1406="Long",I1406-H1406,IF(G1406="Short",H1406-I1406,0))</f>
        <v/>
      </c>
      <c r="K1406" s="4" t="n">
        <v>8.51</v>
      </c>
      <c r="L1406" s="2" t="inlineStr">
        <is>
          <t>Win</t>
        </is>
      </c>
      <c r="M1406" s="3">
        <f>M1405+J1406</f>
        <v/>
      </c>
    </row>
    <row r="1407">
      <c r="A1407" s="2" t="inlineStr">
        <is>
          <t>2024-08-27</t>
        </is>
      </c>
      <c r="B1407" s="2" t="inlineStr">
        <is>
          <t>Tuesday</t>
        </is>
      </c>
      <c r="C1407" s="2" t="inlineStr">
        <is>
          <t>MNQU4</t>
        </is>
      </c>
      <c r="D1407" s="3" t="n">
        <v>19539.25</v>
      </c>
      <c r="E1407" s="3" t="n">
        <v>19454.5</v>
      </c>
      <c r="F1407" s="3">
        <f>D1407-E1407</f>
        <v/>
      </c>
      <c r="G1407" s="2" t="inlineStr">
        <is>
          <t>Long</t>
        </is>
      </c>
      <c r="H1407" s="3" t="n">
        <v>19539.25</v>
      </c>
      <c r="I1407" s="3" t="n">
        <v>19624</v>
      </c>
      <c r="J1407" s="3">
        <f>IF(G1407="Long",I1407-H1407,IF(G1407="Short",H1407-I1407,0))</f>
        <v/>
      </c>
      <c r="K1407" s="4" t="n">
        <v>14.16</v>
      </c>
      <c r="L1407" s="2" t="inlineStr">
        <is>
          <t>Win</t>
        </is>
      </c>
      <c r="M1407" s="3">
        <f>M1406+J1407</f>
        <v/>
      </c>
    </row>
    <row r="1408">
      <c r="A1408" s="2" t="inlineStr">
        <is>
          <t>2024-08-28</t>
        </is>
      </c>
      <c r="B1408" s="2" t="inlineStr">
        <is>
          <t>Wednesday</t>
        </is>
      </c>
      <c r="C1408" s="2" t="inlineStr">
        <is>
          <t>MNQU4</t>
        </is>
      </c>
      <c r="D1408" s="3" t="n">
        <v>19656.75</v>
      </c>
      <c r="E1408" s="3" t="n">
        <v>19584</v>
      </c>
      <c r="F1408" s="3">
        <f>D1408-E1408</f>
        <v/>
      </c>
      <c r="G1408" s="2" t="inlineStr">
        <is>
          <t>Short</t>
        </is>
      </c>
      <c r="H1408" s="3" t="n">
        <v>19584</v>
      </c>
      <c r="I1408" s="3" t="n">
        <v>19511.25</v>
      </c>
      <c r="J1408" s="3">
        <f>IF(G1408="Long",I1408-H1408,IF(G1408="Short",H1408-I1408,0))</f>
        <v/>
      </c>
      <c r="K1408" s="4" t="n">
        <v>13.06</v>
      </c>
      <c r="L1408" s="2" t="inlineStr">
        <is>
          <t>Win</t>
        </is>
      </c>
      <c r="M1408" s="3">
        <f>M1407+J1408</f>
        <v/>
      </c>
    </row>
    <row r="1409">
      <c r="A1409" s="5" t="inlineStr">
        <is>
          <t>2024-08-29</t>
        </is>
      </c>
      <c r="B1409" s="5" t="inlineStr">
        <is>
          <t>Thursday</t>
        </is>
      </c>
      <c r="C1409" s="5" t="inlineStr">
        <is>
          <t>MNQU4</t>
        </is>
      </c>
      <c r="D1409" s="6" t="n">
        <v>19610</v>
      </c>
      <c r="E1409" s="6" t="n">
        <v>19478</v>
      </c>
      <c r="F1409" s="6">
        <f>D1409-E1409</f>
        <v/>
      </c>
      <c r="G1409" s="5" t="inlineStr">
        <is>
          <t>Long</t>
        </is>
      </c>
      <c r="H1409" s="6" t="n">
        <v>19610</v>
      </c>
      <c r="I1409" s="6" t="n">
        <v>19478</v>
      </c>
      <c r="J1409" s="6">
        <f>IF(G1409="Long",I1409-H1409,IF(G1409="Short",H1409-I1409,0))</f>
        <v/>
      </c>
      <c r="K1409" s="7" t="n">
        <v>100</v>
      </c>
      <c r="L1409" s="5" t="inlineStr">
        <is>
          <t>Loss</t>
        </is>
      </c>
      <c r="M1409" s="6">
        <f>M1408+J1409</f>
        <v/>
      </c>
    </row>
    <row r="1410">
      <c r="A1410" s="2" t="inlineStr">
        <is>
          <t>2024-08-29</t>
        </is>
      </c>
      <c r="B1410" s="2" t="inlineStr">
        <is>
          <t>Thursday</t>
        </is>
      </c>
      <c r="C1410" s="2" t="inlineStr">
        <is>
          <t>MNQU4</t>
        </is>
      </c>
      <c r="D1410" s="3" t="n">
        <v>19610</v>
      </c>
      <c r="E1410" s="3" t="n">
        <v>19478</v>
      </c>
      <c r="F1410" s="3">
        <f>D1410-E1410</f>
        <v/>
      </c>
      <c r="G1410" s="2" t="inlineStr">
        <is>
          <t>Short</t>
        </is>
      </c>
      <c r="H1410" s="3" t="n">
        <v>19478</v>
      </c>
      <c r="I1410" s="3" t="n">
        <v>19346</v>
      </c>
      <c r="J1410" s="3">
        <f>IF(G1410="Long",I1410-H1410,IF(G1410="Short",H1410-I1410,0))</f>
        <v/>
      </c>
      <c r="K1410" s="4" t="n">
        <v>0</v>
      </c>
      <c r="L1410" s="2" t="inlineStr">
        <is>
          <t>Win</t>
        </is>
      </c>
      <c r="M1410" s="3">
        <f>M1409+J1410</f>
        <v/>
      </c>
    </row>
    <row r="1411">
      <c r="A1411" s="5" t="inlineStr">
        <is>
          <t>2024-08-30</t>
        </is>
      </c>
      <c r="B1411" s="5" t="inlineStr">
        <is>
          <t>Friday</t>
        </is>
      </c>
      <c r="C1411" s="5" t="inlineStr">
        <is>
          <t>MNQU4</t>
        </is>
      </c>
      <c r="D1411" s="6" t="n">
        <v>19577</v>
      </c>
      <c r="E1411" s="6" t="n">
        <v>19513</v>
      </c>
      <c r="F1411" s="6">
        <f>D1411-E1411</f>
        <v/>
      </c>
      <c r="G1411" s="5" t="inlineStr">
        <is>
          <t>Long</t>
        </is>
      </c>
      <c r="H1411" s="6" t="n">
        <v>19577</v>
      </c>
      <c r="I1411" s="6" t="n">
        <v>19513</v>
      </c>
      <c r="J1411" s="6">
        <f>IF(G1411="Long",I1411-H1411,IF(G1411="Short",H1411-I1411,0))</f>
        <v/>
      </c>
      <c r="K1411" s="7" t="n">
        <v>100</v>
      </c>
      <c r="L1411" s="5" t="inlineStr">
        <is>
          <t>Loss</t>
        </is>
      </c>
      <c r="M1411" s="6">
        <f>M1410+J1411</f>
        <v/>
      </c>
    </row>
    <row r="1412">
      <c r="A1412" s="2" t="inlineStr">
        <is>
          <t>2024-08-30</t>
        </is>
      </c>
      <c r="B1412" s="2" t="inlineStr">
        <is>
          <t>Friday</t>
        </is>
      </c>
      <c r="C1412" s="2" t="inlineStr">
        <is>
          <t>MNQU4</t>
        </is>
      </c>
      <c r="D1412" s="3" t="n">
        <v>19577</v>
      </c>
      <c r="E1412" s="3" t="n">
        <v>19513</v>
      </c>
      <c r="F1412" s="3">
        <f>D1412-E1412</f>
        <v/>
      </c>
      <c r="G1412" s="2" t="inlineStr">
        <is>
          <t>Short</t>
        </is>
      </c>
      <c r="H1412" s="3" t="n">
        <v>19513</v>
      </c>
      <c r="I1412" s="3" t="n">
        <v>19449</v>
      </c>
      <c r="J1412" s="3">
        <f>IF(G1412="Long",I1412-H1412,IF(G1412="Short",H1412-I1412,0))</f>
        <v/>
      </c>
      <c r="K1412" s="4" t="n">
        <v>0</v>
      </c>
      <c r="L1412" s="2" t="inlineStr">
        <is>
          <t>Win</t>
        </is>
      </c>
      <c r="M1412" s="3">
        <f>M1411+J1412</f>
        <v/>
      </c>
    </row>
    <row r="1413">
      <c r="A1413" s="5" t="inlineStr">
        <is>
          <t>2024-09-02</t>
        </is>
      </c>
      <c r="B1413" s="5" t="inlineStr">
        <is>
          <t>Monday</t>
        </is>
      </c>
      <c r="C1413" s="5" t="inlineStr">
        <is>
          <t>MNQU4</t>
        </is>
      </c>
      <c r="D1413" s="6" t="n">
        <v>19644</v>
      </c>
      <c r="E1413" s="6" t="n">
        <v>19614</v>
      </c>
      <c r="F1413" s="6">
        <f>D1413-E1413</f>
        <v/>
      </c>
      <c r="G1413" s="5" t="inlineStr">
        <is>
          <t>Short</t>
        </is>
      </c>
      <c r="H1413" s="6" t="n">
        <v>19614</v>
      </c>
      <c r="I1413" s="6" t="n">
        <v>19644</v>
      </c>
      <c r="J1413" s="6">
        <f>IF(G1413="Long",I1413-H1413,IF(G1413="Short",H1413-I1413,0))</f>
        <v/>
      </c>
      <c r="K1413" s="7" t="n">
        <v>100</v>
      </c>
      <c r="L1413" s="5" t="inlineStr">
        <is>
          <t>Loss</t>
        </is>
      </c>
      <c r="M1413" s="6">
        <f>M1412+J1413</f>
        <v/>
      </c>
    </row>
    <row r="1414">
      <c r="A1414" s="8" t="inlineStr">
        <is>
          <t>2024-09-02</t>
        </is>
      </c>
      <c r="B1414" s="8" t="inlineStr">
        <is>
          <t>Monday</t>
        </is>
      </c>
      <c r="C1414" s="8" t="inlineStr">
        <is>
          <t>MNQU4</t>
        </is>
      </c>
      <c r="D1414" s="9" t="n">
        <v>19644</v>
      </c>
      <c r="E1414" s="9" t="n">
        <v>19614</v>
      </c>
      <c r="F1414" s="9">
        <f>D1414-E1414</f>
        <v/>
      </c>
      <c r="G1414" s="8" t="inlineStr">
        <is>
          <t>Long</t>
        </is>
      </c>
      <c r="H1414" s="9" t="n">
        <v>19644</v>
      </c>
      <c r="I1414" s="9" t="n">
        <v>19646.75</v>
      </c>
      <c r="J1414" s="9">
        <f>IF(G1414="Long",I1414-H1414,IF(G1414="Short",H1414-I1414,0))</f>
        <v/>
      </c>
      <c r="K1414" s="10" t="n">
        <v>54.17</v>
      </c>
      <c r="L1414" s="8" t="inlineStr">
        <is>
          <t>EOD-Close</t>
        </is>
      </c>
      <c r="M1414" s="9">
        <f>M1413+J1414</f>
        <v/>
      </c>
    </row>
    <row r="1415">
      <c r="A1415" s="2" t="inlineStr">
        <is>
          <t>2024-09-03</t>
        </is>
      </c>
      <c r="B1415" s="2" t="inlineStr">
        <is>
          <t>Tuesday</t>
        </is>
      </c>
      <c r="C1415" s="2" t="inlineStr">
        <is>
          <t>MNQU4</t>
        </is>
      </c>
      <c r="D1415" s="3" t="n">
        <v>19483.25</v>
      </c>
      <c r="E1415" s="3" t="n">
        <v>19357.5</v>
      </c>
      <c r="F1415" s="3">
        <f>D1415-E1415</f>
        <v/>
      </c>
      <c r="G1415" s="2" t="inlineStr">
        <is>
          <t>Short</t>
        </is>
      </c>
      <c r="H1415" s="3" t="n">
        <v>19357.5</v>
      </c>
      <c r="I1415" s="3" t="n">
        <v>19231.75</v>
      </c>
      <c r="J1415" s="3">
        <f>IF(G1415="Long",I1415-H1415,IF(G1415="Short",H1415-I1415,0))</f>
        <v/>
      </c>
      <c r="K1415" s="4" t="n">
        <v>22.66</v>
      </c>
      <c r="L1415" s="2" t="inlineStr">
        <is>
          <t>Win</t>
        </is>
      </c>
      <c r="M1415" s="3">
        <f>M1414+J1415</f>
        <v/>
      </c>
    </row>
    <row r="1416">
      <c r="A1416" s="5" t="inlineStr">
        <is>
          <t>2024-09-04</t>
        </is>
      </c>
      <c r="B1416" s="5" t="inlineStr">
        <is>
          <t>Wednesday</t>
        </is>
      </c>
      <c r="C1416" s="5" t="inlineStr">
        <is>
          <t>MNQU4</t>
        </is>
      </c>
      <c r="D1416" s="6" t="n">
        <v>18965.75</v>
      </c>
      <c r="E1416" s="6" t="n">
        <v>18860</v>
      </c>
      <c r="F1416" s="6">
        <f>D1416-E1416</f>
        <v/>
      </c>
      <c r="G1416" s="5" t="inlineStr">
        <is>
          <t>Long</t>
        </is>
      </c>
      <c r="H1416" s="6" t="n">
        <v>18965.75</v>
      </c>
      <c r="I1416" s="6" t="n">
        <v>18860</v>
      </c>
      <c r="J1416" s="6">
        <f>IF(G1416="Long",I1416-H1416,IF(G1416="Short",H1416-I1416,0))</f>
        <v/>
      </c>
      <c r="K1416" s="7" t="n">
        <v>100</v>
      </c>
      <c r="L1416" s="5" t="inlineStr">
        <is>
          <t>Loss</t>
        </is>
      </c>
      <c r="M1416" s="6">
        <f>M1415+J1416</f>
        <v/>
      </c>
    </row>
    <row r="1417">
      <c r="A1417" s="2" t="inlineStr">
        <is>
          <t>2024-09-04</t>
        </is>
      </c>
      <c r="B1417" s="2" t="inlineStr">
        <is>
          <t>Wednesday</t>
        </is>
      </c>
      <c r="C1417" s="2" t="inlineStr">
        <is>
          <t>MNQU4</t>
        </is>
      </c>
      <c r="D1417" s="3" t="n">
        <v>18965.75</v>
      </c>
      <c r="E1417" s="3" t="n">
        <v>18860</v>
      </c>
      <c r="F1417" s="3">
        <f>D1417-E1417</f>
        <v/>
      </c>
      <c r="G1417" s="2" t="inlineStr">
        <is>
          <t>Long</t>
        </is>
      </c>
      <c r="H1417" s="3" t="n">
        <v>18965.75</v>
      </c>
      <c r="I1417" s="3" t="n">
        <v>19071.5</v>
      </c>
      <c r="J1417" s="3">
        <f>IF(G1417="Long",I1417-H1417,IF(G1417="Short",H1417-I1417,0))</f>
        <v/>
      </c>
      <c r="K1417" s="4" t="n">
        <v>47.99</v>
      </c>
      <c r="L1417" s="2" t="inlineStr">
        <is>
          <t>Win</t>
        </is>
      </c>
      <c r="M1417" s="3">
        <f>M1416+J1417</f>
        <v/>
      </c>
    </row>
    <row r="1418">
      <c r="A1418" s="5" t="inlineStr">
        <is>
          <t>2024-09-05</t>
        </is>
      </c>
      <c r="B1418" s="5" t="inlineStr">
        <is>
          <t>Thursday</t>
        </is>
      </c>
      <c r="C1418" s="5" t="inlineStr">
        <is>
          <t>MNQU4</t>
        </is>
      </c>
      <c r="D1418" s="6" t="n">
        <v>19033</v>
      </c>
      <c r="E1418" s="6" t="n">
        <v>18884.75</v>
      </c>
      <c r="F1418" s="6">
        <f>D1418-E1418</f>
        <v/>
      </c>
      <c r="G1418" s="5" t="inlineStr">
        <is>
          <t>Long</t>
        </is>
      </c>
      <c r="H1418" s="6" t="n">
        <v>19033</v>
      </c>
      <c r="I1418" s="6" t="n">
        <v>18884.75</v>
      </c>
      <c r="J1418" s="6">
        <f>IF(G1418="Long",I1418-H1418,IF(G1418="Short",H1418-I1418,0))</f>
        <v/>
      </c>
      <c r="K1418" s="7" t="n">
        <v>100</v>
      </c>
      <c r="L1418" s="5" t="inlineStr">
        <is>
          <t>Loss</t>
        </is>
      </c>
      <c r="M1418" s="6">
        <f>M1417+J1418</f>
        <v/>
      </c>
    </row>
    <row r="1419">
      <c r="A1419" s="5" t="inlineStr">
        <is>
          <t>2024-09-05</t>
        </is>
      </c>
      <c r="B1419" s="5" t="inlineStr">
        <is>
          <t>Thursday</t>
        </is>
      </c>
      <c r="C1419" s="5" t="inlineStr">
        <is>
          <t>MNQU4</t>
        </is>
      </c>
      <c r="D1419" s="6" t="n">
        <v>19033</v>
      </c>
      <c r="E1419" s="6" t="n">
        <v>18884.75</v>
      </c>
      <c r="F1419" s="6">
        <f>D1419-E1419</f>
        <v/>
      </c>
      <c r="G1419" s="5" t="inlineStr">
        <is>
          <t>Short</t>
        </is>
      </c>
      <c r="H1419" s="6" t="n">
        <v>18884.75</v>
      </c>
      <c r="I1419" s="6" t="n">
        <v>19033</v>
      </c>
      <c r="J1419" s="6">
        <f>IF(G1419="Long",I1419-H1419,IF(G1419="Short",H1419-I1419,0))</f>
        <v/>
      </c>
      <c r="K1419" s="7" t="n">
        <v>100</v>
      </c>
      <c r="L1419" s="5" t="inlineStr">
        <is>
          <t>Loss</t>
        </is>
      </c>
      <c r="M1419" s="6">
        <f>M1418+J1419</f>
        <v/>
      </c>
    </row>
    <row r="1420">
      <c r="A1420" s="2" t="inlineStr">
        <is>
          <t>2024-09-06</t>
        </is>
      </c>
      <c r="B1420" s="2" t="inlineStr">
        <is>
          <t>Friday</t>
        </is>
      </c>
      <c r="C1420" s="2" t="inlineStr">
        <is>
          <t>MNQU4</t>
        </is>
      </c>
      <c r="D1420" s="3" t="n">
        <v>18967.25</v>
      </c>
      <c r="E1420" s="3" t="n">
        <v>18766.25</v>
      </c>
      <c r="F1420" s="3">
        <f>D1420-E1420</f>
        <v/>
      </c>
      <c r="G1420" s="2" t="inlineStr">
        <is>
          <t>Short</t>
        </is>
      </c>
      <c r="H1420" s="3" t="n">
        <v>18766.25</v>
      </c>
      <c r="I1420" s="3" t="n">
        <v>18565.25</v>
      </c>
      <c r="J1420" s="3">
        <f>IF(G1420="Long",I1420-H1420,IF(G1420="Short",H1420-I1420,0))</f>
        <v/>
      </c>
      <c r="K1420" s="4" t="n">
        <v>11.32</v>
      </c>
      <c r="L1420" s="2" t="inlineStr">
        <is>
          <t>Win</t>
        </is>
      </c>
      <c r="M1420" s="3">
        <f>M1419+J1420</f>
        <v/>
      </c>
    </row>
    <row r="1421">
      <c r="A1421" s="5" t="inlineStr">
        <is>
          <t>2024-09-09</t>
        </is>
      </c>
      <c r="B1421" s="5" t="inlineStr">
        <is>
          <t>Monday</t>
        </is>
      </c>
      <c r="C1421" s="5" t="inlineStr">
        <is>
          <t>MNQU4</t>
        </is>
      </c>
      <c r="D1421" s="6" t="n">
        <v>18675</v>
      </c>
      <c r="E1421" s="6" t="n">
        <v>18605</v>
      </c>
      <c r="F1421" s="6">
        <f>D1421-E1421</f>
        <v/>
      </c>
      <c r="G1421" s="5" t="inlineStr">
        <is>
          <t>Long</t>
        </is>
      </c>
      <c r="H1421" s="6" t="n">
        <v>18675</v>
      </c>
      <c r="I1421" s="6" t="n">
        <v>18605</v>
      </c>
      <c r="J1421" s="6">
        <f>IF(G1421="Long",I1421-H1421,IF(G1421="Short",H1421-I1421,0))</f>
        <v/>
      </c>
      <c r="K1421" s="7" t="n">
        <v>100</v>
      </c>
      <c r="L1421" s="5" t="inlineStr">
        <is>
          <t>Loss</t>
        </is>
      </c>
      <c r="M1421" s="6">
        <f>M1420+J1421</f>
        <v/>
      </c>
    </row>
    <row r="1422">
      <c r="A1422" s="2" t="inlineStr">
        <is>
          <t>2024-09-09</t>
        </is>
      </c>
      <c r="B1422" s="2" t="inlineStr">
        <is>
          <t>Monday</t>
        </is>
      </c>
      <c r="C1422" s="2" t="inlineStr">
        <is>
          <t>MNQU4</t>
        </is>
      </c>
      <c r="D1422" s="3" t="n">
        <v>18675</v>
      </c>
      <c r="E1422" s="3" t="n">
        <v>18605</v>
      </c>
      <c r="F1422" s="3">
        <f>D1422-E1422</f>
        <v/>
      </c>
      <c r="G1422" s="2" t="inlineStr">
        <is>
          <t>Short</t>
        </is>
      </c>
      <c r="H1422" s="3" t="n">
        <v>18605</v>
      </c>
      <c r="I1422" s="3" t="n">
        <v>18535</v>
      </c>
      <c r="J1422" s="3">
        <f>IF(G1422="Long",I1422-H1422,IF(G1422="Short",H1422-I1422,0))</f>
        <v/>
      </c>
      <c r="K1422" s="4" t="n">
        <v>0</v>
      </c>
      <c r="L1422" s="2" t="inlineStr">
        <is>
          <t>Win</t>
        </is>
      </c>
      <c r="M1422" s="3">
        <f>M1421+J1422</f>
        <v/>
      </c>
    </row>
    <row r="1423">
      <c r="A1423" s="2" t="inlineStr">
        <is>
          <t>2024-09-10</t>
        </is>
      </c>
      <c r="B1423" s="2" t="inlineStr">
        <is>
          <t>Tuesday</t>
        </is>
      </c>
      <c r="C1423" s="2" t="inlineStr">
        <is>
          <t>MNQU4</t>
        </is>
      </c>
      <c r="D1423" s="3" t="n">
        <v>18821.75</v>
      </c>
      <c r="E1423" s="3" t="n">
        <v>18721.5</v>
      </c>
      <c r="F1423" s="3">
        <f>D1423-E1423</f>
        <v/>
      </c>
      <c r="G1423" s="2" t="inlineStr">
        <is>
          <t>Short</t>
        </is>
      </c>
      <c r="H1423" s="3" t="n">
        <v>18721.5</v>
      </c>
      <c r="I1423" s="3" t="n">
        <v>18621.25</v>
      </c>
      <c r="J1423" s="3">
        <f>IF(G1423="Long",I1423-H1423,IF(G1423="Short",H1423-I1423,0))</f>
        <v/>
      </c>
      <c r="K1423" s="4" t="n">
        <v>68.83</v>
      </c>
      <c r="L1423" s="2" t="inlineStr">
        <is>
          <t>Win</t>
        </is>
      </c>
      <c r="M1423" s="3">
        <f>M1422+J1423</f>
        <v/>
      </c>
    </row>
    <row r="1424">
      <c r="A1424" s="5" t="inlineStr">
        <is>
          <t>2024-09-10</t>
        </is>
      </c>
      <c r="B1424" s="5" t="inlineStr">
        <is>
          <t>Tuesday</t>
        </is>
      </c>
      <c r="C1424" s="5" t="inlineStr">
        <is>
          <t>MNQU4</t>
        </is>
      </c>
      <c r="D1424" s="6" t="n">
        <v>18821.75</v>
      </c>
      <c r="E1424" s="6" t="n">
        <v>18721.5</v>
      </c>
      <c r="F1424" s="6">
        <f>D1424-E1424</f>
        <v/>
      </c>
      <c r="G1424" s="5" t="inlineStr">
        <is>
          <t>Short</t>
        </is>
      </c>
      <c r="H1424" s="6" t="n">
        <v>18721.5</v>
      </c>
      <c r="I1424" s="6" t="n">
        <v>18821.75</v>
      </c>
      <c r="J1424" s="6">
        <f>IF(G1424="Long",I1424-H1424,IF(G1424="Short",H1424-I1424,0))</f>
        <v/>
      </c>
      <c r="K1424" s="7" t="n">
        <v>100</v>
      </c>
      <c r="L1424" s="5" t="inlineStr">
        <is>
          <t>Loss</t>
        </is>
      </c>
      <c r="M1424" s="6">
        <f>M1423+J1424</f>
        <v/>
      </c>
    </row>
    <row r="1425">
      <c r="A1425" s="2" t="inlineStr">
        <is>
          <t>2024-09-11</t>
        </is>
      </c>
      <c r="B1425" s="2" t="inlineStr">
        <is>
          <t>Wednesday</t>
        </is>
      </c>
      <c r="C1425" s="2" t="inlineStr">
        <is>
          <t>MNQU4</t>
        </is>
      </c>
      <c r="D1425" s="3" t="n">
        <v>18906.5</v>
      </c>
      <c r="E1425" s="3" t="n">
        <v>18808.75</v>
      </c>
      <c r="F1425" s="3">
        <f>D1425-E1425</f>
        <v/>
      </c>
      <c r="G1425" s="2" t="inlineStr">
        <is>
          <t>Short</t>
        </is>
      </c>
      <c r="H1425" s="3" t="n">
        <v>18808.75</v>
      </c>
      <c r="I1425" s="3" t="n">
        <v>18711</v>
      </c>
      <c r="J1425" s="3">
        <f>IF(G1425="Long",I1425-H1425,IF(G1425="Short",H1425-I1425,0))</f>
        <v/>
      </c>
      <c r="K1425" s="4" t="n">
        <v>14.58</v>
      </c>
      <c r="L1425" s="2" t="inlineStr">
        <is>
          <t>Win</t>
        </is>
      </c>
      <c r="M1425" s="3">
        <f>M1424+J1425</f>
        <v/>
      </c>
    </row>
    <row r="1426">
      <c r="A1426" s="5" t="inlineStr">
        <is>
          <t>2024-09-11</t>
        </is>
      </c>
      <c r="B1426" s="5" t="inlineStr">
        <is>
          <t>Wednesday</t>
        </is>
      </c>
      <c r="C1426" s="5" t="inlineStr">
        <is>
          <t>MNQU4</t>
        </is>
      </c>
      <c r="D1426" s="6" t="n">
        <v>18906.5</v>
      </c>
      <c r="E1426" s="6" t="n">
        <v>18808.75</v>
      </c>
      <c r="F1426" s="6">
        <f>D1426-E1426</f>
        <v/>
      </c>
      <c r="G1426" s="5" t="inlineStr">
        <is>
          <t>Short</t>
        </is>
      </c>
      <c r="H1426" s="6" t="n">
        <v>18808.75</v>
      </c>
      <c r="I1426" s="6" t="n">
        <v>18906.5</v>
      </c>
      <c r="J1426" s="6">
        <f>IF(G1426="Long",I1426-H1426,IF(G1426="Short",H1426-I1426,0))</f>
        <v/>
      </c>
      <c r="K1426" s="7" t="n">
        <v>100</v>
      </c>
      <c r="L1426" s="5" t="inlineStr">
        <is>
          <t>Loss</t>
        </is>
      </c>
      <c r="M1426" s="6">
        <f>M1425+J1426</f>
        <v/>
      </c>
    </row>
    <row r="1427">
      <c r="A1427" s="5" t="inlineStr">
        <is>
          <t>2024-09-12</t>
        </is>
      </c>
      <c r="B1427" s="5" t="inlineStr">
        <is>
          <t>Thursday</t>
        </is>
      </c>
      <c r="C1427" s="5" t="inlineStr">
        <is>
          <t>MNQU4</t>
        </is>
      </c>
      <c r="D1427" s="6" t="n">
        <v>19289.5</v>
      </c>
      <c r="E1427" s="6" t="n">
        <v>19210</v>
      </c>
      <c r="F1427" s="6">
        <f>D1427-E1427</f>
        <v/>
      </c>
      <c r="G1427" s="5" t="inlineStr">
        <is>
          <t>Short</t>
        </is>
      </c>
      <c r="H1427" s="6" t="n">
        <v>19210</v>
      </c>
      <c r="I1427" s="6" t="n">
        <v>19289.5</v>
      </c>
      <c r="J1427" s="6">
        <f>IF(G1427="Long",I1427-H1427,IF(G1427="Short",H1427-I1427,0))</f>
        <v/>
      </c>
      <c r="K1427" s="7" t="n">
        <v>100</v>
      </c>
      <c r="L1427" s="5" t="inlineStr">
        <is>
          <t>Loss</t>
        </is>
      </c>
      <c r="M1427" s="6">
        <f>M1426+J1427</f>
        <v/>
      </c>
    </row>
    <row r="1428">
      <c r="A1428" s="2" t="inlineStr">
        <is>
          <t>2024-09-12</t>
        </is>
      </c>
      <c r="B1428" s="2" t="inlineStr">
        <is>
          <t>Thursday</t>
        </is>
      </c>
      <c r="C1428" s="2" t="inlineStr">
        <is>
          <t>MNQU4</t>
        </is>
      </c>
      <c r="D1428" s="3" t="n">
        <v>19289.5</v>
      </c>
      <c r="E1428" s="3" t="n">
        <v>19210</v>
      </c>
      <c r="F1428" s="3">
        <f>D1428-E1428</f>
        <v/>
      </c>
      <c r="G1428" s="2" t="inlineStr">
        <is>
          <t>Long</t>
        </is>
      </c>
      <c r="H1428" s="3" t="n">
        <v>19289.5</v>
      </c>
      <c r="I1428" s="3" t="n">
        <v>19369</v>
      </c>
      <c r="J1428" s="3">
        <f>IF(G1428="Long",I1428-H1428,IF(G1428="Short",H1428-I1428,0))</f>
        <v/>
      </c>
      <c r="K1428" s="4" t="n">
        <v>43.08</v>
      </c>
      <c r="L1428" s="2" t="inlineStr">
        <is>
          <t>Win</t>
        </is>
      </c>
      <c r="M1428" s="3">
        <f>M1427+J1428</f>
        <v/>
      </c>
    </row>
    <row r="1429">
      <c r="A1429" s="8" t="inlineStr">
        <is>
          <t>2024-09-13</t>
        </is>
      </c>
      <c r="B1429" s="8" t="inlineStr">
        <is>
          <t>Friday</t>
        </is>
      </c>
      <c r="C1429" s="8" t="inlineStr">
        <is>
          <t>MNQU4</t>
        </is>
      </c>
      <c r="D1429" s="9" t="n">
        <v>19503</v>
      </c>
      <c r="E1429" s="9" t="n">
        <v>19396</v>
      </c>
      <c r="F1429" s="9">
        <f>D1429-E1429</f>
        <v/>
      </c>
      <c r="G1429" s="8" t="inlineStr">
        <is>
          <t>Long</t>
        </is>
      </c>
      <c r="H1429" s="9" t="n">
        <v>19503</v>
      </c>
      <c r="I1429" s="9" t="n">
        <v>19527.25</v>
      </c>
      <c r="J1429" s="9">
        <f>IF(G1429="Long",I1429-H1429,IF(G1429="Short",H1429-I1429,0))</f>
        <v/>
      </c>
      <c r="K1429" s="10" t="n">
        <v>84.11</v>
      </c>
      <c r="L1429" s="8" t="inlineStr">
        <is>
          <t>EOD-Close</t>
        </is>
      </c>
      <c r="M1429" s="9">
        <f>M1428+J1429</f>
        <v/>
      </c>
    </row>
    <row r="1430">
      <c r="A1430" s="5" t="inlineStr">
        <is>
          <t>2024-09-16</t>
        </is>
      </c>
      <c r="B1430" s="5" t="inlineStr">
        <is>
          <t>Monday</t>
        </is>
      </c>
      <c r="C1430" s="5" t="inlineStr">
        <is>
          <t>MNQZ4</t>
        </is>
      </c>
      <c r="D1430" s="6" t="n">
        <v>19676</v>
      </c>
      <c r="E1430" s="6" t="n">
        <v>19560.75</v>
      </c>
      <c r="F1430" s="6">
        <f>D1430-E1430</f>
        <v/>
      </c>
      <c r="G1430" s="5" t="inlineStr">
        <is>
          <t>Long</t>
        </is>
      </c>
      <c r="H1430" s="6" t="n">
        <v>19676</v>
      </c>
      <c r="I1430" s="6" t="n">
        <v>19560.75</v>
      </c>
      <c r="J1430" s="6">
        <f>IF(G1430="Long",I1430-H1430,IF(G1430="Short",H1430-I1430,0))</f>
        <v/>
      </c>
      <c r="K1430" s="7" t="n">
        <v>100</v>
      </c>
      <c r="L1430" s="5" t="inlineStr">
        <is>
          <t>Loss</t>
        </is>
      </c>
      <c r="M1430" s="6">
        <f>M1429+J1430</f>
        <v/>
      </c>
    </row>
    <row r="1431">
      <c r="A1431" s="5" t="inlineStr">
        <is>
          <t>2024-09-16</t>
        </is>
      </c>
      <c r="B1431" s="5" t="inlineStr">
        <is>
          <t>Monday</t>
        </is>
      </c>
      <c r="C1431" s="5" t="inlineStr">
        <is>
          <t>MNQZ4</t>
        </is>
      </c>
      <c r="D1431" s="6" t="n">
        <v>19676</v>
      </c>
      <c r="E1431" s="6" t="n">
        <v>19560.75</v>
      </c>
      <c r="F1431" s="6">
        <f>D1431-E1431</f>
        <v/>
      </c>
      <c r="G1431" s="5" t="inlineStr">
        <is>
          <t>Short</t>
        </is>
      </c>
      <c r="H1431" s="6" t="n">
        <v>19560.75</v>
      </c>
      <c r="I1431" s="6" t="n">
        <v>19676</v>
      </c>
      <c r="J1431" s="6">
        <f>IF(G1431="Long",I1431-H1431,IF(G1431="Short",H1431-I1431,0))</f>
        <v/>
      </c>
      <c r="K1431" s="7" t="n">
        <v>100</v>
      </c>
      <c r="L1431" s="5" t="inlineStr">
        <is>
          <t>Loss</t>
        </is>
      </c>
      <c r="M1431" s="6">
        <f>M1430+J1431</f>
        <v/>
      </c>
    </row>
    <row r="1432">
      <c r="A1432" s="5" t="inlineStr">
        <is>
          <t>2024-09-17</t>
        </is>
      </c>
      <c r="B1432" s="5" t="inlineStr">
        <is>
          <t>Tuesday</t>
        </is>
      </c>
      <c r="C1432" s="5" t="inlineStr">
        <is>
          <t>MNQZ4</t>
        </is>
      </c>
      <c r="D1432" s="6" t="n">
        <v>19828.75</v>
      </c>
      <c r="E1432" s="6" t="n">
        <v>19756.5</v>
      </c>
      <c r="F1432" s="6">
        <f>D1432-E1432</f>
        <v/>
      </c>
      <c r="G1432" s="5" t="inlineStr">
        <is>
          <t>Short</t>
        </is>
      </c>
      <c r="H1432" s="6" t="n">
        <v>19756.5</v>
      </c>
      <c r="I1432" s="6" t="n">
        <v>19828.75</v>
      </c>
      <c r="J1432" s="6">
        <f>IF(G1432="Long",I1432-H1432,IF(G1432="Short",H1432-I1432,0))</f>
        <v/>
      </c>
      <c r="K1432" s="7" t="n">
        <v>100</v>
      </c>
      <c r="L1432" s="5" t="inlineStr">
        <is>
          <t>Loss</t>
        </is>
      </c>
      <c r="M1432" s="6">
        <f>M1431+J1432</f>
        <v/>
      </c>
    </row>
    <row r="1433">
      <c r="A1433" s="5" t="inlineStr">
        <is>
          <t>2024-09-17</t>
        </is>
      </c>
      <c r="B1433" s="5" t="inlineStr">
        <is>
          <t>Tuesday</t>
        </is>
      </c>
      <c r="C1433" s="5" t="inlineStr">
        <is>
          <t>MNQZ4</t>
        </is>
      </c>
      <c r="D1433" s="6" t="n">
        <v>19828.75</v>
      </c>
      <c r="E1433" s="6" t="n">
        <v>19756.5</v>
      </c>
      <c r="F1433" s="6">
        <f>D1433-E1433</f>
        <v/>
      </c>
      <c r="G1433" s="5" t="inlineStr">
        <is>
          <t>Long</t>
        </is>
      </c>
      <c r="H1433" s="6" t="n">
        <v>19828.75</v>
      </c>
      <c r="I1433" s="6" t="n">
        <v>19756.5</v>
      </c>
      <c r="J1433" s="6">
        <f>IF(G1433="Long",I1433-H1433,IF(G1433="Short",H1433-I1433,0))</f>
        <v/>
      </c>
      <c r="K1433" s="7" t="n">
        <v>100</v>
      </c>
      <c r="L1433" s="5" t="inlineStr">
        <is>
          <t>Loss</t>
        </is>
      </c>
      <c r="M1433" s="6">
        <f>M1432+J1433</f>
        <v/>
      </c>
    </row>
    <row r="1434">
      <c r="A1434" s="2" t="inlineStr">
        <is>
          <t>2024-09-18</t>
        </is>
      </c>
      <c r="B1434" s="2" t="inlineStr">
        <is>
          <t>Wednesday</t>
        </is>
      </c>
      <c r="C1434" s="2" t="inlineStr">
        <is>
          <t>MNQZ4</t>
        </is>
      </c>
      <c r="D1434" s="3" t="n">
        <v>19736.75</v>
      </c>
      <c r="E1434" s="3" t="n">
        <v>19669.25</v>
      </c>
      <c r="F1434" s="3">
        <f>D1434-E1434</f>
        <v/>
      </c>
      <c r="G1434" s="2" t="inlineStr">
        <is>
          <t>Short</t>
        </is>
      </c>
      <c r="H1434" s="3" t="n">
        <v>19669.25</v>
      </c>
      <c r="I1434" s="3" t="n">
        <v>19601.75</v>
      </c>
      <c r="J1434" s="3">
        <f>IF(G1434="Long",I1434-H1434,IF(G1434="Short",H1434-I1434,0))</f>
        <v/>
      </c>
      <c r="K1434" s="4" t="n">
        <v>82.59</v>
      </c>
      <c r="L1434" s="2" t="inlineStr">
        <is>
          <t>Win</t>
        </is>
      </c>
      <c r="M1434" s="3">
        <f>M1433+J1434</f>
        <v/>
      </c>
    </row>
    <row r="1435">
      <c r="A1435" s="5" t="inlineStr">
        <is>
          <t>2024-09-18</t>
        </is>
      </c>
      <c r="B1435" s="5" t="inlineStr">
        <is>
          <t>Wednesday</t>
        </is>
      </c>
      <c r="C1435" s="5" t="inlineStr">
        <is>
          <t>MNQZ4</t>
        </is>
      </c>
      <c r="D1435" s="6" t="n">
        <v>19736.75</v>
      </c>
      <c r="E1435" s="6" t="n">
        <v>19669.25</v>
      </c>
      <c r="F1435" s="6">
        <f>D1435-E1435</f>
        <v/>
      </c>
      <c r="G1435" s="5" t="inlineStr">
        <is>
          <t>Short</t>
        </is>
      </c>
      <c r="H1435" s="6" t="n">
        <v>19669.25</v>
      </c>
      <c r="I1435" s="6" t="n">
        <v>19736.75</v>
      </c>
      <c r="J1435" s="6">
        <f>IF(G1435="Long",I1435-H1435,IF(G1435="Short",H1435-I1435,0))</f>
        <v/>
      </c>
      <c r="K1435" s="7" t="n">
        <v>100</v>
      </c>
      <c r="L1435" s="5" t="inlineStr">
        <is>
          <t>Loss</t>
        </is>
      </c>
      <c r="M1435" s="6">
        <f>M1434+J1435</f>
        <v/>
      </c>
    </row>
    <row r="1436">
      <c r="A1436" s="5" t="inlineStr">
        <is>
          <t>2024-09-19</t>
        </is>
      </c>
      <c r="B1436" s="5" t="inlineStr">
        <is>
          <t>Thursday</t>
        </is>
      </c>
      <c r="C1436" s="5" t="inlineStr">
        <is>
          <t>MNQZ4</t>
        </is>
      </c>
      <c r="D1436" s="6" t="n">
        <v>20073.25</v>
      </c>
      <c r="E1436" s="6" t="n">
        <v>20003.75</v>
      </c>
      <c r="F1436" s="6">
        <f>D1436-E1436</f>
        <v/>
      </c>
      <c r="G1436" s="5" t="inlineStr">
        <is>
          <t>Short</t>
        </is>
      </c>
      <c r="H1436" s="6" t="n">
        <v>20003.75</v>
      </c>
      <c r="I1436" s="6" t="n">
        <v>20073.25</v>
      </c>
      <c r="J1436" s="6">
        <f>IF(G1436="Long",I1436-H1436,IF(G1436="Short",H1436-I1436,0))</f>
        <v/>
      </c>
      <c r="K1436" s="7" t="n">
        <v>100</v>
      </c>
      <c r="L1436" s="5" t="inlineStr">
        <is>
          <t>Loss</t>
        </is>
      </c>
      <c r="M1436" s="6">
        <f>M1435+J1436</f>
        <v/>
      </c>
    </row>
    <row r="1437">
      <c r="A1437" s="2" t="inlineStr">
        <is>
          <t>2024-09-19</t>
        </is>
      </c>
      <c r="B1437" s="2" t="inlineStr">
        <is>
          <t>Thursday</t>
        </is>
      </c>
      <c r="C1437" s="2" t="inlineStr">
        <is>
          <t>MNQZ4</t>
        </is>
      </c>
      <c r="D1437" s="3" t="n">
        <v>20073.25</v>
      </c>
      <c r="E1437" s="3" t="n">
        <v>20003.75</v>
      </c>
      <c r="F1437" s="3">
        <f>D1437-E1437</f>
        <v/>
      </c>
      <c r="G1437" s="2" t="inlineStr">
        <is>
          <t>Long</t>
        </is>
      </c>
      <c r="H1437" s="3" t="n">
        <v>20073.25</v>
      </c>
      <c r="I1437" s="3" t="n">
        <v>20142.75</v>
      </c>
      <c r="J1437" s="3">
        <f>IF(G1437="Long",I1437-H1437,IF(G1437="Short",H1437-I1437,0))</f>
        <v/>
      </c>
      <c r="K1437" s="4" t="n">
        <v>1.8</v>
      </c>
      <c r="L1437" s="2" t="inlineStr">
        <is>
          <t>Win</t>
        </is>
      </c>
      <c r="M1437" s="3">
        <f>M1436+J1437</f>
        <v/>
      </c>
    </row>
    <row r="1438">
      <c r="A1438" s="2" t="inlineStr">
        <is>
          <t>2024-09-20</t>
        </is>
      </c>
      <c r="B1438" s="2" t="inlineStr">
        <is>
          <t>Friday</t>
        </is>
      </c>
      <c r="C1438" s="2" t="inlineStr">
        <is>
          <t>MNQZ4</t>
        </is>
      </c>
      <c r="D1438" s="3" t="n">
        <v>20082.5</v>
      </c>
      <c r="E1438" s="3" t="n">
        <v>20030.25</v>
      </c>
      <c r="F1438" s="3">
        <f>D1438-E1438</f>
        <v/>
      </c>
      <c r="G1438" s="2" t="inlineStr">
        <is>
          <t>Short</t>
        </is>
      </c>
      <c r="H1438" s="3" t="n">
        <v>20030.25</v>
      </c>
      <c r="I1438" s="3" t="n">
        <v>19978</v>
      </c>
      <c r="J1438" s="3">
        <f>IF(G1438="Long",I1438-H1438,IF(G1438="Short",H1438-I1438,0))</f>
        <v/>
      </c>
      <c r="K1438" s="4" t="n">
        <v>0</v>
      </c>
      <c r="L1438" s="2" t="inlineStr">
        <is>
          <t>Win</t>
        </is>
      </c>
      <c r="M1438" s="3">
        <f>M1437+J1438</f>
        <v/>
      </c>
    </row>
    <row r="1439">
      <c r="A1439" s="2" t="inlineStr">
        <is>
          <t>2024-09-20</t>
        </is>
      </c>
      <c r="B1439" s="2" t="inlineStr">
        <is>
          <t>Friday</t>
        </is>
      </c>
      <c r="C1439" s="2" t="inlineStr">
        <is>
          <t>MNQZ4</t>
        </is>
      </c>
      <c r="D1439" s="3" t="n">
        <v>20082.5</v>
      </c>
      <c r="E1439" s="3" t="n">
        <v>20030.25</v>
      </c>
      <c r="F1439" s="3">
        <f>D1439-E1439</f>
        <v/>
      </c>
      <c r="G1439" s="2" t="inlineStr">
        <is>
          <t>Short</t>
        </is>
      </c>
      <c r="H1439" s="3" t="n">
        <v>20030.25</v>
      </c>
      <c r="I1439" s="3" t="n">
        <v>19978</v>
      </c>
      <c r="J1439" s="3">
        <f>IF(G1439="Long",I1439-H1439,IF(G1439="Short",H1439-I1439,0))</f>
        <v/>
      </c>
      <c r="K1439" s="4" t="n">
        <v>11.96</v>
      </c>
      <c r="L1439" s="2" t="inlineStr">
        <is>
          <t>Win</t>
        </is>
      </c>
      <c r="M1439" s="3">
        <f>M1438+J1439</f>
        <v/>
      </c>
    </row>
    <row r="1440">
      <c r="A1440" s="5" t="inlineStr">
        <is>
          <t>2024-09-23</t>
        </is>
      </c>
      <c r="B1440" s="5" t="inlineStr">
        <is>
          <t>Monday</t>
        </is>
      </c>
      <c r="C1440" s="5" t="inlineStr">
        <is>
          <t>MNQZ4</t>
        </is>
      </c>
      <c r="D1440" s="6" t="n">
        <v>20086.5</v>
      </c>
      <c r="E1440" s="6" t="n">
        <v>20031.75</v>
      </c>
      <c r="F1440" s="6">
        <f>D1440-E1440</f>
        <v/>
      </c>
      <c r="G1440" s="5" t="inlineStr">
        <is>
          <t>Long</t>
        </is>
      </c>
      <c r="H1440" s="6" t="n">
        <v>20086.5</v>
      </c>
      <c r="I1440" s="6" t="n">
        <v>20031.75</v>
      </c>
      <c r="J1440" s="6">
        <f>IF(G1440="Long",I1440-H1440,IF(G1440="Short",H1440-I1440,0))</f>
        <v/>
      </c>
      <c r="K1440" s="7" t="n">
        <v>100</v>
      </c>
      <c r="L1440" s="5" t="inlineStr">
        <is>
          <t>Loss</t>
        </is>
      </c>
      <c r="M1440" s="6">
        <f>M1439+J1440</f>
        <v/>
      </c>
    </row>
    <row r="1441">
      <c r="A1441" s="2" t="inlineStr">
        <is>
          <t>2024-09-24</t>
        </is>
      </c>
      <c r="B1441" s="2" t="inlineStr">
        <is>
          <t>Tuesday</t>
        </is>
      </c>
      <c r="C1441" s="2" t="inlineStr">
        <is>
          <t>MNQZ4</t>
        </is>
      </c>
      <c r="D1441" s="3" t="n">
        <v>20154</v>
      </c>
      <c r="E1441" s="3" t="n">
        <v>20094.25</v>
      </c>
      <c r="F1441" s="3">
        <f>D1441-E1441</f>
        <v/>
      </c>
      <c r="G1441" s="2" t="inlineStr">
        <is>
          <t>Short</t>
        </is>
      </c>
      <c r="H1441" s="3" t="n">
        <v>20094.25</v>
      </c>
      <c r="I1441" s="3" t="n">
        <v>20034.5</v>
      </c>
      <c r="J1441" s="3">
        <f>IF(G1441="Long",I1441-H1441,IF(G1441="Short",H1441-I1441,0))</f>
        <v/>
      </c>
      <c r="K1441" s="4" t="n">
        <v>0</v>
      </c>
      <c r="L1441" s="2" t="inlineStr">
        <is>
          <t>Win</t>
        </is>
      </c>
      <c r="M1441" s="3">
        <f>M1440+J1441</f>
        <v/>
      </c>
    </row>
    <row r="1442">
      <c r="A1442" s="5" t="inlineStr">
        <is>
          <t>2024-09-24</t>
        </is>
      </c>
      <c r="B1442" s="5" t="inlineStr">
        <is>
          <t>Tuesday</t>
        </is>
      </c>
      <c r="C1442" s="5" t="inlineStr">
        <is>
          <t>MNQZ4</t>
        </is>
      </c>
      <c r="D1442" s="6" t="n">
        <v>20154</v>
      </c>
      <c r="E1442" s="6" t="n">
        <v>20094.25</v>
      </c>
      <c r="F1442" s="6">
        <f>D1442-E1442</f>
        <v/>
      </c>
      <c r="G1442" s="5" t="inlineStr">
        <is>
          <t>Short</t>
        </is>
      </c>
      <c r="H1442" s="6" t="n">
        <v>20094.25</v>
      </c>
      <c r="I1442" s="6" t="n">
        <v>20154</v>
      </c>
      <c r="J1442" s="6">
        <f>IF(G1442="Long",I1442-H1442,IF(G1442="Short",H1442-I1442,0))</f>
        <v/>
      </c>
      <c r="K1442" s="7" t="n">
        <v>100</v>
      </c>
      <c r="L1442" s="5" t="inlineStr">
        <is>
          <t>Loss</t>
        </is>
      </c>
      <c r="M1442" s="6">
        <f>M1441+J1442</f>
        <v/>
      </c>
    </row>
    <row r="1443">
      <c r="A1443" s="5" t="inlineStr">
        <is>
          <t>2024-09-25</t>
        </is>
      </c>
      <c r="B1443" s="5" t="inlineStr">
        <is>
          <t>Wednesday</t>
        </is>
      </c>
      <c r="C1443" s="5" t="inlineStr">
        <is>
          <t>MNQZ4</t>
        </is>
      </c>
      <c r="D1443" s="6" t="n">
        <v>20205.75</v>
      </c>
      <c r="E1443" s="6" t="n">
        <v>20138.25</v>
      </c>
      <c r="F1443" s="6">
        <f>D1443-E1443</f>
        <v/>
      </c>
      <c r="G1443" s="5" t="inlineStr">
        <is>
          <t>Long</t>
        </is>
      </c>
      <c r="H1443" s="6" t="n">
        <v>20205.75</v>
      </c>
      <c r="I1443" s="6" t="n">
        <v>20138.25</v>
      </c>
      <c r="J1443" s="6">
        <f>IF(G1443="Long",I1443-H1443,IF(G1443="Short",H1443-I1443,0))</f>
        <v/>
      </c>
      <c r="K1443" s="7" t="n">
        <v>100</v>
      </c>
      <c r="L1443" s="5" t="inlineStr">
        <is>
          <t>Loss</t>
        </is>
      </c>
      <c r="M1443" s="6">
        <f>M1442+J1443</f>
        <v/>
      </c>
    </row>
    <row r="1444">
      <c r="A1444" s="2" t="inlineStr">
        <is>
          <t>2024-09-26</t>
        </is>
      </c>
      <c r="B1444" s="2" t="inlineStr">
        <is>
          <t>Thursday</t>
        </is>
      </c>
      <c r="C1444" s="2" t="inlineStr">
        <is>
          <t>MNQZ4</t>
        </is>
      </c>
      <c r="D1444" s="3" t="n">
        <v>20518</v>
      </c>
      <c r="E1444" s="3" t="n">
        <v>20419.25</v>
      </c>
      <c r="F1444" s="3">
        <f>D1444-E1444</f>
        <v/>
      </c>
      <c r="G1444" s="2" t="inlineStr">
        <is>
          <t>Short</t>
        </is>
      </c>
      <c r="H1444" s="3" t="n">
        <v>20419.25</v>
      </c>
      <c r="I1444" s="3" t="n">
        <v>20320.5</v>
      </c>
      <c r="J1444" s="3">
        <f>IF(G1444="Long",I1444-H1444,IF(G1444="Short",H1444-I1444,0))</f>
        <v/>
      </c>
      <c r="K1444" s="4" t="n">
        <v>18.99</v>
      </c>
      <c r="L1444" s="2" t="inlineStr">
        <is>
          <t>Win</t>
        </is>
      </c>
      <c r="M1444" s="3">
        <f>M1443+J1444</f>
        <v/>
      </c>
    </row>
    <row r="1445">
      <c r="A1445" s="2" t="inlineStr">
        <is>
          <t>2024-09-27</t>
        </is>
      </c>
      <c r="B1445" s="2" t="inlineStr">
        <is>
          <t>Friday</t>
        </is>
      </c>
      <c r="C1445" s="2" t="inlineStr">
        <is>
          <t>MNQZ4</t>
        </is>
      </c>
      <c r="D1445" s="3" t="n">
        <v>20383</v>
      </c>
      <c r="E1445" s="3" t="n">
        <v>20310.25</v>
      </c>
      <c r="F1445" s="3">
        <f>D1445-E1445</f>
        <v/>
      </c>
      <c r="G1445" s="2" t="inlineStr">
        <is>
          <t>Short</t>
        </is>
      </c>
      <c r="H1445" s="3" t="n">
        <v>20310.25</v>
      </c>
      <c r="I1445" s="3" t="n">
        <v>20237.5</v>
      </c>
      <c r="J1445" s="3">
        <f>IF(G1445="Long",I1445-H1445,IF(G1445="Short",H1445-I1445,0))</f>
        <v/>
      </c>
      <c r="K1445" s="4" t="n">
        <v>40.21</v>
      </c>
      <c r="L1445" s="2" t="inlineStr">
        <is>
          <t>Win</t>
        </is>
      </c>
      <c r="M1445" s="3">
        <f>M1444+J1445</f>
        <v/>
      </c>
    </row>
    <row r="1446">
      <c r="A1446" s="2" t="inlineStr">
        <is>
          <t>2024-09-30</t>
        </is>
      </c>
      <c r="B1446" s="2" t="inlineStr">
        <is>
          <t>Monday</t>
        </is>
      </c>
      <c r="C1446" s="2" t="inlineStr">
        <is>
          <t>MNQZ4</t>
        </is>
      </c>
      <c r="D1446" s="3" t="n">
        <v>20260</v>
      </c>
      <c r="E1446" s="3" t="n">
        <v>20168.5</v>
      </c>
      <c r="F1446" s="3">
        <f>D1446-E1446</f>
        <v/>
      </c>
      <c r="G1446" s="2" t="inlineStr">
        <is>
          <t>Short</t>
        </is>
      </c>
      <c r="H1446" s="3" t="n">
        <v>20168.5</v>
      </c>
      <c r="I1446" s="3" t="n">
        <v>20077</v>
      </c>
      <c r="J1446" s="3">
        <f>IF(G1446="Long",I1446-H1446,IF(G1446="Short",H1446-I1446,0))</f>
        <v/>
      </c>
      <c r="K1446" s="4" t="n">
        <v>93.98999999999999</v>
      </c>
      <c r="L1446" s="2" t="inlineStr">
        <is>
          <t>Win</t>
        </is>
      </c>
      <c r="M1446" s="3">
        <f>M1445+J1446</f>
        <v/>
      </c>
    </row>
    <row r="1447">
      <c r="A1447" s="5" t="inlineStr">
        <is>
          <t>2024-09-30</t>
        </is>
      </c>
      <c r="B1447" s="5" t="inlineStr">
        <is>
          <t>Monday</t>
        </is>
      </c>
      <c r="C1447" s="5" t="inlineStr">
        <is>
          <t>MNQZ4</t>
        </is>
      </c>
      <c r="D1447" s="6" t="n">
        <v>20260</v>
      </c>
      <c r="E1447" s="6" t="n">
        <v>20168.5</v>
      </c>
      <c r="F1447" s="6">
        <f>D1447-E1447</f>
        <v/>
      </c>
      <c r="G1447" s="5" t="inlineStr">
        <is>
          <t>Short</t>
        </is>
      </c>
      <c r="H1447" s="6" t="n">
        <v>20168.5</v>
      </c>
      <c r="I1447" s="6" t="n">
        <v>20260</v>
      </c>
      <c r="J1447" s="6">
        <f>IF(G1447="Long",I1447-H1447,IF(G1447="Short",H1447-I1447,0))</f>
        <v/>
      </c>
      <c r="K1447" s="7" t="n">
        <v>100</v>
      </c>
      <c r="L1447" s="5" t="inlineStr">
        <is>
          <t>Loss</t>
        </is>
      </c>
      <c r="M1447" s="6">
        <f>M1446+J1447</f>
        <v/>
      </c>
    </row>
    <row r="1448">
      <c r="A1448" s="2" t="inlineStr">
        <is>
          <t>2024-10-01</t>
        </is>
      </c>
      <c r="B1448" s="2" t="inlineStr">
        <is>
          <t>Tuesday</t>
        </is>
      </c>
      <c r="C1448" s="2" t="inlineStr">
        <is>
          <t>MNQZ4</t>
        </is>
      </c>
      <c r="D1448" s="3" t="n">
        <v>20266.25</v>
      </c>
      <c r="E1448" s="3" t="n">
        <v>20070</v>
      </c>
      <c r="F1448" s="3">
        <f>D1448-E1448</f>
        <v/>
      </c>
      <c r="G1448" s="2" t="inlineStr">
        <is>
          <t>Short</t>
        </is>
      </c>
      <c r="H1448" s="3" t="n">
        <v>20070</v>
      </c>
      <c r="I1448" s="3" t="n">
        <v>19873.75</v>
      </c>
      <c r="J1448" s="3">
        <f>IF(G1448="Long",I1448-H1448,IF(G1448="Short",H1448-I1448,0))</f>
        <v/>
      </c>
      <c r="K1448" s="4" t="n">
        <v>4.84</v>
      </c>
      <c r="L1448" s="2" t="inlineStr">
        <is>
          <t>Win</t>
        </is>
      </c>
      <c r="M1448" s="3">
        <f>M1447+J1448</f>
        <v/>
      </c>
    </row>
    <row r="1449">
      <c r="A1449" s="8" t="inlineStr">
        <is>
          <t>2024-10-01</t>
        </is>
      </c>
      <c r="B1449" s="8" t="inlineStr">
        <is>
          <t>Tuesday</t>
        </is>
      </c>
      <c r="C1449" s="8" t="inlineStr">
        <is>
          <t>MNQZ4</t>
        </is>
      </c>
      <c r="D1449" s="9" t="n">
        <v>20266.25</v>
      </c>
      <c r="E1449" s="9" t="n">
        <v>20070</v>
      </c>
      <c r="F1449" s="9">
        <f>D1449-E1449</f>
        <v/>
      </c>
      <c r="G1449" s="8" t="inlineStr">
        <is>
          <t>Short</t>
        </is>
      </c>
      <c r="H1449" s="9" t="n">
        <v>20070</v>
      </c>
      <c r="I1449" s="9" t="n">
        <v>19978.5</v>
      </c>
      <c r="J1449" s="9">
        <f>IF(G1449="Long",I1449-H1449,IF(G1449="Short",H1449-I1449,0))</f>
        <v/>
      </c>
      <c r="K1449" s="10" t="n">
        <v>5.35</v>
      </c>
      <c r="L1449" s="8" t="inlineStr">
        <is>
          <t>EOD-Close</t>
        </is>
      </c>
      <c r="M1449" s="9">
        <f>M1448+J1449</f>
        <v/>
      </c>
    </row>
    <row r="1450">
      <c r="A1450" s="8" t="inlineStr">
        <is>
          <t>2024-10-02</t>
        </is>
      </c>
      <c r="B1450" s="8" t="inlineStr">
        <is>
          <t>Wednesday</t>
        </is>
      </c>
      <c r="C1450" s="8" t="inlineStr">
        <is>
          <t>MNQZ4</t>
        </is>
      </c>
      <c r="D1450" s="9" t="n">
        <v>19967</v>
      </c>
      <c r="E1450" s="9" t="n">
        <v>19836</v>
      </c>
      <c r="F1450" s="9">
        <f>D1450-E1450</f>
        <v/>
      </c>
      <c r="G1450" s="8" t="inlineStr">
        <is>
          <t>Long</t>
        </is>
      </c>
      <c r="H1450" s="9" t="n">
        <v>19967</v>
      </c>
      <c r="I1450" s="9" t="n">
        <v>20009.75</v>
      </c>
      <c r="J1450" s="9">
        <f>IF(G1450="Long",I1450-H1450,IF(G1450="Short",H1450-I1450,0))</f>
        <v/>
      </c>
      <c r="K1450" s="10" t="n">
        <v>16.03</v>
      </c>
      <c r="L1450" s="8" t="inlineStr">
        <is>
          <t>EOD-Close</t>
        </is>
      </c>
      <c r="M1450" s="9">
        <f>M1449+J1450</f>
        <v/>
      </c>
    </row>
    <row r="1451">
      <c r="A1451" s="5" t="inlineStr">
        <is>
          <t>2024-10-03</t>
        </is>
      </c>
      <c r="B1451" s="5" t="inlineStr">
        <is>
          <t>Thursday</t>
        </is>
      </c>
      <c r="C1451" s="5" t="inlineStr">
        <is>
          <t>MNQZ4</t>
        </is>
      </c>
      <c r="D1451" s="6" t="n">
        <v>20006.25</v>
      </c>
      <c r="E1451" s="6" t="n">
        <v>19894.5</v>
      </c>
      <c r="F1451" s="6">
        <f>D1451-E1451</f>
        <v/>
      </c>
      <c r="G1451" s="5" t="inlineStr">
        <is>
          <t>Long</t>
        </is>
      </c>
      <c r="H1451" s="6" t="n">
        <v>20006.25</v>
      </c>
      <c r="I1451" s="6" t="n">
        <v>19894.5</v>
      </c>
      <c r="J1451" s="6">
        <f>IF(G1451="Long",I1451-H1451,IF(G1451="Short",H1451-I1451,0))</f>
        <v/>
      </c>
      <c r="K1451" s="7" t="n">
        <v>100</v>
      </c>
      <c r="L1451" s="5" t="inlineStr">
        <is>
          <t>Loss</t>
        </is>
      </c>
      <c r="M1451" s="6">
        <f>M1450+J1451</f>
        <v/>
      </c>
    </row>
    <row r="1452">
      <c r="A1452" s="2" t="inlineStr">
        <is>
          <t>2024-10-04</t>
        </is>
      </c>
      <c r="B1452" s="2" t="inlineStr">
        <is>
          <t>Friday</t>
        </is>
      </c>
      <c r="C1452" s="2" t="inlineStr">
        <is>
          <t>MNQZ4</t>
        </is>
      </c>
      <c r="D1452" s="3" t="n">
        <v>20239.75</v>
      </c>
      <c r="E1452" s="3" t="n">
        <v>20186.25</v>
      </c>
      <c r="F1452" s="3">
        <f>D1452-E1452</f>
        <v/>
      </c>
      <c r="G1452" s="2" t="inlineStr">
        <is>
          <t>Short</t>
        </is>
      </c>
      <c r="H1452" s="3" t="n">
        <v>20186.25</v>
      </c>
      <c r="I1452" s="3" t="n">
        <v>20132.75</v>
      </c>
      <c r="J1452" s="3">
        <f>IF(G1452="Long",I1452-H1452,IF(G1452="Short",H1452-I1452,0))</f>
        <v/>
      </c>
      <c r="K1452" s="4" t="n">
        <v>0</v>
      </c>
      <c r="L1452" s="2" t="inlineStr">
        <is>
          <t>Win</t>
        </is>
      </c>
      <c r="M1452" s="3">
        <f>M1451+J1452</f>
        <v/>
      </c>
    </row>
    <row r="1453">
      <c r="A1453" s="5" t="inlineStr">
        <is>
          <t>2024-10-04</t>
        </is>
      </c>
      <c r="B1453" s="5" t="inlineStr">
        <is>
          <t>Friday</t>
        </is>
      </c>
      <c r="C1453" s="5" t="inlineStr">
        <is>
          <t>MNQZ4</t>
        </is>
      </c>
      <c r="D1453" s="6" t="n">
        <v>20239.75</v>
      </c>
      <c r="E1453" s="6" t="n">
        <v>20186.25</v>
      </c>
      <c r="F1453" s="6">
        <f>D1453-E1453</f>
        <v/>
      </c>
      <c r="G1453" s="5" t="inlineStr">
        <is>
          <t>Short</t>
        </is>
      </c>
      <c r="H1453" s="6" t="n">
        <v>20186.25</v>
      </c>
      <c r="I1453" s="6" t="n">
        <v>20239.75</v>
      </c>
      <c r="J1453" s="6">
        <f>IF(G1453="Long",I1453-H1453,IF(G1453="Short",H1453-I1453,0))</f>
        <v/>
      </c>
      <c r="K1453" s="7" t="n">
        <v>100</v>
      </c>
      <c r="L1453" s="5" t="inlineStr">
        <is>
          <t>Loss</t>
        </is>
      </c>
      <c r="M1453" s="6">
        <f>M1452+J1453</f>
        <v/>
      </c>
    </row>
    <row r="1454">
      <c r="A1454" s="5" t="inlineStr">
        <is>
          <t>2024-10-07</t>
        </is>
      </c>
      <c r="B1454" s="5" t="inlineStr">
        <is>
          <t>Monday</t>
        </is>
      </c>
      <c r="C1454" s="5" t="inlineStr">
        <is>
          <t>MNQZ4</t>
        </is>
      </c>
      <c r="D1454" s="6" t="n">
        <v>20163.75</v>
      </c>
      <c r="E1454" s="6" t="n">
        <v>20107.25</v>
      </c>
      <c r="F1454" s="6">
        <f>D1454-E1454</f>
        <v/>
      </c>
      <c r="G1454" s="5" t="inlineStr">
        <is>
          <t>Short</t>
        </is>
      </c>
      <c r="H1454" s="6" t="n">
        <v>20107.25</v>
      </c>
      <c r="I1454" s="6" t="n">
        <v>20163.75</v>
      </c>
      <c r="J1454" s="6">
        <f>IF(G1454="Long",I1454-H1454,IF(G1454="Short",H1454-I1454,0))</f>
        <v/>
      </c>
      <c r="K1454" s="7" t="n">
        <v>100</v>
      </c>
      <c r="L1454" s="5" t="inlineStr">
        <is>
          <t>Loss</t>
        </is>
      </c>
      <c r="M1454" s="6">
        <f>M1453+J1454</f>
        <v/>
      </c>
    </row>
    <row r="1455">
      <c r="A1455" s="5" t="inlineStr">
        <is>
          <t>2024-10-07</t>
        </is>
      </c>
      <c r="B1455" s="5" t="inlineStr">
        <is>
          <t>Monday</t>
        </is>
      </c>
      <c r="C1455" s="5" t="inlineStr">
        <is>
          <t>MNQZ4</t>
        </is>
      </c>
      <c r="D1455" s="6" t="n">
        <v>20163.75</v>
      </c>
      <c r="E1455" s="6" t="n">
        <v>20107.25</v>
      </c>
      <c r="F1455" s="6">
        <f>D1455-E1455</f>
        <v/>
      </c>
      <c r="G1455" s="5" t="inlineStr">
        <is>
          <t>Long</t>
        </is>
      </c>
      <c r="H1455" s="6" t="n">
        <v>20163.75</v>
      </c>
      <c r="I1455" s="6" t="n">
        <v>20107.25</v>
      </c>
      <c r="J1455" s="6">
        <f>IF(G1455="Long",I1455-H1455,IF(G1455="Short",H1455-I1455,0))</f>
        <v/>
      </c>
      <c r="K1455" s="7" t="n">
        <v>100</v>
      </c>
      <c r="L1455" s="5" t="inlineStr">
        <is>
          <t>Loss</t>
        </is>
      </c>
      <c r="M1455" s="6">
        <f>M1454+J1455</f>
        <v/>
      </c>
    </row>
    <row r="1456">
      <c r="A1456" s="2" t="inlineStr">
        <is>
          <t>2024-10-08</t>
        </is>
      </c>
      <c r="B1456" s="2" t="inlineStr">
        <is>
          <t>Tuesday</t>
        </is>
      </c>
      <c r="C1456" s="2" t="inlineStr">
        <is>
          <t>MNQZ4</t>
        </is>
      </c>
      <c r="D1456" s="3" t="n">
        <v>20115.75</v>
      </c>
      <c r="E1456" s="3" t="n">
        <v>20069.5</v>
      </c>
      <c r="F1456" s="3">
        <f>D1456-E1456</f>
        <v/>
      </c>
      <c r="G1456" s="2" t="inlineStr">
        <is>
          <t>Long</t>
        </is>
      </c>
      <c r="H1456" s="3" t="n">
        <v>20115.75</v>
      </c>
      <c r="I1456" s="3" t="n">
        <v>20162</v>
      </c>
      <c r="J1456" s="3">
        <f>IF(G1456="Long",I1456-H1456,IF(G1456="Short",H1456-I1456,0))</f>
        <v/>
      </c>
      <c r="K1456" s="4" t="n">
        <v>0</v>
      </c>
      <c r="L1456" s="2" t="inlineStr">
        <is>
          <t>Win</t>
        </is>
      </c>
      <c r="M1456" s="3">
        <f>M1455+J1456</f>
        <v/>
      </c>
    </row>
    <row r="1457">
      <c r="A1457" s="2" t="inlineStr">
        <is>
          <t>2024-10-09</t>
        </is>
      </c>
      <c r="B1457" s="2" t="inlineStr">
        <is>
          <t>Wednesday</t>
        </is>
      </c>
      <c r="C1457" s="2" t="inlineStr">
        <is>
          <t>MNQZ4</t>
        </is>
      </c>
      <c r="D1457" s="3" t="n">
        <v>20299.25</v>
      </c>
      <c r="E1457" s="3" t="n">
        <v>20238.25</v>
      </c>
      <c r="F1457" s="3">
        <f>D1457-E1457</f>
        <v/>
      </c>
      <c r="G1457" s="2" t="inlineStr">
        <is>
          <t>Long</t>
        </is>
      </c>
      <c r="H1457" s="3" t="n">
        <v>20299.25</v>
      </c>
      <c r="I1457" s="3" t="n">
        <v>20360.25</v>
      </c>
      <c r="J1457" s="3">
        <f>IF(G1457="Long",I1457-H1457,IF(G1457="Short",H1457-I1457,0))</f>
        <v/>
      </c>
      <c r="K1457" s="4" t="n">
        <v>9.02</v>
      </c>
      <c r="L1457" s="2" t="inlineStr">
        <is>
          <t>Win</t>
        </is>
      </c>
      <c r="M1457" s="3">
        <f>M1456+J1457</f>
        <v/>
      </c>
    </row>
    <row r="1458">
      <c r="A1458" s="5" t="inlineStr">
        <is>
          <t>2024-10-10</t>
        </is>
      </c>
      <c r="B1458" s="5" t="inlineStr">
        <is>
          <t>Thursday</t>
        </is>
      </c>
      <c r="C1458" s="5" t="inlineStr">
        <is>
          <t>MNQZ4</t>
        </is>
      </c>
      <c r="D1458" s="6" t="n">
        <v>20390</v>
      </c>
      <c r="E1458" s="6" t="n">
        <v>20340</v>
      </c>
      <c r="F1458" s="6">
        <f>D1458-E1458</f>
        <v/>
      </c>
      <c r="G1458" s="5" t="inlineStr">
        <is>
          <t>Short</t>
        </is>
      </c>
      <c r="H1458" s="6" t="n">
        <v>20340</v>
      </c>
      <c r="I1458" s="6" t="n">
        <v>20390</v>
      </c>
      <c r="J1458" s="6">
        <f>IF(G1458="Long",I1458-H1458,IF(G1458="Short",H1458-I1458,0))</f>
        <v/>
      </c>
      <c r="K1458" s="7" t="n">
        <v>100</v>
      </c>
      <c r="L1458" s="5" t="inlineStr">
        <is>
          <t>Loss</t>
        </is>
      </c>
      <c r="M1458" s="6">
        <f>M1457+J1458</f>
        <v/>
      </c>
    </row>
    <row r="1459">
      <c r="A1459" s="2" t="inlineStr">
        <is>
          <t>2024-10-10</t>
        </is>
      </c>
      <c r="B1459" s="2" t="inlineStr">
        <is>
          <t>Thursday</t>
        </is>
      </c>
      <c r="C1459" s="2" t="inlineStr">
        <is>
          <t>MNQZ4</t>
        </is>
      </c>
      <c r="D1459" s="3" t="n">
        <v>20390</v>
      </c>
      <c r="E1459" s="3" t="n">
        <v>20340</v>
      </c>
      <c r="F1459" s="3">
        <f>D1459-E1459</f>
        <v/>
      </c>
      <c r="G1459" s="2" t="inlineStr">
        <is>
          <t>Long</t>
        </is>
      </c>
      <c r="H1459" s="3" t="n">
        <v>20390</v>
      </c>
      <c r="I1459" s="3" t="n">
        <v>20440</v>
      </c>
      <c r="J1459" s="3">
        <f>IF(G1459="Long",I1459-H1459,IF(G1459="Short",H1459-I1459,0))</f>
        <v/>
      </c>
      <c r="K1459" s="4" t="n">
        <v>59.5</v>
      </c>
      <c r="L1459" s="2" t="inlineStr">
        <is>
          <t>Win</t>
        </is>
      </c>
      <c r="M1459" s="3">
        <f>M1458+J1459</f>
        <v/>
      </c>
    </row>
    <row r="1460">
      <c r="A1460" s="2" t="inlineStr">
        <is>
          <t>2024-10-11</t>
        </is>
      </c>
      <c r="B1460" s="2" t="inlineStr">
        <is>
          <t>Friday</t>
        </is>
      </c>
      <c r="C1460" s="2" t="inlineStr">
        <is>
          <t>MNQZ4</t>
        </is>
      </c>
      <c r="D1460" s="3" t="n">
        <v>20352.25</v>
      </c>
      <c r="E1460" s="3" t="n">
        <v>20313.25</v>
      </c>
      <c r="F1460" s="3">
        <f>D1460-E1460</f>
        <v/>
      </c>
      <c r="G1460" s="2" t="inlineStr">
        <is>
          <t>Long</t>
        </is>
      </c>
      <c r="H1460" s="3" t="n">
        <v>20352.25</v>
      </c>
      <c r="I1460" s="3" t="n">
        <v>20391.25</v>
      </c>
      <c r="J1460" s="3">
        <f>IF(G1460="Long",I1460-H1460,IF(G1460="Short",H1460-I1460,0))</f>
        <v/>
      </c>
      <c r="K1460" s="4" t="n">
        <v>73.72</v>
      </c>
      <c r="L1460" s="2" t="inlineStr">
        <is>
          <t>Win</t>
        </is>
      </c>
      <c r="M1460" s="3">
        <f>M1459+J1460</f>
        <v/>
      </c>
    </row>
    <row r="1461">
      <c r="A1461" s="2" t="inlineStr">
        <is>
          <t>2024-10-14</t>
        </is>
      </c>
      <c r="B1461" s="2" t="inlineStr">
        <is>
          <t>Monday</t>
        </is>
      </c>
      <c r="C1461" s="2" t="inlineStr">
        <is>
          <t>MNQZ4</t>
        </is>
      </c>
      <c r="D1461" s="3" t="n">
        <v>20609</v>
      </c>
      <c r="E1461" s="3" t="n">
        <v>20540.75</v>
      </c>
      <c r="F1461" s="3">
        <f>D1461-E1461</f>
        <v/>
      </c>
      <c r="G1461" s="2" t="inlineStr">
        <is>
          <t>Long</t>
        </is>
      </c>
      <c r="H1461" s="3" t="n">
        <v>20609</v>
      </c>
      <c r="I1461" s="3" t="n">
        <v>20677.25</v>
      </c>
      <c r="J1461" s="3">
        <f>IF(G1461="Long",I1461-H1461,IF(G1461="Short",H1461-I1461,0))</f>
        <v/>
      </c>
      <c r="K1461" s="4" t="n">
        <v>0</v>
      </c>
      <c r="L1461" s="2" t="inlineStr">
        <is>
          <t>Win</t>
        </is>
      </c>
      <c r="M1461" s="3">
        <f>M1460+J1461</f>
        <v/>
      </c>
    </row>
    <row r="1462">
      <c r="A1462" s="5" t="inlineStr">
        <is>
          <t>2024-10-14</t>
        </is>
      </c>
      <c r="B1462" s="5" t="inlineStr">
        <is>
          <t>Monday</t>
        </is>
      </c>
      <c r="C1462" s="5" t="inlineStr">
        <is>
          <t>MNQZ4</t>
        </is>
      </c>
      <c r="D1462" s="6" t="n">
        <v>20609</v>
      </c>
      <c r="E1462" s="6" t="n">
        <v>20540.75</v>
      </c>
      <c r="F1462" s="6">
        <f>D1462-E1462</f>
        <v/>
      </c>
      <c r="G1462" s="5" t="inlineStr">
        <is>
          <t>Long</t>
        </is>
      </c>
      <c r="H1462" s="6" t="n">
        <v>20609</v>
      </c>
      <c r="I1462" s="6" t="n">
        <v>20540.75</v>
      </c>
      <c r="J1462" s="6">
        <f>IF(G1462="Long",I1462-H1462,IF(G1462="Short",H1462-I1462,0))</f>
        <v/>
      </c>
      <c r="K1462" s="7" t="n">
        <v>100</v>
      </c>
      <c r="L1462" s="5" t="inlineStr">
        <is>
          <t>Loss</t>
        </is>
      </c>
      <c r="M1462" s="6">
        <f>M1461+J1462</f>
        <v/>
      </c>
    </row>
    <row r="1463">
      <c r="A1463" s="2" t="inlineStr">
        <is>
          <t>2024-10-15</t>
        </is>
      </c>
      <c r="B1463" s="2" t="inlineStr">
        <is>
          <t>Tuesday</t>
        </is>
      </c>
      <c r="C1463" s="2" t="inlineStr">
        <is>
          <t>MNQZ4</t>
        </is>
      </c>
      <c r="D1463" s="3" t="n">
        <v>20659.25</v>
      </c>
      <c r="E1463" s="3" t="n">
        <v>20605.75</v>
      </c>
      <c r="F1463" s="3">
        <f>D1463-E1463</f>
        <v/>
      </c>
      <c r="G1463" s="2" t="inlineStr">
        <is>
          <t>Short</t>
        </is>
      </c>
      <c r="H1463" s="3" t="n">
        <v>20605.75</v>
      </c>
      <c r="I1463" s="3" t="n">
        <v>20552.25</v>
      </c>
      <c r="J1463" s="3">
        <f>IF(G1463="Long",I1463-H1463,IF(G1463="Short",H1463-I1463,0))</f>
        <v/>
      </c>
      <c r="K1463" s="4" t="n">
        <v>0</v>
      </c>
      <c r="L1463" s="2" t="inlineStr">
        <is>
          <t>Win</t>
        </is>
      </c>
      <c r="M1463" s="3">
        <f>M1462+J1463</f>
        <v/>
      </c>
    </row>
    <row r="1464">
      <c r="A1464" s="5" t="inlineStr">
        <is>
          <t>2024-10-16</t>
        </is>
      </c>
      <c r="B1464" s="5" t="inlineStr">
        <is>
          <t>Wednesday</t>
        </is>
      </c>
      <c r="C1464" s="5" t="inlineStr">
        <is>
          <t>MNQZ4</t>
        </is>
      </c>
      <c r="D1464" s="6" t="n">
        <v>20357.5</v>
      </c>
      <c r="E1464" s="6" t="n">
        <v>20241.75</v>
      </c>
      <c r="F1464" s="6">
        <f>D1464-E1464</f>
        <v/>
      </c>
      <c r="G1464" s="5" t="inlineStr">
        <is>
          <t>Short</t>
        </is>
      </c>
      <c r="H1464" s="6" t="n">
        <v>20241.75</v>
      </c>
      <c r="I1464" s="6" t="n">
        <v>20357.5</v>
      </c>
      <c r="J1464" s="6">
        <f>IF(G1464="Long",I1464-H1464,IF(G1464="Short",H1464-I1464,0))</f>
        <v/>
      </c>
      <c r="K1464" s="7" t="n">
        <v>100</v>
      </c>
      <c r="L1464" s="5" t="inlineStr">
        <is>
          <t>Loss</t>
        </is>
      </c>
      <c r="M1464" s="6">
        <f>M1463+J1464</f>
        <v/>
      </c>
    </row>
    <row r="1465">
      <c r="A1465" s="8" t="inlineStr">
        <is>
          <t>2024-10-16</t>
        </is>
      </c>
      <c r="B1465" s="8" t="inlineStr">
        <is>
          <t>Wednesday</t>
        </is>
      </c>
      <c r="C1465" s="8" t="inlineStr">
        <is>
          <t>MNQZ4</t>
        </is>
      </c>
      <c r="D1465" s="9" t="n">
        <v>20357.5</v>
      </c>
      <c r="E1465" s="9" t="n">
        <v>20241.75</v>
      </c>
      <c r="F1465" s="9">
        <f>D1465-E1465</f>
        <v/>
      </c>
      <c r="G1465" s="8" t="inlineStr">
        <is>
          <t>Long</t>
        </is>
      </c>
      <c r="H1465" s="9" t="n">
        <v>20357.5</v>
      </c>
      <c r="I1465" s="9" t="n">
        <v>20346.5</v>
      </c>
      <c r="J1465" s="9">
        <f>IF(G1465="Long",I1465-H1465,IF(G1465="Short",H1465-I1465,0))</f>
        <v/>
      </c>
      <c r="K1465" s="10" t="n">
        <v>22.89</v>
      </c>
      <c r="L1465" s="8" t="inlineStr">
        <is>
          <t>EOD-Close</t>
        </is>
      </c>
      <c r="M1465" s="9">
        <f>M1464+J1465</f>
        <v/>
      </c>
    </row>
    <row r="1466">
      <c r="A1466" s="8" t="inlineStr">
        <is>
          <t>2024-10-17</t>
        </is>
      </c>
      <c r="B1466" s="8" t="inlineStr">
        <is>
          <t>Thursday</t>
        </is>
      </c>
      <c r="C1466" s="8" t="inlineStr">
        <is>
          <t>MNQZ4</t>
        </is>
      </c>
      <c r="D1466" s="9" t="n">
        <v>20576</v>
      </c>
      <c r="E1466" s="9" t="n">
        <v>20402.5</v>
      </c>
      <c r="F1466" s="9">
        <f>D1466-E1466</f>
        <v/>
      </c>
      <c r="G1466" s="8" t="inlineStr">
        <is>
          <t>Short</t>
        </is>
      </c>
      <c r="H1466" s="9" t="n">
        <v>20402.5</v>
      </c>
      <c r="I1466" s="9" t="n">
        <v>20364</v>
      </c>
      <c r="J1466" s="9">
        <f>IF(G1466="Long",I1466-H1466,IF(G1466="Short",H1466-I1466,0))</f>
        <v/>
      </c>
      <c r="K1466" s="10" t="n">
        <v>72.91</v>
      </c>
      <c r="L1466" s="8" t="inlineStr">
        <is>
          <t>EOD-Close</t>
        </is>
      </c>
      <c r="M1466" s="9">
        <f>M1465+J1466</f>
        <v/>
      </c>
    </row>
    <row r="1467">
      <c r="A1467" s="8" t="inlineStr">
        <is>
          <t>2024-10-18</t>
        </is>
      </c>
      <c r="B1467" s="8" t="inlineStr">
        <is>
          <t>Friday</t>
        </is>
      </c>
      <c r="C1467" s="8" t="inlineStr">
        <is>
          <t>MNQZ4</t>
        </is>
      </c>
      <c r="D1467" s="9" t="n">
        <v>20502.25</v>
      </c>
      <c r="E1467" s="9" t="n">
        <v>20433</v>
      </c>
      <c r="F1467" s="9">
        <f>D1467-E1467</f>
        <v/>
      </c>
      <c r="G1467" s="8" t="inlineStr">
        <is>
          <t>Long</t>
        </is>
      </c>
      <c r="H1467" s="9" t="n">
        <v>20502.25</v>
      </c>
      <c r="I1467" s="9" t="n">
        <v>20482.5</v>
      </c>
      <c r="J1467" s="9">
        <f>IF(G1467="Long",I1467-H1467,IF(G1467="Short",H1467-I1467,0))</f>
        <v/>
      </c>
      <c r="K1467" s="10" t="n">
        <v>86.64</v>
      </c>
      <c r="L1467" s="8" t="inlineStr">
        <is>
          <t>EOD-Close</t>
        </is>
      </c>
      <c r="M1467" s="9">
        <f>M1466+J1467</f>
        <v/>
      </c>
    </row>
    <row r="1468">
      <c r="A1468" s="2" t="inlineStr">
        <is>
          <t>2024-10-21</t>
        </is>
      </c>
      <c r="B1468" s="2" t="inlineStr">
        <is>
          <t>Monday</t>
        </is>
      </c>
      <c r="C1468" s="2" t="inlineStr">
        <is>
          <t>MNQZ4</t>
        </is>
      </c>
      <c r="D1468" s="3" t="n">
        <v>20488.25</v>
      </c>
      <c r="E1468" s="3" t="n">
        <v>20423</v>
      </c>
      <c r="F1468" s="3">
        <f>D1468-E1468</f>
        <v/>
      </c>
      <c r="G1468" s="2" t="inlineStr">
        <is>
          <t>Long</t>
        </is>
      </c>
      <c r="H1468" s="3" t="n">
        <v>20488.25</v>
      </c>
      <c r="I1468" s="3" t="n">
        <v>20553.5</v>
      </c>
      <c r="J1468" s="3">
        <f>IF(G1468="Long",I1468-H1468,IF(G1468="Short",H1468-I1468,0))</f>
        <v/>
      </c>
      <c r="K1468" s="4" t="n">
        <v>24.14</v>
      </c>
      <c r="L1468" s="2" t="inlineStr">
        <is>
          <t>Win</t>
        </is>
      </c>
      <c r="M1468" s="3">
        <f>M1467+J1468</f>
        <v/>
      </c>
    </row>
    <row r="1469">
      <c r="A1469" s="5" t="inlineStr">
        <is>
          <t>2024-10-21</t>
        </is>
      </c>
      <c r="B1469" s="5" t="inlineStr">
        <is>
          <t>Monday</t>
        </is>
      </c>
      <c r="C1469" s="5" t="inlineStr">
        <is>
          <t>MNQZ4</t>
        </is>
      </c>
      <c r="D1469" s="6" t="n">
        <v>20488.25</v>
      </c>
      <c r="E1469" s="6" t="n">
        <v>20423</v>
      </c>
      <c r="F1469" s="6">
        <f>D1469-E1469</f>
        <v/>
      </c>
      <c r="G1469" s="5" t="inlineStr">
        <is>
          <t>Long</t>
        </is>
      </c>
      <c r="H1469" s="6" t="n">
        <v>20488.25</v>
      </c>
      <c r="I1469" s="6" t="n">
        <v>20423</v>
      </c>
      <c r="J1469" s="6">
        <f>IF(G1469="Long",I1469-H1469,IF(G1469="Short",H1469-I1469,0))</f>
        <v/>
      </c>
      <c r="K1469" s="7" t="n">
        <v>100</v>
      </c>
      <c r="L1469" s="5" t="inlineStr">
        <is>
          <t>Loss</t>
        </is>
      </c>
      <c r="M1469" s="6">
        <f>M1468+J1469</f>
        <v/>
      </c>
    </row>
    <row r="1470">
      <c r="A1470" s="2" t="inlineStr">
        <is>
          <t>2024-10-22</t>
        </is>
      </c>
      <c r="B1470" s="2" t="inlineStr">
        <is>
          <t>Tuesday</t>
        </is>
      </c>
      <c r="C1470" s="2" t="inlineStr">
        <is>
          <t>MNQZ4</t>
        </is>
      </c>
      <c r="D1470" s="3" t="n">
        <v>20458.25</v>
      </c>
      <c r="E1470" s="3" t="n">
        <v>20368.75</v>
      </c>
      <c r="F1470" s="3">
        <f>D1470-E1470</f>
        <v/>
      </c>
      <c r="G1470" s="2" t="inlineStr">
        <is>
          <t>Long</t>
        </is>
      </c>
      <c r="H1470" s="3" t="n">
        <v>20458.25</v>
      </c>
      <c r="I1470" s="3" t="n">
        <v>20547.75</v>
      </c>
      <c r="J1470" s="3">
        <f>IF(G1470="Long",I1470-H1470,IF(G1470="Short",H1470-I1470,0))</f>
        <v/>
      </c>
      <c r="K1470" s="4" t="n">
        <v>36.87</v>
      </c>
      <c r="L1470" s="2" t="inlineStr">
        <is>
          <t>Win</t>
        </is>
      </c>
      <c r="M1470" s="3">
        <f>M1469+J1470</f>
        <v/>
      </c>
    </row>
    <row r="1471">
      <c r="A1471" s="2" t="inlineStr">
        <is>
          <t>2024-10-23</t>
        </is>
      </c>
      <c r="B1471" s="2" t="inlineStr">
        <is>
          <t>Wednesday</t>
        </is>
      </c>
      <c r="C1471" s="2" t="inlineStr">
        <is>
          <t>MNQZ4</t>
        </is>
      </c>
      <c r="D1471" s="3" t="n">
        <v>20462.75</v>
      </c>
      <c r="E1471" s="3" t="n">
        <v>20407</v>
      </c>
      <c r="F1471" s="3">
        <f>D1471-E1471</f>
        <v/>
      </c>
      <c r="G1471" s="2" t="inlineStr">
        <is>
          <t>Short</t>
        </is>
      </c>
      <c r="H1471" s="3" t="n">
        <v>20407</v>
      </c>
      <c r="I1471" s="3" t="n">
        <v>20351.25</v>
      </c>
      <c r="J1471" s="3">
        <f>IF(G1471="Long",I1471-H1471,IF(G1471="Short",H1471-I1471,0))</f>
        <v/>
      </c>
      <c r="K1471" s="4" t="n">
        <v>0</v>
      </c>
      <c r="L1471" s="2" t="inlineStr">
        <is>
          <t>Win</t>
        </is>
      </c>
      <c r="M1471" s="3">
        <f>M1470+J1471</f>
        <v/>
      </c>
    </row>
    <row r="1472">
      <c r="A1472" s="2" t="inlineStr">
        <is>
          <t>2024-10-23</t>
        </is>
      </c>
      <c r="B1472" s="2" t="inlineStr">
        <is>
          <t>Wednesday</t>
        </is>
      </c>
      <c r="C1472" s="2" t="inlineStr">
        <is>
          <t>MNQZ4</t>
        </is>
      </c>
      <c r="D1472" s="3" t="n">
        <v>20462.75</v>
      </c>
      <c r="E1472" s="3" t="n">
        <v>20407</v>
      </c>
      <c r="F1472" s="3">
        <f>D1472-E1472</f>
        <v/>
      </c>
      <c r="G1472" s="2" t="inlineStr">
        <is>
          <t>Short</t>
        </is>
      </c>
      <c r="H1472" s="3" t="n">
        <v>20407</v>
      </c>
      <c r="I1472" s="3" t="n">
        <v>20351.25</v>
      </c>
      <c r="J1472" s="3">
        <f>IF(G1472="Long",I1472-H1472,IF(G1472="Short",H1472-I1472,0))</f>
        <v/>
      </c>
      <c r="K1472" s="4" t="n">
        <v>91.48</v>
      </c>
      <c r="L1472" s="2" t="inlineStr">
        <is>
          <t>Win</t>
        </is>
      </c>
      <c r="M1472" s="3">
        <f>M1471+J1472</f>
        <v/>
      </c>
    </row>
    <row r="1473">
      <c r="A1473" s="5" t="inlineStr">
        <is>
          <t>2024-10-24</t>
        </is>
      </c>
      <c r="B1473" s="5" t="inlineStr">
        <is>
          <t>Thursday</t>
        </is>
      </c>
      <c r="C1473" s="5" t="inlineStr">
        <is>
          <t>MNQZ4</t>
        </is>
      </c>
      <c r="D1473" s="6" t="n">
        <v>20376.75</v>
      </c>
      <c r="E1473" s="6" t="n">
        <v>20312</v>
      </c>
      <c r="F1473" s="6">
        <f>D1473-E1473</f>
        <v/>
      </c>
      <c r="G1473" s="5" t="inlineStr">
        <is>
          <t>Short</t>
        </is>
      </c>
      <c r="H1473" s="6" t="n">
        <v>20312</v>
      </c>
      <c r="I1473" s="6" t="n">
        <v>20376.75</v>
      </c>
      <c r="J1473" s="6">
        <f>IF(G1473="Long",I1473-H1473,IF(G1473="Short",H1473-I1473,0))</f>
        <v/>
      </c>
      <c r="K1473" s="7" t="n">
        <v>100</v>
      </c>
      <c r="L1473" s="5" t="inlineStr">
        <is>
          <t>Loss</t>
        </is>
      </c>
      <c r="M1473" s="6">
        <f>M1472+J1473</f>
        <v/>
      </c>
    </row>
    <row r="1474">
      <c r="A1474" s="5" t="inlineStr">
        <is>
          <t>2024-10-24</t>
        </is>
      </c>
      <c r="B1474" s="5" t="inlineStr">
        <is>
          <t>Thursday</t>
        </is>
      </c>
      <c r="C1474" s="5" t="inlineStr">
        <is>
          <t>MNQZ4</t>
        </is>
      </c>
      <c r="D1474" s="6" t="n">
        <v>20376.75</v>
      </c>
      <c r="E1474" s="6" t="n">
        <v>20312</v>
      </c>
      <c r="F1474" s="6">
        <f>D1474-E1474</f>
        <v/>
      </c>
      <c r="G1474" s="5" t="inlineStr">
        <is>
          <t>Short</t>
        </is>
      </c>
      <c r="H1474" s="6" t="n">
        <v>20312</v>
      </c>
      <c r="I1474" s="6" t="n">
        <v>20376.75</v>
      </c>
      <c r="J1474" s="6">
        <f>IF(G1474="Long",I1474-H1474,IF(G1474="Short",H1474-I1474,0))</f>
        <v/>
      </c>
      <c r="K1474" s="7" t="n">
        <v>100</v>
      </c>
      <c r="L1474" s="5" t="inlineStr">
        <is>
          <t>Loss</t>
        </is>
      </c>
      <c r="M1474" s="6">
        <f>M1473+J1474</f>
        <v/>
      </c>
    </row>
    <row r="1475">
      <c r="A1475" s="2" t="inlineStr">
        <is>
          <t>2024-10-25</t>
        </is>
      </c>
      <c r="B1475" s="2" t="inlineStr">
        <is>
          <t>Friday</t>
        </is>
      </c>
      <c r="C1475" s="2" t="inlineStr">
        <is>
          <t>MNQZ4</t>
        </is>
      </c>
      <c r="D1475" s="3" t="n">
        <v>20588.75</v>
      </c>
      <c r="E1475" s="3" t="n">
        <v>20490</v>
      </c>
      <c r="F1475" s="3">
        <f>D1475-E1475</f>
        <v/>
      </c>
      <c r="G1475" s="2" t="inlineStr">
        <is>
          <t>Long</t>
        </is>
      </c>
      <c r="H1475" s="3" t="n">
        <v>20588.75</v>
      </c>
      <c r="I1475" s="3" t="n">
        <v>20687.5</v>
      </c>
      <c r="J1475" s="3">
        <f>IF(G1475="Long",I1475-H1475,IF(G1475="Short",H1475-I1475,0))</f>
        <v/>
      </c>
      <c r="K1475" s="4" t="n">
        <v>0</v>
      </c>
      <c r="L1475" s="2" t="inlineStr">
        <is>
          <t>Win</t>
        </is>
      </c>
      <c r="M1475" s="3">
        <f>M1474+J1475</f>
        <v/>
      </c>
    </row>
    <row r="1476">
      <c r="A1476" s="5" t="inlineStr">
        <is>
          <t>2024-10-25</t>
        </is>
      </c>
      <c r="B1476" s="5" t="inlineStr">
        <is>
          <t>Friday</t>
        </is>
      </c>
      <c r="C1476" s="5" t="inlineStr">
        <is>
          <t>MNQZ4</t>
        </is>
      </c>
      <c r="D1476" s="6" t="n">
        <v>20588.75</v>
      </c>
      <c r="E1476" s="6" t="n">
        <v>20490</v>
      </c>
      <c r="F1476" s="6">
        <f>D1476-E1476</f>
        <v/>
      </c>
      <c r="G1476" s="5" t="inlineStr">
        <is>
          <t>Long</t>
        </is>
      </c>
      <c r="H1476" s="6" t="n">
        <v>20588.75</v>
      </c>
      <c r="I1476" s="6" t="n">
        <v>20490</v>
      </c>
      <c r="J1476" s="6">
        <f>IF(G1476="Long",I1476-H1476,IF(G1476="Short",H1476-I1476,0))</f>
        <v/>
      </c>
      <c r="K1476" s="7" t="n">
        <v>100</v>
      </c>
      <c r="L1476" s="5" t="inlineStr">
        <is>
          <t>Loss</t>
        </is>
      </c>
      <c r="M1476" s="6">
        <f>M1475+J1476</f>
        <v/>
      </c>
    </row>
    <row r="1477">
      <c r="A1477" s="2" t="inlineStr">
        <is>
          <t>2024-10-28</t>
        </is>
      </c>
      <c r="B1477" s="2" t="inlineStr">
        <is>
          <t>Monday</t>
        </is>
      </c>
      <c r="C1477" s="2" t="inlineStr">
        <is>
          <t>MNQZ4</t>
        </is>
      </c>
      <c r="D1477" s="3" t="n">
        <v>20627</v>
      </c>
      <c r="E1477" s="3" t="n">
        <v>20556.5</v>
      </c>
      <c r="F1477" s="3">
        <f>D1477-E1477</f>
        <v/>
      </c>
      <c r="G1477" s="2" t="inlineStr">
        <is>
          <t>Short</t>
        </is>
      </c>
      <c r="H1477" s="3" t="n">
        <v>20556.5</v>
      </c>
      <c r="I1477" s="3" t="n">
        <v>20486</v>
      </c>
      <c r="J1477" s="3">
        <f>IF(G1477="Long",I1477-H1477,IF(G1477="Short",H1477-I1477,0))</f>
        <v/>
      </c>
      <c r="K1477" s="4" t="n">
        <v>86.88</v>
      </c>
      <c r="L1477" s="2" t="inlineStr">
        <is>
          <t>Win</t>
        </is>
      </c>
      <c r="M1477" s="3">
        <f>M1476+J1477</f>
        <v/>
      </c>
    </row>
    <row r="1478">
      <c r="A1478" s="2" t="inlineStr">
        <is>
          <t>2024-10-29</t>
        </is>
      </c>
      <c r="B1478" s="2" t="inlineStr">
        <is>
          <t>Tuesday</t>
        </is>
      </c>
      <c r="C1478" s="2" t="inlineStr">
        <is>
          <t>MNQZ4</t>
        </is>
      </c>
      <c r="D1478" s="3" t="n">
        <v>20526.75</v>
      </c>
      <c r="E1478" s="3" t="n">
        <v>20432</v>
      </c>
      <c r="F1478" s="3">
        <f>D1478-E1478</f>
        <v/>
      </c>
      <c r="G1478" s="2" t="inlineStr">
        <is>
          <t>Long</t>
        </is>
      </c>
      <c r="H1478" s="3" t="n">
        <v>20526.75</v>
      </c>
      <c r="I1478" s="3" t="n">
        <v>20621.5</v>
      </c>
      <c r="J1478" s="3">
        <f>IF(G1478="Long",I1478-H1478,IF(G1478="Short",H1478-I1478,0))</f>
        <v/>
      </c>
      <c r="K1478" s="4" t="n">
        <v>16.62</v>
      </c>
      <c r="L1478" s="2" t="inlineStr">
        <is>
          <t>Win</t>
        </is>
      </c>
      <c r="M1478" s="3">
        <f>M1477+J1478</f>
        <v/>
      </c>
    </row>
    <row r="1479">
      <c r="A1479" s="5" t="inlineStr">
        <is>
          <t>2024-10-30</t>
        </is>
      </c>
      <c r="B1479" s="5" t="inlineStr">
        <is>
          <t>Wednesday</t>
        </is>
      </c>
      <c r="C1479" s="5" t="inlineStr">
        <is>
          <t>MNQZ4</t>
        </is>
      </c>
      <c r="D1479" s="6" t="n">
        <v>20669.5</v>
      </c>
      <c r="E1479" s="6" t="n">
        <v>20543</v>
      </c>
      <c r="F1479" s="6">
        <f>D1479-E1479</f>
        <v/>
      </c>
      <c r="G1479" s="5" t="inlineStr">
        <is>
          <t>Long</t>
        </is>
      </c>
      <c r="H1479" s="6" t="n">
        <v>20669.5</v>
      </c>
      <c r="I1479" s="6" t="n">
        <v>20543</v>
      </c>
      <c r="J1479" s="6">
        <f>IF(G1479="Long",I1479-H1479,IF(G1479="Short",H1479-I1479,0))</f>
        <v/>
      </c>
      <c r="K1479" s="7" t="n">
        <v>100</v>
      </c>
      <c r="L1479" s="5" t="inlineStr">
        <is>
          <t>Loss</t>
        </is>
      </c>
      <c r="M1479" s="6">
        <f>M1478+J1479</f>
        <v/>
      </c>
    </row>
    <row r="1480">
      <c r="A1480" s="8" t="inlineStr">
        <is>
          <t>2024-10-30</t>
        </is>
      </c>
      <c r="B1480" s="8" t="inlineStr">
        <is>
          <t>Wednesday</t>
        </is>
      </c>
      <c r="C1480" s="8" t="inlineStr">
        <is>
          <t>MNQZ4</t>
        </is>
      </c>
      <c r="D1480" s="9" t="n">
        <v>20669.5</v>
      </c>
      <c r="E1480" s="9" t="n">
        <v>20543</v>
      </c>
      <c r="F1480" s="9">
        <f>D1480-E1480</f>
        <v/>
      </c>
      <c r="G1480" s="8" t="inlineStr">
        <is>
          <t>Short</t>
        </is>
      </c>
      <c r="H1480" s="9" t="n">
        <v>20543</v>
      </c>
      <c r="I1480" s="9" t="n">
        <v>20536</v>
      </c>
      <c r="J1480" s="9">
        <f>IF(G1480="Long",I1480-H1480,IF(G1480="Short",H1480-I1480,0))</f>
        <v/>
      </c>
      <c r="K1480" s="10" t="n">
        <v>2.96</v>
      </c>
      <c r="L1480" s="8" t="inlineStr">
        <is>
          <t>EOD-Close</t>
        </is>
      </c>
      <c r="M1480" s="9">
        <f>M1479+J1480</f>
        <v/>
      </c>
    </row>
    <row r="1481">
      <c r="A1481" s="2" t="inlineStr">
        <is>
          <t>2024-10-31</t>
        </is>
      </c>
      <c r="B1481" s="2" t="inlineStr">
        <is>
          <t>Thursday</t>
        </is>
      </c>
      <c r="C1481" s="2" t="inlineStr">
        <is>
          <t>MNQZ4</t>
        </is>
      </c>
      <c r="D1481" s="3" t="n">
        <v>20369</v>
      </c>
      <c r="E1481" s="3" t="n">
        <v>20252.5</v>
      </c>
      <c r="F1481" s="3">
        <f>D1481-E1481</f>
        <v/>
      </c>
      <c r="G1481" s="2" t="inlineStr">
        <is>
          <t>Short</t>
        </is>
      </c>
      <c r="H1481" s="3" t="n">
        <v>20252.5</v>
      </c>
      <c r="I1481" s="3" t="n">
        <v>20136</v>
      </c>
      <c r="J1481" s="3">
        <f>IF(G1481="Long",I1481-H1481,IF(G1481="Short",H1481-I1481,0))</f>
        <v/>
      </c>
      <c r="K1481" s="4" t="n">
        <v>0</v>
      </c>
      <c r="L1481" s="2" t="inlineStr">
        <is>
          <t>Win</t>
        </is>
      </c>
      <c r="M1481" s="3">
        <f>M1480+J1481</f>
        <v/>
      </c>
    </row>
    <row r="1482">
      <c r="A1482" s="2" t="inlineStr">
        <is>
          <t>2024-11-01</t>
        </is>
      </c>
      <c r="B1482" s="2" t="inlineStr">
        <is>
          <t>Friday</t>
        </is>
      </c>
      <c r="C1482" s="2" t="inlineStr">
        <is>
          <t>MNQZ4</t>
        </is>
      </c>
      <c r="D1482" s="3" t="n">
        <v>20164.75</v>
      </c>
      <c r="E1482" s="3" t="n">
        <v>20057.25</v>
      </c>
      <c r="F1482" s="3">
        <f>D1482-E1482</f>
        <v/>
      </c>
      <c r="G1482" s="2" t="inlineStr">
        <is>
          <t>Long</t>
        </is>
      </c>
      <c r="H1482" s="3" t="n">
        <v>20164.75</v>
      </c>
      <c r="I1482" s="3" t="n">
        <v>20272.25</v>
      </c>
      <c r="J1482" s="3">
        <f>IF(G1482="Long",I1482-H1482,IF(G1482="Short",H1482-I1482,0))</f>
        <v/>
      </c>
      <c r="K1482" s="4" t="n">
        <v>30.23</v>
      </c>
      <c r="L1482" s="2" t="inlineStr">
        <is>
          <t>Win</t>
        </is>
      </c>
      <c r="M1482" s="3">
        <f>M1481+J1482</f>
        <v/>
      </c>
    </row>
    <row r="1483">
      <c r="A1483" s="2" t="inlineStr">
        <is>
          <t>2024-11-01</t>
        </is>
      </c>
      <c r="B1483" s="2" t="inlineStr">
        <is>
          <t>Friday</t>
        </is>
      </c>
      <c r="C1483" s="2" t="inlineStr">
        <is>
          <t>MNQZ4</t>
        </is>
      </c>
      <c r="D1483" s="3" t="n">
        <v>20164.75</v>
      </c>
      <c r="E1483" s="3" t="n">
        <v>20057.25</v>
      </c>
      <c r="F1483" s="3">
        <f>D1483-E1483</f>
        <v/>
      </c>
      <c r="G1483" s="2" t="inlineStr">
        <is>
          <t>Long</t>
        </is>
      </c>
      <c r="H1483" s="3" t="n">
        <v>20164.75</v>
      </c>
      <c r="I1483" s="3" t="n">
        <v>20272.25</v>
      </c>
      <c r="J1483" s="3">
        <f>IF(G1483="Long",I1483-H1483,IF(G1483="Short",H1483-I1483,0))</f>
        <v/>
      </c>
      <c r="K1483" s="4" t="n">
        <v>7.44</v>
      </c>
      <c r="L1483" s="2" t="inlineStr">
        <is>
          <t>Win</t>
        </is>
      </c>
      <c r="M1483" s="3">
        <f>M1482+J1483</f>
        <v/>
      </c>
    </row>
    <row r="1484">
      <c r="A1484" s="8" t="inlineStr">
        <is>
          <t>2024-11-04</t>
        </is>
      </c>
      <c r="B1484" s="8" t="inlineStr">
        <is>
          <t>Monday</t>
        </is>
      </c>
      <c r="C1484" s="8" t="inlineStr">
        <is>
          <t>MNQZ4</t>
        </is>
      </c>
      <c r="D1484" s="9" t="n">
        <v>20142</v>
      </c>
      <c r="E1484" s="9" t="n">
        <v>20013.25</v>
      </c>
      <c r="F1484" s="9">
        <f>D1484-E1484</f>
        <v/>
      </c>
      <c r="G1484" s="8" t="inlineStr">
        <is>
          <t>Long</t>
        </is>
      </c>
      <c r="H1484" s="9" t="n">
        <v>20142</v>
      </c>
      <c r="I1484" s="9" t="n">
        <v>20085.75</v>
      </c>
      <c r="J1484" s="9">
        <f>IF(G1484="Long",I1484-H1484,IF(G1484="Short",H1484-I1484,0))</f>
        <v/>
      </c>
      <c r="K1484" s="10" t="n">
        <v>87.95999999999999</v>
      </c>
      <c r="L1484" s="8" t="inlineStr">
        <is>
          <t>EOD-Close</t>
        </is>
      </c>
      <c r="M1484" s="9">
        <f>M1483+J1484</f>
        <v/>
      </c>
    </row>
    <row r="1485">
      <c r="A1485" s="2" t="inlineStr">
        <is>
          <t>2024-11-05</t>
        </is>
      </c>
      <c r="B1485" s="2" t="inlineStr">
        <is>
          <t>Tuesday</t>
        </is>
      </c>
      <c r="C1485" s="2" t="inlineStr">
        <is>
          <t>MNQZ4</t>
        </is>
      </c>
      <c r="D1485" s="3" t="n">
        <v>20243</v>
      </c>
      <c r="E1485" s="3" t="n">
        <v>20147</v>
      </c>
      <c r="F1485" s="3">
        <f>D1485-E1485</f>
        <v/>
      </c>
      <c r="G1485" s="2" t="inlineStr">
        <is>
          <t>Long</t>
        </is>
      </c>
      <c r="H1485" s="3" t="n">
        <v>20243</v>
      </c>
      <c r="I1485" s="3" t="n">
        <v>20339</v>
      </c>
      <c r="J1485" s="3">
        <f>IF(G1485="Long",I1485-H1485,IF(G1485="Short",H1485-I1485,0))</f>
        <v/>
      </c>
      <c r="K1485" s="4" t="n">
        <v>10.94</v>
      </c>
      <c r="L1485" s="2" t="inlineStr">
        <is>
          <t>Win</t>
        </is>
      </c>
      <c r="M1485" s="3">
        <f>M1484+J1485</f>
        <v/>
      </c>
    </row>
    <row r="1486">
      <c r="A1486" s="5" t="inlineStr">
        <is>
          <t>2024-11-06</t>
        </is>
      </c>
      <c r="B1486" s="5" t="inlineStr">
        <is>
          <t>Wednesday</t>
        </is>
      </c>
      <c r="C1486" s="5" t="inlineStr">
        <is>
          <t>MNQZ4</t>
        </is>
      </c>
      <c r="D1486" s="6" t="n">
        <v>20806.75</v>
      </c>
      <c r="E1486" s="6" t="n">
        <v>20668.25</v>
      </c>
      <c r="F1486" s="6">
        <f>D1486-E1486</f>
        <v/>
      </c>
      <c r="G1486" s="5" t="inlineStr">
        <is>
          <t>Short</t>
        </is>
      </c>
      <c r="H1486" s="6" t="n">
        <v>20668.25</v>
      </c>
      <c r="I1486" s="6" t="n">
        <v>20806.75</v>
      </c>
      <c r="J1486" s="6">
        <f>IF(G1486="Long",I1486-H1486,IF(G1486="Short",H1486-I1486,0))</f>
        <v/>
      </c>
      <c r="K1486" s="7" t="n">
        <v>100</v>
      </c>
      <c r="L1486" s="5" t="inlineStr">
        <is>
          <t>Loss</t>
        </is>
      </c>
      <c r="M1486" s="6">
        <f>M1485+J1486</f>
        <v/>
      </c>
    </row>
    <row r="1487">
      <c r="A1487" s="8" t="inlineStr">
        <is>
          <t>2024-11-06</t>
        </is>
      </c>
      <c r="B1487" s="8" t="inlineStr">
        <is>
          <t>Wednesday</t>
        </is>
      </c>
      <c r="C1487" s="8" t="inlineStr">
        <is>
          <t>MNQZ4</t>
        </is>
      </c>
      <c r="D1487" s="9" t="n">
        <v>20806.75</v>
      </c>
      <c r="E1487" s="9" t="n">
        <v>20668.25</v>
      </c>
      <c r="F1487" s="9">
        <f>D1487-E1487</f>
        <v/>
      </c>
      <c r="G1487" s="8" t="inlineStr">
        <is>
          <t>Long</t>
        </is>
      </c>
      <c r="H1487" s="9" t="n">
        <v>20806.75</v>
      </c>
      <c r="I1487" s="9" t="n">
        <v>20893.5</v>
      </c>
      <c r="J1487" s="9">
        <f>IF(G1487="Long",I1487-H1487,IF(G1487="Short",H1487-I1487,0))</f>
        <v/>
      </c>
      <c r="K1487" s="10" t="n">
        <v>15.34</v>
      </c>
      <c r="L1487" s="8" t="inlineStr">
        <is>
          <t>EOD-Close</t>
        </is>
      </c>
      <c r="M1487" s="9">
        <f>M1486+J1487</f>
        <v/>
      </c>
    </row>
    <row r="1488">
      <c r="A1488" s="2" t="inlineStr">
        <is>
          <t>2024-11-07</t>
        </is>
      </c>
      <c r="B1488" s="2" t="inlineStr">
        <is>
          <t>Thursday</t>
        </is>
      </c>
      <c r="C1488" s="2" t="inlineStr">
        <is>
          <t>MNQZ4</t>
        </is>
      </c>
      <c r="D1488" s="3" t="n">
        <v>21091.5</v>
      </c>
      <c r="E1488" s="3" t="n">
        <v>21003.75</v>
      </c>
      <c r="F1488" s="3">
        <f>D1488-E1488</f>
        <v/>
      </c>
      <c r="G1488" s="2" t="inlineStr">
        <is>
          <t>Long</t>
        </is>
      </c>
      <c r="H1488" s="3" t="n">
        <v>21091.5</v>
      </c>
      <c r="I1488" s="3" t="n">
        <v>21179.25</v>
      </c>
      <c r="J1488" s="3">
        <f>IF(G1488="Long",I1488-H1488,IF(G1488="Short",H1488-I1488,0))</f>
        <v/>
      </c>
      <c r="K1488" s="4" t="n">
        <v>5.7</v>
      </c>
      <c r="L1488" s="2" t="inlineStr">
        <is>
          <t>Win</t>
        </is>
      </c>
      <c r="M1488" s="3">
        <f>M1487+J1488</f>
        <v/>
      </c>
    </row>
    <row r="1489">
      <c r="A1489" s="5" t="inlineStr">
        <is>
          <t>2024-11-08</t>
        </is>
      </c>
      <c r="B1489" s="5" t="inlineStr">
        <is>
          <t>Friday</t>
        </is>
      </c>
      <c r="C1489" s="5" t="inlineStr">
        <is>
          <t>MNQZ4</t>
        </is>
      </c>
      <c r="D1489" s="6" t="n">
        <v>21232</v>
      </c>
      <c r="E1489" s="6" t="n">
        <v>21186.25</v>
      </c>
      <c r="F1489" s="6">
        <f>D1489-E1489</f>
        <v/>
      </c>
      <c r="G1489" s="5" t="inlineStr">
        <is>
          <t>Short</t>
        </is>
      </c>
      <c r="H1489" s="6" t="n">
        <v>21186.25</v>
      </c>
      <c r="I1489" s="6" t="n">
        <v>21232</v>
      </c>
      <c r="J1489" s="6">
        <f>IF(G1489="Long",I1489-H1489,IF(G1489="Short",H1489-I1489,0))</f>
        <v/>
      </c>
      <c r="K1489" s="7" t="n">
        <v>100</v>
      </c>
      <c r="L1489" s="5" t="inlineStr">
        <is>
          <t>Loss</t>
        </is>
      </c>
      <c r="M1489" s="6">
        <f>M1488+J1489</f>
        <v/>
      </c>
    </row>
    <row r="1490">
      <c r="A1490" s="8" t="inlineStr">
        <is>
          <t>2024-11-08</t>
        </is>
      </c>
      <c r="B1490" s="8" t="inlineStr">
        <is>
          <t>Friday</t>
        </is>
      </c>
      <c r="C1490" s="8" t="inlineStr">
        <is>
          <t>MNQZ4</t>
        </is>
      </c>
      <c r="D1490" s="9" t="n">
        <v>21232</v>
      </c>
      <c r="E1490" s="9" t="n">
        <v>21186.25</v>
      </c>
      <c r="F1490" s="9">
        <f>D1490-E1490</f>
        <v/>
      </c>
      <c r="G1490" s="8" t="inlineStr">
        <is>
          <t>Long</t>
        </is>
      </c>
      <c r="H1490" s="9" t="n">
        <v>21232</v>
      </c>
      <c r="I1490" s="9" t="n">
        <v>21234</v>
      </c>
      <c r="J1490" s="9">
        <f>IF(G1490="Long",I1490-H1490,IF(G1490="Short",H1490-I1490,0))</f>
        <v/>
      </c>
      <c r="K1490" s="10" t="n">
        <v>51.91</v>
      </c>
      <c r="L1490" s="8" t="inlineStr">
        <is>
          <t>EOD-Close</t>
        </is>
      </c>
      <c r="M1490" s="9">
        <f>M1489+J1490</f>
        <v/>
      </c>
    </row>
    <row r="1491">
      <c r="A1491" s="2" t="inlineStr">
        <is>
          <t>2024-11-11</t>
        </is>
      </c>
      <c r="B1491" s="2" t="inlineStr">
        <is>
          <t>Monday</t>
        </is>
      </c>
      <c r="C1491" s="2" t="inlineStr">
        <is>
          <t>MNQZ4</t>
        </is>
      </c>
      <c r="D1491" s="3" t="n">
        <v>21292.5</v>
      </c>
      <c r="E1491" s="3" t="n">
        <v>21206.25</v>
      </c>
      <c r="F1491" s="3">
        <f>D1491-E1491</f>
        <v/>
      </c>
      <c r="G1491" s="2" t="inlineStr">
        <is>
          <t>Short</t>
        </is>
      </c>
      <c r="H1491" s="3" t="n">
        <v>21206.25</v>
      </c>
      <c r="I1491" s="3" t="n">
        <v>21120</v>
      </c>
      <c r="J1491" s="3">
        <f>IF(G1491="Long",I1491-H1491,IF(G1491="Short",H1491-I1491,0))</f>
        <v/>
      </c>
      <c r="K1491" s="4" t="n">
        <v>44.06</v>
      </c>
      <c r="L1491" s="2" t="inlineStr">
        <is>
          <t>Win</t>
        </is>
      </c>
      <c r="M1491" s="3">
        <f>M1490+J1491</f>
        <v/>
      </c>
    </row>
    <row r="1492">
      <c r="A1492" s="8" t="inlineStr">
        <is>
          <t>2024-11-11</t>
        </is>
      </c>
      <c r="B1492" s="8" t="inlineStr">
        <is>
          <t>Monday</t>
        </is>
      </c>
      <c r="C1492" s="8" t="inlineStr">
        <is>
          <t>MNQZ4</t>
        </is>
      </c>
      <c r="D1492" s="9" t="n">
        <v>21292.5</v>
      </c>
      <c r="E1492" s="9" t="n">
        <v>21206.25</v>
      </c>
      <c r="F1492" s="9">
        <f>D1492-E1492</f>
        <v/>
      </c>
      <c r="G1492" s="8" t="inlineStr">
        <is>
          <t>Short</t>
        </is>
      </c>
      <c r="H1492" s="9" t="n">
        <v>21206.25</v>
      </c>
      <c r="I1492" s="9" t="n">
        <v>21220</v>
      </c>
      <c r="J1492" s="9">
        <f>IF(G1492="Long",I1492-H1492,IF(G1492="Short",H1492-I1492,0))</f>
        <v/>
      </c>
      <c r="K1492" s="10" t="n">
        <v>20.29</v>
      </c>
      <c r="L1492" s="8" t="inlineStr">
        <is>
          <t>EOD-Close</t>
        </is>
      </c>
      <c r="M1492" s="9">
        <f>M1491+J1492</f>
        <v/>
      </c>
    </row>
    <row r="1493">
      <c r="A1493" s="2" t="inlineStr">
        <is>
          <t>2024-11-12</t>
        </is>
      </c>
      <c r="B1493" s="2" t="inlineStr">
        <is>
          <t>Tuesday</t>
        </is>
      </c>
      <c r="C1493" s="2" t="inlineStr">
        <is>
          <t>MNQZ4</t>
        </is>
      </c>
      <c r="D1493" s="3" t="n">
        <v>21241.25</v>
      </c>
      <c r="E1493" s="3" t="n">
        <v>21181.5</v>
      </c>
      <c r="F1493" s="3">
        <f>D1493-E1493</f>
        <v/>
      </c>
      <c r="G1493" s="2" t="inlineStr">
        <is>
          <t>Short</t>
        </is>
      </c>
      <c r="H1493" s="3" t="n">
        <v>21181.5</v>
      </c>
      <c r="I1493" s="3" t="n">
        <v>21121.75</v>
      </c>
      <c r="J1493" s="3">
        <f>IF(G1493="Long",I1493-H1493,IF(G1493="Short",H1493-I1493,0))</f>
        <v/>
      </c>
      <c r="K1493" s="4" t="n">
        <v>32.64</v>
      </c>
      <c r="L1493" s="2" t="inlineStr">
        <is>
          <t>Win</t>
        </is>
      </c>
      <c r="M1493" s="3">
        <f>M1492+J1493</f>
        <v/>
      </c>
    </row>
    <row r="1494">
      <c r="A1494" s="8" t="inlineStr">
        <is>
          <t>2024-11-12</t>
        </is>
      </c>
      <c r="B1494" s="8" t="inlineStr">
        <is>
          <t>Tuesday</t>
        </is>
      </c>
      <c r="C1494" s="8" t="inlineStr">
        <is>
          <t>MNQZ4</t>
        </is>
      </c>
      <c r="D1494" s="9" t="n">
        <v>21241.25</v>
      </c>
      <c r="E1494" s="9" t="n">
        <v>21181.5</v>
      </c>
      <c r="F1494" s="9">
        <f>D1494-E1494</f>
        <v/>
      </c>
      <c r="G1494" s="8" t="inlineStr">
        <is>
          <t>Short</t>
        </is>
      </c>
      <c r="H1494" s="9" t="n">
        <v>21181.5</v>
      </c>
      <c r="I1494" s="9" t="n">
        <v>21185.25</v>
      </c>
      <c r="J1494" s="9">
        <f>IF(G1494="Long",I1494-H1494,IF(G1494="Short",H1494-I1494,0))</f>
        <v/>
      </c>
      <c r="K1494" s="10" t="n">
        <v>49.37</v>
      </c>
      <c r="L1494" s="8" t="inlineStr">
        <is>
          <t>EOD-Close</t>
        </is>
      </c>
      <c r="M1494" s="9">
        <f>M1493+J1494</f>
        <v/>
      </c>
    </row>
    <row r="1495">
      <c r="A1495" s="2" t="inlineStr">
        <is>
          <t>2024-11-13</t>
        </is>
      </c>
      <c r="B1495" s="2" t="inlineStr">
        <is>
          <t>Wednesday</t>
        </is>
      </c>
      <c r="C1495" s="2" t="inlineStr">
        <is>
          <t>MNQZ4</t>
        </is>
      </c>
      <c r="D1495" s="3" t="n">
        <v>21184.75</v>
      </c>
      <c r="E1495" s="3" t="n">
        <v>21139</v>
      </c>
      <c r="F1495" s="3">
        <f>D1495-E1495</f>
        <v/>
      </c>
      <c r="G1495" s="2" t="inlineStr">
        <is>
          <t>Short</t>
        </is>
      </c>
      <c r="H1495" s="3" t="n">
        <v>21139</v>
      </c>
      <c r="I1495" s="3" t="n">
        <v>21093.25</v>
      </c>
      <c r="J1495" s="3">
        <f>IF(G1495="Long",I1495-H1495,IF(G1495="Short",H1495-I1495,0))</f>
        <v/>
      </c>
      <c r="K1495" s="4" t="n">
        <v>50.82</v>
      </c>
      <c r="L1495" s="2" t="inlineStr">
        <is>
          <t>Win</t>
        </is>
      </c>
      <c r="M1495" s="3">
        <f>M1494+J1495</f>
        <v/>
      </c>
    </row>
    <row r="1496">
      <c r="A1496" s="2" t="inlineStr">
        <is>
          <t>2024-11-13</t>
        </is>
      </c>
      <c r="B1496" s="2" t="inlineStr">
        <is>
          <t>Wednesday</t>
        </is>
      </c>
      <c r="C1496" s="2" t="inlineStr">
        <is>
          <t>MNQZ4</t>
        </is>
      </c>
      <c r="D1496" s="3" t="n">
        <v>21184.75</v>
      </c>
      <c r="E1496" s="3" t="n">
        <v>21139</v>
      </c>
      <c r="F1496" s="3">
        <f>D1496-E1496</f>
        <v/>
      </c>
      <c r="G1496" s="2" t="inlineStr">
        <is>
          <t>Short</t>
        </is>
      </c>
      <c r="H1496" s="3" t="n">
        <v>21139</v>
      </c>
      <c r="I1496" s="3" t="n">
        <v>21093.25</v>
      </c>
      <c r="J1496" s="3">
        <f>IF(G1496="Long",I1496-H1496,IF(G1496="Short",H1496-I1496,0))</f>
        <v/>
      </c>
      <c r="K1496" s="4" t="n">
        <v>1.64</v>
      </c>
      <c r="L1496" s="2" t="inlineStr">
        <is>
          <t>Win</t>
        </is>
      </c>
      <c r="M1496" s="3">
        <f>M1495+J1496</f>
        <v/>
      </c>
    </row>
    <row r="1497">
      <c r="A1497" s="2" t="inlineStr">
        <is>
          <t>2024-11-14</t>
        </is>
      </c>
      <c r="B1497" s="2" t="inlineStr">
        <is>
          <t>Thursday</t>
        </is>
      </c>
      <c r="C1497" s="2" t="inlineStr">
        <is>
          <t>MNQZ4</t>
        </is>
      </c>
      <c r="D1497" s="3" t="n">
        <v>21174.5</v>
      </c>
      <c r="E1497" s="3" t="n">
        <v>21078.75</v>
      </c>
      <c r="F1497" s="3">
        <f>D1497-E1497</f>
        <v/>
      </c>
      <c r="G1497" s="2" t="inlineStr">
        <is>
          <t>Short</t>
        </is>
      </c>
      <c r="H1497" s="3" t="n">
        <v>21078.75</v>
      </c>
      <c r="I1497" s="3" t="n">
        <v>20983</v>
      </c>
      <c r="J1497" s="3">
        <f>IF(G1497="Long",I1497-H1497,IF(G1497="Short",H1497-I1497,0))</f>
        <v/>
      </c>
      <c r="K1497" s="4" t="n">
        <v>64.48999999999999</v>
      </c>
      <c r="L1497" s="2" t="inlineStr">
        <is>
          <t>Win</t>
        </is>
      </c>
      <c r="M1497" s="3">
        <f>M1496+J1497</f>
        <v/>
      </c>
    </row>
    <row r="1498">
      <c r="A1498" s="2" t="inlineStr">
        <is>
          <t>2024-11-15</t>
        </is>
      </c>
      <c r="B1498" s="2" t="inlineStr">
        <is>
          <t>Friday</t>
        </is>
      </c>
      <c r="C1498" s="2" t="inlineStr">
        <is>
          <t>MNQZ4</t>
        </is>
      </c>
      <c r="D1498" s="3" t="n">
        <v>20774</v>
      </c>
      <c r="E1498" s="3" t="n">
        <v>20687</v>
      </c>
      <c r="F1498" s="3">
        <f>D1498-E1498</f>
        <v/>
      </c>
      <c r="G1498" s="2" t="inlineStr">
        <is>
          <t>Short</t>
        </is>
      </c>
      <c r="H1498" s="3" t="n">
        <v>20687</v>
      </c>
      <c r="I1498" s="3" t="n">
        <v>20600</v>
      </c>
      <c r="J1498" s="3">
        <f>IF(G1498="Long",I1498-H1498,IF(G1498="Short",H1498-I1498,0))</f>
        <v/>
      </c>
      <c r="K1498" s="4" t="n">
        <v>0</v>
      </c>
      <c r="L1498" s="2" t="inlineStr">
        <is>
          <t>Win</t>
        </is>
      </c>
      <c r="M1498" s="3">
        <f>M1497+J1498</f>
        <v/>
      </c>
    </row>
    <row r="1499">
      <c r="A1499" s="5" t="inlineStr">
        <is>
          <t>2024-11-18</t>
        </is>
      </c>
      <c r="B1499" s="5" t="inlineStr">
        <is>
          <t>Monday</t>
        </is>
      </c>
      <c r="C1499" s="5" t="inlineStr">
        <is>
          <t>MNQZ4</t>
        </is>
      </c>
      <c r="D1499" s="6" t="n">
        <v>20571.5</v>
      </c>
      <c r="E1499" s="6" t="n">
        <v>20520.25</v>
      </c>
      <c r="F1499" s="6">
        <f>D1499-E1499</f>
        <v/>
      </c>
      <c r="G1499" s="5" t="inlineStr">
        <is>
          <t>Short</t>
        </is>
      </c>
      <c r="H1499" s="6" t="n">
        <v>20520.25</v>
      </c>
      <c r="I1499" s="6" t="n">
        <v>20571.5</v>
      </c>
      <c r="J1499" s="6">
        <f>IF(G1499="Long",I1499-H1499,IF(G1499="Short",H1499-I1499,0))</f>
        <v/>
      </c>
      <c r="K1499" s="7" t="n">
        <v>100</v>
      </c>
      <c r="L1499" s="5" t="inlineStr">
        <is>
          <t>Loss</t>
        </is>
      </c>
      <c r="M1499" s="6">
        <f>M1498+J1499</f>
        <v/>
      </c>
    </row>
    <row r="1500">
      <c r="A1500" s="2" t="inlineStr">
        <is>
          <t>2024-11-18</t>
        </is>
      </c>
      <c r="B1500" s="2" t="inlineStr">
        <is>
          <t>Monday</t>
        </is>
      </c>
      <c r="C1500" s="2" t="inlineStr">
        <is>
          <t>MNQZ4</t>
        </is>
      </c>
      <c r="D1500" s="3" t="n">
        <v>20571.5</v>
      </c>
      <c r="E1500" s="3" t="n">
        <v>20520.25</v>
      </c>
      <c r="F1500" s="3">
        <f>D1500-E1500</f>
        <v/>
      </c>
      <c r="G1500" s="2" t="inlineStr">
        <is>
          <t>Long</t>
        </is>
      </c>
      <c r="H1500" s="3" t="n">
        <v>20571.5</v>
      </c>
      <c r="I1500" s="3" t="n">
        <v>20622.75</v>
      </c>
      <c r="J1500" s="3">
        <f>IF(G1500="Long",I1500-H1500,IF(G1500="Short",H1500-I1500,0))</f>
        <v/>
      </c>
      <c r="K1500" s="4" t="n">
        <v>6.83</v>
      </c>
      <c r="L1500" s="2" t="inlineStr">
        <is>
          <t>Win</t>
        </is>
      </c>
      <c r="M1500" s="3">
        <f>M1499+J1500</f>
        <v/>
      </c>
    </row>
    <row r="1501">
      <c r="A1501" s="2" t="inlineStr">
        <is>
          <t>2024-11-19</t>
        </is>
      </c>
      <c r="B1501" s="2" t="inlineStr">
        <is>
          <t>Tuesday</t>
        </is>
      </c>
      <c r="C1501" s="2" t="inlineStr">
        <is>
          <t>MNQZ4</t>
        </is>
      </c>
      <c r="D1501" s="3" t="n">
        <v>20587.5</v>
      </c>
      <c r="E1501" s="3" t="n">
        <v>20508</v>
      </c>
      <c r="F1501" s="3">
        <f>D1501-E1501</f>
        <v/>
      </c>
      <c r="G1501" s="2" t="inlineStr">
        <is>
          <t>Long</t>
        </is>
      </c>
      <c r="H1501" s="3" t="n">
        <v>20587.5</v>
      </c>
      <c r="I1501" s="3" t="n">
        <v>20667</v>
      </c>
      <c r="J1501" s="3">
        <f>IF(G1501="Long",I1501-H1501,IF(G1501="Short",H1501-I1501,0))</f>
        <v/>
      </c>
      <c r="K1501" s="4" t="n">
        <v>6.29</v>
      </c>
      <c r="L1501" s="2" t="inlineStr">
        <is>
          <t>Win</t>
        </is>
      </c>
      <c r="M1501" s="3">
        <f>M1500+J1501</f>
        <v/>
      </c>
    </row>
    <row r="1502">
      <c r="A1502" s="2" t="inlineStr">
        <is>
          <t>2024-11-20</t>
        </is>
      </c>
      <c r="B1502" s="2" t="inlineStr">
        <is>
          <t>Wednesday</t>
        </is>
      </c>
      <c r="C1502" s="2" t="inlineStr">
        <is>
          <t>MNQZ4</t>
        </is>
      </c>
      <c r="D1502" s="3" t="n">
        <v>20756</v>
      </c>
      <c r="E1502" s="3" t="n">
        <v>20636.25</v>
      </c>
      <c r="F1502" s="3">
        <f>D1502-E1502</f>
        <v/>
      </c>
      <c r="G1502" s="2" t="inlineStr">
        <is>
          <t>Short</t>
        </is>
      </c>
      <c r="H1502" s="3" t="n">
        <v>20636.25</v>
      </c>
      <c r="I1502" s="3" t="n">
        <v>20516.5</v>
      </c>
      <c r="J1502" s="3">
        <f>IF(G1502="Long",I1502-H1502,IF(G1502="Short",H1502-I1502,0))</f>
        <v/>
      </c>
      <c r="K1502" s="4" t="n">
        <v>8.140000000000001</v>
      </c>
      <c r="L1502" s="2" t="inlineStr">
        <is>
          <t>Win</t>
        </is>
      </c>
      <c r="M1502" s="3">
        <f>M1501+J1502</f>
        <v/>
      </c>
    </row>
    <row r="1503">
      <c r="A1503" s="5" t="inlineStr">
        <is>
          <t>2024-11-20</t>
        </is>
      </c>
      <c r="B1503" s="5" t="inlineStr">
        <is>
          <t>Wednesday</t>
        </is>
      </c>
      <c r="C1503" s="5" t="inlineStr">
        <is>
          <t>MNQZ4</t>
        </is>
      </c>
      <c r="D1503" s="6" t="n">
        <v>20756</v>
      </c>
      <c r="E1503" s="6" t="n">
        <v>20636.25</v>
      </c>
      <c r="F1503" s="6">
        <f>D1503-E1503</f>
        <v/>
      </c>
      <c r="G1503" s="5" t="inlineStr">
        <is>
          <t>Short</t>
        </is>
      </c>
      <c r="H1503" s="6" t="n">
        <v>20636.25</v>
      </c>
      <c r="I1503" s="6" t="n">
        <v>20756</v>
      </c>
      <c r="J1503" s="6">
        <f>IF(G1503="Long",I1503-H1503,IF(G1503="Short",H1503-I1503,0))</f>
        <v/>
      </c>
      <c r="K1503" s="7" t="n">
        <v>100</v>
      </c>
      <c r="L1503" s="5" t="inlineStr">
        <is>
          <t>Loss</t>
        </is>
      </c>
      <c r="M1503" s="6">
        <f>M1502+J1503</f>
        <v/>
      </c>
    </row>
    <row r="1504">
      <c r="A1504" s="8" t="inlineStr">
        <is>
          <t>2024-11-21</t>
        </is>
      </c>
      <c r="B1504" s="8" t="inlineStr">
        <is>
          <t>Thursday</t>
        </is>
      </c>
      <c r="C1504" s="8" t="inlineStr">
        <is>
          <t>MNQZ4</t>
        </is>
      </c>
      <c r="D1504" s="9" t="n">
        <v>20907</v>
      </c>
      <c r="E1504" s="9" t="n">
        <v>20628.25</v>
      </c>
      <c r="F1504" s="9">
        <f>D1504-E1504</f>
        <v/>
      </c>
      <c r="G1504" s="8" t="inlineStr">
        <is>
          <t>Short</t>
        </is>
      </c>
      <c r="H1504" s="9" t="n">
        <v>20628.25</v>
      </c>
      <c r="I1504" s="9" t="n">
        <v>20823.5</v>
      </c>
      <c r="J1504" s="9">
        <f>IF(G1504="Long",I1504-H1504,IF(G1504="Short",H1504-I1504,0))</f>
        <v/>
      </c>
      <c r="K1504" s="10" t="n">
        <v>89.87</v>
      </c>
      <c r="L1504" s="8" t="inlineStr">
        <is>
          <t>EOD-Close</t>
        </is>
      </c>
      <c r="M1504" s="9">
        <f>M1503+J1504</f>
        <v/>
      </c>
    </row>
    <row r="1505">
      <c r="A1505" s="5" t="inlineStr">
        <is>
          <t>2024-11-22</t>
        </is>
      </c>
      <c r="B1505" s="5" t="inlineStr">
        <is>
          <t>Friday</t>
        </is>
      </c>
      <c r="C1505" s="5" t="inlineStr">
        <is>
          <t>MNQZ4</t>
        </is>
      </c>
      <c r="D1505" s="6" t="n">
        <v>20857</v>
      </c>
      <c r="E1505" s="6" t="n">
        <v>20773.25</v>
      </c>
      <c r="F1505" s="6">
        <f>D1505-E1505</f>
        <v/>
      </c>
      <c r="G1505" s="5" t="inlineStr">
        <is>
          <t>Short</t>
        </is>
      </c>
      <c r="H1505" s="6" t="n">
        <v>20773.25</v>
      </c>
      <c r="I1505" s="6" t="n">
        <v>20857</v>
      </c>
      <c r="J1505" s="6">
        <f>IF(G1505="Long",I1505-H1505,IF(G1505="Short",H1505-I1505,0))</f>
        <v/>
      </c>
      <c r="K1505" s="7" t="n">
        <v>100</v>
      </c>
      <c r="L1505" s="5" t="inlineStr">
        <is>
          <t>Loss</t>
        </is>
      </c>
      <c r="M1505" s="6">
        <f>M1504+J1505</f>
        <v/>
      </c>
    </row>
    <row r="1506">
      <c r="A1506" s="8" t="inlineStr">
        <is>
          <t>2024-11-22</t>
        </is>
      </c>
      <c r="B1506" s="8" t="inlineStr">
        <is>
          <t>Friday</t>
        </is>
      </c>
      <c r="C1506" s="8" t="inlineStr">
        <is>
          <t>MNQZ4</t>
        </is>
      </c>
      <c r="D1506" s="9" t="n">
        <v>20857</v>
      </c>
      <c r="E1506" s="9" t="n">
        <v>20773.25</v>
      </c>
      <c r="F1506" s="9">
        <f>D1506-E1506</f>
        <v/>
      </c>
      <c r="G1506" s="8" t="inlineStr">
        <is>
          <t>Long</t>
        </is>
      </c>
      <c r="H1506" s="9" t="n">
        <v>20857</v>
      </c>
      <c r="I1506" s="9" t="n">
        <v>20847.5</v>
      </c>
      <c r="J1506" s="9">
        <f>IF(G1506="Long",I1506-H1506,IF(G1506="Short",H1506-I1506,0))</f>
        <v/>
      </c>
      <c r="K1506" s="10" t="n">
        <v>73.73</v>
      </c>
      <c r="L1506" s="8" t="inlineStr">
        <is>
          <t>EOD-Close</t>
        </is>
      </c>
      <c r="M1506" s="9">
        <f>M1505+J1506</f>
        <v/>
      </c>
    </row>
    <row r="1507">
      <c r="A1507" s="2" t="inlineStr">
        <is>
          <t>2024-11-25</t>
        </is>
      </c>
      <c r="B1507" s="2" t="inlineStr">
        <is>
          <t>Monday</t>
        </is>
      </c>
      <c r="C1507" s="2" t="inlineStr">
        <is>
          <t>MNQZ4</t>
        </is>
      </c>
      <c r="D1507" s="3" t="n">
        <v>21081.25</v>
      </c>
      <c r="E1507" s="3" t="n">
        <v>20956.25</v>
      </c>
      <c r="F1507" s="3">
        <f>D1507-E1507</f>
        <v/>
      </c>
      <c r="G1507" s="2" t="inlineStr">
        <is>
          <t>Short</t>
        </is>
      </c>
      <c r="H1507" s="3" t="n">
        <v>20956.25</v>
      </c>
      <c r="I1507" s="3" t="n">
        <v>20831.25</v>
      </c>
      <c r="J1507" s="3">
        <f>IF(G1507="Long",I1507-H1507,IF(G1507="Short",H1507-I1507,0))</f>
        <v/>
      </c>
      <c r="K1507" s="4" t="n">
        <v>4.8</v>
      </c>
      <c r="L1507" s="2" t="inlineStr">
        <is>
          <t>Win</t>
        </is>
      </c>
      <c r="M1507" s="3">
        <f>M1506+J1507</f>
        <v/>
      </c>
    </row>
    <row r="1508">
      <c r="A1508" s="5" t="inlineStr">
        <is>
          <t>2024-11-26</t>
        </is>
      </c>
      <c r="B1508" s="5" t="inlineStr">
        <is>
          <t>Tuesday</t>
        </is>
      </c>
      <c r="C1508" s="5" t="inlineStr">
        <is>
          <t>MNQZ4</t>
        </is>
      </c>
      <c r="D1508" s="6" t="n">
        <v>21003</v>
      </c>
      <c r="E1508" s="6" t="n">
        <v>20938.5</v>
      </c>
      <c r="F1508" s="6">
        <f>D1508-E1508</f>
        <v/>
      </c>
      <c r="G1508" s="5" t="inlineStr">
        <is>
          <t>Long</t>
        </is>
      </c>
      <c r="H1508" s="6" t="n">
        <v>21003</v>
      </c>
      <c r="I1508" s="6" t="n">
        <v>20938.5</v>
      </c>
      <c r="J1508" s="6">
        <f>IF(G1508="Long",I1508-H1508,IF(G1508="Short",H1508-I1508,0))</f>
        <v/>
      </c>
      <c r="K1508" s="7" t="n">
        <v>100</v>
      </c>
      <c r="L1508" s="5" t="inlineStr">
        <is>
          <t>Loss</t>
        </is>
      </c>
      <c r="M1508" s="6">
        <f>M1507+J1508</f>
        <v/>
      </c>
    </row>
    <row r="1509">
      <c r="A1509" s="5" t="inlineStr">
        <is>
          <t>2024-11-26</t>
        </is>
      </c>
      <c r="B1509" s="5" t="inlineStr">
        <is>
          <t>Tuesday</t>
        </is>
      </c>
      <c r="C1509" s="5" t="inlineStr">
        <is>
          <t>MNQZ4</t>
        </is>
      </c>
      <c r="D1509" s="6" t="n">
        <v>21003</v>
      </c>
      <c r="E1509" s="6" t="n">
        <v>20938.5</v>
      </c>
      <c r="F1509" s="6">
        <f>D1509-E1509</f>
        <v/>
      </c>
      <c r="G1509" s="5" t="inlineStr">
        <is>
          <t>Short</t>
        </is>
      </c>
      <c r="H1509" s="6" t="n">
        <v>20938.5</v>
      </c>
      <c r="I1509" s="6" t="n">
        <v>21003</v>
      </c>
      <c r="J1509" s="6">
        <f>IF(G1509="Long",I1509-H1509,IF(G1509="Short",H1509-I1509,0))</f>
        <v/>
      </c>
      <c r="K1509" s="7" t="n">
        <v>100</v>
      </c>
      <c r="L1509" s="5" t="inlineStr">
        <is>
          <t>Loss</t>
        </is>
      </c>
      <c r="M1509" s="6">
        <f>M1508+J1509</f>
        <v/>
      </c>
    </row>
    <row r="1510">
      <c r="A1510" s="2" t="inlineStr">
        <is>
          <t>2024-11-27</t>
        </is>
      </c>
      <c r="B1510" s="2" t="inlineStr">
        <is>
          <t>Wednesday</t>
        </is>
      </c>
      <c r="C1510" s="2" t="inlineStr">
        <is>
          <t>MNQZ4</t>
        </is>
      </c>
      <c r="D1510" s="3" t="n">
        <v>20939.75</v>
      </c>
      <c r="E1510" s="3" t="n">
        <v>20852.75</v>
      </c>
      <c r="F1510" s="3">
        <f>D1510-E1510</f>
        <v/>
      </c>
      <c r="G1510" s="2" t="inlineStr">
        <is>
          <t>Short</t>
        </is>
      </c>
      <c r="H1510" s="3" t="n">
        <v>20852.75</v>
      </c>
      <c r="I1510" s="3" t="n">
        <v>20765.75</v>
      </c>
      <c r="J1510" s="3">
        <f>IF(G1510="Long",I1510-H1510,IF(G1510="Short",H1510-I1510,0))</f>
        <v/>
      </c>
      <c r="K1510" s="4" t="n">
        <v>12.93</v>
      </c>
      <c r="L1510" s="2" t="inlineStr">
        <is>
          <t>Win</t>
        </is>
      </c>
      <c r="M1510" s="3">
        <f>M1509+J1510</f>
        <v/>
      </c>
    </row>
    <row r="1511">
      <c r="A1511" s="8" t="inlineStr">
        <is>
          <t>2024-11-28</t>
        </is>
      </c>
      <c r="B1511" s="8" t="inlineStr">
        <is>
          <t>Thursday</t>
        </is>
      </c>
      <c r="C1511" s="8" t="inlineStr">
        <is>
          <t>MNQZ4</t>
        </is>
      </c>
      <c r="D1511" s="9" t="n">
        <v>20892.5</v>
      </c>
      <c r="E1511" s="9" t="n">
        <v>20873.75</v>
      </c>
      <c r="F1511" s="9">
        <f>D1511-E1511</f>
        <v/>
      </c>
      <c r="G1511" s="8" t="inlineStr">
        <is>
          <t>Long</t>
        </is>
      </c>
      <c r="H1511" s="9" t="n">
        <v>20892.5</v>
      </c>
      <c r="I1511" s="9" t="n">
        <v>20889.5</v>
      </c>
      <c r="J1511" s="9">
        <f>IF(G1511="Long",I1511-H1511,IF(G1511="Short",H1511-I1511,0))</f>
        <v/>
      </c>
      <c r="K1511" s="10" t="n">
        <v>76</v>
      </c>
      <c r="L1511" s="8" t="inlineStr">
        <is>
          <t>EOD-Close</t>
        </is>
      </c>
      <c r="M1511" s="9">
        <f>M1510+J1511</f>
        <v/>
      </c>
    </row>
    <row r="1512">
      <c r="A1512" s="2" t="inlineStr">
        <is>
          <t>2024-11-29</t>
        </is>
      </c>
      <c r="B1512" s="2" t="inlineStr">
        <is>
          <t>Friday</t>
        </is>
      </c>
      <c r="C1512" s="2" t="inlineStr">
        <is>
          <t>MNQZ4</t>
        </is>
      </c>
      <c r="D1512" s="3" t="n">
        <v>20875.5</v>
      </c>
      <c r="E1512" s="3" t="n">
        <v>20805.75</v>
      </c>
      <c r="F1512" s="3">
        <f>D1512-E1512</f>
        <v/>
      </c>
      <c r="G1512" s="2" t="inlineStr">
        <is>
          <t>Long</t>
        </is>
      </c>
      <c r="H1512" s="3" t="n">
        <v>20875.5</v>
      </c>
      <c r="I1512" s="3" t="n">
        <v>20945.25</v>
      </c>
      <c r="J1512" s="3">
        <f>IF(G1512="Long",I1512-H1512,IF(G1512="Short",H1512-I1512,0))</f>
        <v/>
      </c>
      <c r="K1512" s="4" t="n">
        <v>0</v>
      </c>
      <c r="L1512" s="2" t="inlineStr">
        <is>
          <t>Win</t>
        </is>
      </c>
      <c r="M1512" s="3">
        <f>M1511+J1512</f>
        <v/>
      </c>
    </row>
    <row r="1513">
      <c r="A1513" s="2" t="inlineStr">
        <is>
          <t>2024-12-02</t>
        </is>
      </c>
      <c r="B1513" s="2" t="inlineStr">
        <is>
          <t>Monday</t>
        </is>
      </c>
      <c r="C1513" s="2" t="inlineStr">
        <is>
          <t>MNQZ4</t>
        </is>
      </c>
      <c r="D1513" s="3" t="n">
        <v>21139.5</v>
      </c>
      <c r="E1513" s="3" t="n">
        <v>21026.5</v>
      </c>
      <c r="F1513" s="3">
        <f>D1513-E1513</f>
        <v/>
      </c>
      <c r="G1513" s="2" t="inlineStr">
        <is>
          <t>Long</t>
        </is>
      </c>
      <c r="H1513" s="3" t="n">
        <v>21139.5</v>
      </c>
      <c r="I1513" s="3" t="n">
        <v>21252.5</v>
      </c>
      <c r="J1513" s="3">
        <f>IF(G1513="Long",I1513-H1513,IF(G1513="Short",H1513-I1513,0))</f>
        <v/>
      </c>
      <c r="K1513" s="4" t="n">
        <v>11.73</v>
      </c>
      <c r="L1513" s="2" t="inlineStr">
        <is>
          <t>Win</t>
        </is>
      </c>
      <c r="M1513" s="3">
        <f>M1512+J1513</f>
        <v/>
      </c>
    </row>
    <row r="1514">
      <c r="A1514" s="2" t="inlineStr">
        <is>
          <t>2024-12-03</t>
        </is>
      </c>
      <c r="B1514" s="2" t="inlineStr">
        <is>
          <t>Tuesday</t>
        </is>
      </c>
      <c r="C1514" s="2" t="inlineStr">
        <is>
          <t>MNQZ4</t>
        </is>
      </c>
      <c r="D1514" s="3" t="n">
        <v>21203.25</v>
      </c>
      <c r="E1514" s="3" t="n">
        <v>21134.75</v>
      </c>
      <c r="F1514" s="3">
        <f>D1514-E1514</f>
        <v/>
      </c>
      <c r="G1514" s="2" t="inlineStr">
        <is>
          <t>Long</t>
        </is>
      </c>
      <c r="H1514" s="3" t="n">
        <v>21203.25</v>
      </c>
      <c r="I1514" s="3" t="n">
        <v>21271.75</v>
      </c>
      <c r="J1514" s="3">
        <f>IF(G1514="Long",I1514-H1514,IF(G1514="Short",H1514-I1514,0))</f>
        <v/>
      </c>
      <c r="K1514" s="4" t="n">
        <v>60.22</v>
      </c>
      <c r="L1514" s="2" t="inlineStr">
        <is>
          <t>Win</t>
        </is>
      </c>
      <c r="M1514" s="3">
        <f>M1513+J1514</f>
        <v/>
      </c>
    </row>
    <row r="1515">
      <c r="A1515" s="2" t="inlineStr">
        <is>
          <t>2024-12-04</t>
        </is>
      </c>
      <c r="B1515" s="2" t="inlineStr">
        <is>
          <t>Wednesday</t>
        </is>
      </c>
      <c r="C1515" s="2" t="inlineStr">
        <is>
          <t>MNQZ4</t>
        </is>
      </c>
      <c r="D1515" s="3" t="n">
        <v>21437</v>
      </c>
      <c r="E1515" s="3" t="n">
        <v>21388.25</v>
      </c>
      <c r="F1515" s="3">
        <f>D1515-E1515</f>
        <v/>
      </c>
      <c r="G1515" s="2" t="inlineStr">
        <is>
          <t>Long</t>
        </is>
      </c>
      <c r="H1515" s="3" t="n">
        <v>21437</v>
      </c>
      <c r="I1515" s="3" t="n">
        <v>21485.75</v>
      </c>
      <c r="J1515" s="3">
        <f>IF(G1515="Long",I1515-H1515,IF(G1515="Short",H1515-I1515,0))</f>
        <v/>
      </c>
      <c r="K1515" s="4" t="n">
        <v>44.1</v>
      </c>
      <c r="L1515" s="2" t="inlineStr">
        <is>
          <t>Win</t>
        </is>
      </c>
      <c r="M1515" s="3">
        <f>M1514+J1515</f>
        <v/>
      </c>
    </row>
    <row r="1516">
      <c r="A1516" s="5" t="inlineStr">
        <is>
          <t>2024-12-05</t>
        </is>
      </c>
      <c r="B1516" s="5" t="inlineStr">
        <is>
          <t>Thursday</t>
        </is>
      </c>
      <c r="C1516" s="5" t="inlineStr">
        <is>
          <t>MNQZ4</t>
        </is>
      </c>
      <c r="D1516" s="6" t="n">
        <v>21552</v>
      </c>
      <c r="E1516" s="6" t="n">
        <v>21518.5</v>
      </c>
      <c r="F1516" s="6">
        <f>D1516-E1516</f>
        <v/>
      </c>
      <c r="G1516" s="5" t="inlineStr">
        <is>
          <t>Short</t>
        </is>
      </c>
      <c r="H1516" s="6" t="n">
        <v>21518.5</v>
      </c>
      <c r="I1516" s="6" t="n">
        <v>21552</v>
      </c>
      <c r="J1516" s="6">
        <f>IF(G1516="Long",I1516-H1516,IF(G1516="Short",H1516-I1516,0))</f>
        <v/>
      </c>
      <c r="K1516" s="7" t="n">
        <v>100</v>
      </c>
      <c r="L1516" s="5" t="inlineStr">
        <is>
          <t>Loss</t>
        </is>
      </c>
      <c r="M1516" s="6">
        <f>M1515+J1516</f>
        <v/>
      </c>
    </row>
    <row r="1517">
      <c r="A1517" s="5" t="inlineStr">
        <is>
          <t>2024-12-05</t>
        </is>
      </c>
      <c r="B1517" s="5" t="inlineStr">
        <is>
          <t>Thursday</t>
        </is>
      </c>
      <c r="C1517" s="5" t="inlineStr">
        <is>
          <t>MNQZ4</t>
        </is>
      </c>
      <c r="D1517" s="6" t="n">
        <v>21552</v>
      </c>
      <c r="E1517" s="6" t="n">
        <v>21518.5</v>
      </c>
      <c r="F1517" s="6">
        <f>D1517-E1517</f>
        <v/>
      </c>
      <c r="G1517" s="5" t="inlineStr">
        <is>
          <t>Long</t>
        </is>
      </c>
      <c r="H1517" s="6" t="n">
        <v>21552</v>
      </c>
      <c r="I1517" s="6" t="n">
        <v>21518.5</v>
      </c>
      <c r="J1517" s="6">
        <f>IF(G1517="Long",I1517-H1517,IF(G1517="Short",H1517-I1517,0))</f>
        <v/>
      </c>
      <c r="K1517" s="7" t="n">
        <v>100</v>
      </c>
      <c r="L1517" s="5" t="inlineStr">
        <is>
          <t>Loss</t>
        </is>
      </c>
      <c r="M1517" s="6">
        <f>M1516+J1517</f>
        <v/>
      </c>
    </row>
    <row r="1518">
      <c r="A1518" s="2" t="inlineStr">
        <is>
          <t>2024-12-06</t>
        </is>
      </c>
      <c r="B1518" s="2" t="inlineStr">
        <is>
          <t>Friday</t>
        </is>
      </c>
      <c r="C1518" s="2" t="inlineStr">
        <is>
          <t>MNQZ4</t>
        </is>
      </c>
      <c r="D1518" s="3" t="n">
        <v>21555</v>
      </c>
      <c r="E1518" s="3" t="n">
        <v>21485</v>
      </c>
      <c r="F1518" s="3">
        <f>D1518-E1518</f>
        <v/>
      </c>
      <c r="G1518" s="2" t="inlineStr">
        <is>
          <t>Long</t>
        </is>
      </c>
      <c r="H1518" s="3" t="n">
        <v>21555</v>
      </c>
      <c r="I1518" s="3" t="n">
        <v>21625</v>
      </c>
      <c r="J1518" s="3">
        <f>IF(G1518="Long",I1518-H1518,IF(G1518="Short",H1518-I1518,0))</f>
        <v/>
      </c>
      <c r="K1518" s="4" t="n">
        <v>0</v>
      </c>
      <c r="L1518" s="2" t="inlineStr">
        <is>
          <t>Win</t>
        </is>
      </c>
      <c r="M1518" s="3">
        <f>M1517+J1518</f>
        <v/>
      </c>
    </row>
    <row r="1519">
      <c r="A1519" s="5" t="inlineStr">
        <is>
          <t>2024-12-09</t>
        </is>
      </c>
      <c r="B1519" s="5" t="inlineStr">
        <is>
          <t>Monday</t>
        </is>
      </c>
      <c r="C1519" s="5" t="inlineStr">
        <is>
          <t>MNQZ4</t>
        </is>
      </c>
      <c r="D1519" s="6" t="n">
        <v>21642.25</v>
      </c>
      <c r="E1519" s="6" t="n">
        <v>21582.75</v>
      </c>
      <c r="F1519" s="6">
        <f>D1519-E1519</f>
        <v/>
      </c>
      <c r="G1519" s="5" t="inlineStr">
        <is>
          <t>Long</t>
        </is>
      </c>
      <c r="H1519" s="6" t="n">
        <v>21642.25</v>
      </c>
      <c r="I1519" s="6" t="n">
        <v>21582.75</v>
      </c>
      <c r="J1519" s="6">
        <f>IF(G1519="Long",I1519-H1519,IF(G1519="Short",H1519-I1519,0))</f>
        <v/>
      </c>
      <c r="K1519" s="7" t="n">
        <v>100</v>
      </c>
      <c r="L1519" s="5" t="inlineStr">
        <is>
          <t>Loss</t>
        </is>
      </c>
      <c r="M1519" s="6">
        <f>M1518+J1519</f>
        <v/>
      </c>
    </row>
    <row r="1520">
      <c r="A1520" s="2" t="inlineStr">
        <is>
          <t>2024-12-09</t>
        </is>
      </c>
      <c r="B1520" s="2" t="inlineStr">
        <is>
          <t>Monday</t>
        </is>
      </c>
      <c r="C1520" s="2" t="inlineStr">
        <is>
          <t>MNQZ4</t>
        </is>
      </c>
      <c r="D1520" s="3" t="n">
        <v>21642.25</v>
      </c>
      <c r="E1520" s="3" t="n">
        <v>21582.75</v>
      </c>
      <c r="F1520" s="3">
        <f>D1520-E1520</f>
        <v/>
      </c>
      <c r="G1520" s="2" t="inlineStr">
        <is>
          <t>Short</t>
        </is>
      </c>
      <c r="H1520" s="3" t="n">
        <v>21582.75</v>
      </c>
      <c r="I1520" s="3" t="n">
        <v>21523.25</v>
      </c>
      <c r="J1520" s="3">
        <f>IF(G1520="Long",I1520-H1520,IF(G1520="Short",H1520-I1520,0))</f>
        <v/>
      </c>
      <c r="K1520" s="4" t="n">
        <v>0</v>
      </c>
      <c r="L1520" s="2" t="inlineStr">
        <is>
          <t>Win</t>
        </is>
      </c>
      <c r="M1520" s="3">
        <f>M1519+J1520</f>
        <v/>
      </c>
    </row>
    <row r="1521">
      <c r="A1521" s="5" t="inlineStr">
        <is>
          <t>2024-12-10</t>
        </is>
      </c>
      <c r="B1521" s="5" t="inlineStr">
        <is>
          <t>Tuesday</t>
        </is>
      </c>
      <c r="C1521" s="5" t="inlineStr">
        <is>
          <t>MNQZ4</t>
        </is>
      </c>
      <c r="D1521" s="6" t="n">
        <v>21576.5</v>
      </c>
      <c r="E1521" s="6" t="n">
        <v>21505.25</v>
      </c>
      <c r="F1521" s="6">
        <f>D1521-E1521</f>
        <v/>
      </c>
      <c r="G1521" s="5" t="inlineStr">
        <is>
          <t>Long</t>
        </is>
      </c>
      <c r="H1521" s="6" t="n">
        <v>21576.5</v>
      </c>
      <c r="I1521" s="6" t="n">
        <v>21505.25</v>
      </c>
      <c r="J1521" s="6">
        <f>IF(G1521="Long",I1521-H1521,IF(G1521="Short",H1521-I1521,0))</f>
        <v/>
      </c>
      <c r="K1521" s="7" t="n">
        <v>100</v>
      </c>
      <c r="L1521" s="5" t="inlineStr">
        <is>
          <t>Loss</t>
        </is>
      </c>
      <c r="M1521" s="6">
        <f>M1520+J1521</f>
        <v/>
      </c>
    </row>
    <row r="1522">
      <c r="A1522" s="2" t="inlineStr">
        <is>
          <t>2024-12-10</t>
        </is>
      </c>
      <c r="B1522" s="2" t="inlineStr">
        <is>
          <t>Tuesday</t>
        </is>
      </c>
      <c r="C1522" s="2" t="inlineStr">
        <is>
          <t>MNQZ4</t>
        </is>
      </c>
      <c r="D1522" s="3" t="n">
        <v>21576.5</v>
      </c>
      <c r="E1522" s="3" t="n">
        <v>21505.25</v>
      </c>
      <c r="F1522" s="3">
        <f>D1522-E1522</f>
        <v/>
      </c>
      <c r="G1522" s="2" t="inlineStr">
        <is>
          <t>Short</t>
        </is>
      </c>
      <c r="H1522" s="3" t="n">
        <v>21505.25</v>
      </c>
      <c r="I1522" s="3" t="n">
        <v>21434</v>
      </c>
      <c r="J1522" s="3">
        <f>IF(G1522="Long",I1522-H1522,IF(G1522="Short",H1522-I1522,0))</f>
        <v/>
      </c>
      <c r="K1522" s="4" t="n">
        <v>8.77</v>
      </c>
      <c r="L1522" s="2" t="inlineStr">
        <is>
          <t>Win</t>
        </is>
      </c>
      <c r="M1522" s="3">
        <f>M1521+J1522</f>
        <v/>
      </c>
    </row>
    <row r="1523">
      <c r="A1523" s="2" t="inlineStr">
        <is>
          <t>2024-12-11</t>
        </is>
      </c>
      <c r="B1523" s="2" t="inlineStr">
        <is>
          <t>Wednesday</t>
        </is>
      </c>
      <c r="C1523" s="2" t="inlineStr">
        <is>
          <t>MNQZ4</t>
        </is>
      </c>
      <c r="D1523" s="3" t="n">
        <v>21639.5</v>
      </c>
      <c r="E1523" s="3" t="n">
        <v>21573</v>
      </c>
      <c r="F1523" s="3">
        <f>D1523-E1523</f>
        <v/>
      </c>
      <c r="G1523" s="2" t="inlineStr">
        <is>
          <t>Long</t>
        </is>
      </c>
      <c r="H1523" s="3" t="n">
        <v>21639.5</v>
      </c>
      <c r="I1523" s="3" t="n">
        <v>21706</v>
      </c>
      <c r="J1523" s="3">
        <f>IF(G1523="Long",I1523-H1523,IF(G1523="Short",H1523-I1523,0))</f>
        <v/>
      </c>
      <c r="K1523" s="4" t="n">
        <v>0</v>
      </c>
      <c r="L1523" s="2" t="inlineStr">
        <is>
          <t>Win</t>
        </is>
      </c>
      <c r="M1523" s="3">
        <f>M1522+J1523</f>
        <v/>
      </c>
    </row>
    <row r="1524">
      <c r="A1524" s="5" t="inlineStr">
        <is>
          <t>2024-12-12</t>
        </is>
      </c>
      <c r="B1524" s="5" t="inlineStr">
        <is>
          <t>Thursday</t>
        </is>
      </c>
      <c r="C1524" s="5" t="inlineStr">
        <is>
          <t>MNQZ4</t>
        </is>
      </c>
      <c r="D1524" s="6" t="n">
        <v>21696.5</v>
      </c>
      <c r="E1524" s="6" t="n">
        <v>21655.75</v>
      </c>
      <c r="F1524" s="6">
        <f>D1524-E1524</f>
        <v/>
      </c>
      <c r="G1524" s="5" t="inlineStr">
        <is>
          <t>Short</t>
        </is>
      </c>
      <c r="H1524" s="6" t="n">
        <v>21655.75</v>
      </c>
      <c r="I1524" s="6" t="n">
        <v>21696.5</v>
      </c>
      <c r="J1524" s="6">
        <f>IF(G1524="Long",I1524-H1524,IF(G1524="Short",H1524-I1524,0))</f>
        <v/>
      </c>
      <c r="K1524" s="7" t="n">
        <v>100</v>
      </c>
      <c r="L1524" s="5" t="inlineStr">
        <is>
          <t>Loss</t>
        </is>
      </c>
      <c r="M1524" s="6">
        <f>M1523+J1524</f>
        <v/>
      </c>
    </row>
    <row r="1525">
      <c r="A1525" s="2" t="inlineStr">
        <is>
          <t>2024-12-12</t>
        </is>
      </c>
      <c r="B1525" s="2" t="inlineStr">
        <is>
          <t>Thursday</t>
        </is>
      </c>
      <c r="C1525" s="2" t="inlineStr">
        <is>
          <t>MNQZ4</t>
        </is>
      </c>
      <c r="D1525" s="3" t="n">
        <v>21696.5</v>
      </c>
      <c r="E1525" s="3" t="n">
        <v>21655.75</v>
      </c>
      <c r="F1525" s="3">
        <f>D1525-E1525</f>
        <v/>
      </c>
      <c r="G1525" s="2" t="inlineStr">
        <is>
          <t>Long</t>
        </is>
      </c>
      <c r="H1525" s="3" t="n">
        <v>21696.5</v>
      </c>
      <c r="I1525" s="3" t="n">
        <v>21737.25</v>
      </c>
      <c r="J1525" s="3">
        <f>IF(G1525="Long",I1525-H1525,IF(G1525="Short",H1525-I1525,0))</f>
        <v/>
      </c>
      <c r="K1525" s="4" t="n">
        <v>17.79</v>
      </c>
      <c r="L1525" s="2" t="inlineStr">
        <is>
          <t>Win</t>
        </is>
      </c>
      <c r="M1525" s="3">
        <f>M1524+J1525</f>
        <v/>
      </c>
    </row>
    <row r="1526">
      <c r="A1526" s="2" t="inlineStr">
        <is>
          <t>2024-12-13</t>
        </is>
      </c>
      <c r="B1526" s="2" t="inlineStr">
        <is>
          <t>Friday</t>
        </is>
      </c>
      <c r="C1526" s="2" t="inlineStr">
        <is>
          <t>MNQZ4</t>
        </is>
      </c>
      <c r="D1526" s="3" t="n">
        <v>21895</v>
      </c>
      <c r="E1526" s="3" t="n">
        <v>21790.25</v>
      </c>
      <c r="F1526" s="3">
        <f>D1526-E1526</f>
        <v/>
      </c>
      <c r="G1526" s="2" t="inlineStr">
        <is>
          <t>Short</t>
        </is>
      </c>
      <c r="H1526" s="3" t="n">
        <v>21790.25</v>
      </c>
      <c r="I1526" s="3" t="n">
        <v>21685.5</v>
      </c>
      <c r="J1526" s="3">
        <f>IF(G1526="Long",I1526-H1526,IF(G1526="Short",H1526-I1526,0))</f>
        <v/>
      </c>
      <c r="K1526" s="4" t="n">
        <v>0</v>
      </c>
      <c r="L1526" s="2" t="inlineStr">
        <is>
          <t>Win</t>
        </is>
      </c>
      <c r="M1526" s="3">
        <f>M1525+J1526</f>
        <v/>
      </c>
    </row>
    <row r="1527">
      <c r="A1527" s="8" t="inlineStr">
        <is>
          <t>2024-12-13</t>
        </is>
      </c>
      <c r="B1527" s="8" t="inlineStr">
        <is>
          <t>Friday</t>
        </is>
      </c>
      <c r="C1527" s="8" t="inlineStr">
        <is>
          <t>MNQZ4</t>
        </is>
      </c>
      <c r="D1527" s="9" t="n">
        <v>21895</v>
      </c>
      <c r="E1527" s="9" t="n">
        <v>21790.25</v>
      </c>
      <c r="F1527" s="9">
        <f>D1527-E1527</f>
        <v/>
      </c>
      <c r="G1527" s="8" t="inlineStr">
        <is>
          <t>Short</t>
        </is>
      </c>
      <c r="H1527" s="9" t="n">
        <v>21790.25</v>
      </c>
      <c r="I1527" s="9" t="n">
        <v>21797.5</v>
      </c>
      <c r="J1527" s="9">
        <f>IF(G1527="Long",I1527-H1527,IF(G1527="Short",H1527-I1527,0))</f>
        <v/>
      </c>
      <c r="K1527" s="10" t="n">
        <v>32.46</v>
      </c>
      <c r="L1527" s="8" t="inlineStr">
        <is>
          <t>EOD-Close</t>
        </is>
      </c>
      <c r="M1527" s="9">
        <f>M1526+J1527</f>
        <v/>
      </c>
    </row>
    <row r="1528">
      <c r="A1528" s="2" t="inlineStr">
        <is>
          <t>2024-12-16</t>
        </is>
      </c>
      <c r="B1528" s="2" t="inlineStr">
        <is>
          <t>Monday</t>
        </is>
      </c>
      <c r="C1528" s="2" t="inlineStr">
        <is>
          <t>MNQZ4</t>
        </is>
      </c>
      <c r="D1528" s="3" t="n">
        <v>21950.75</v>
      </c>
      <c r="E1528" s="3" t="n">
        <v>21896</v>
      </c>
      <c r="F1528" s="3">
        <f>D1528-E1528</f>
        <v/>
      </c>
      <c r="G1528" s="2" t="inlineStr">
        <is>
          <t>Long</t>
        </is>
      </c>
      <c r="H1528" s="3" t="n">
        <v>21950.75</v>
      </c>
      <c r="I1528" s="3" t="n">
        <v>22005.5</v>
      </c>
      <c r="J1528" s="3">
        <f>IF(G1528="Long",I1528-H1528,IF(G1528="Short",H1528-I1528,0))</f>
        <v/>
      </c>
      <c r="K1528" s="4" t="n">
        <v>40.18</v>
      </c>
      <c r="L1528" s="2" t="inlineStr">
        <is>
          <t>Win</t>
        </is>
      </c>
      <c r="M1528" s="3">
        <f>M1527+J1528</f>
        <v/>
      </c>
    </row>
    <row r="1529">
      <c r="A1529" s="5" t="inlineStr">
        <is>
          <t>2024-12-17</t>
        </is>
      </c>
      <c r="B1529" s="5" t="inlineStr">
        <is>
          <t>Tuesday</t>
        </is>
      </c>
      <c r="C1529" s="5" t="inlineStr">
        <is>
          <t>MNQH5</t>
        </is>
      </c>
      <c r="D1529" s="6" t="n">
        <v>22366.25</v>
      </c>
      <c r="E1529" s="6" t="n">
        <v>22279.5</v>
      </c>
      <c r="F1529" s="6">
        <f>D1529-E1529</f>
        <v/>
      </c>
      <c r="G1529" s="5" t="inlineStr">
        <is>
          <t>Short</t>
        </is>
      </c>
      <c r="H1529" s="6" t="n">
        <v>22279.5</v>
      </c>
      <c r="I1529" s="6" t="n">
        <v>22366.25</v>
      </c>
      <c r="J1529" s="6">
        <f>IF(G1529="Long",I1529-H1529,IF(G1529="Short",H1529-I1529,0))</f>
        <v/>
      </c>
      <c r="K1529" s="7" t="n">
        <v>100</v>
      </c>
      <c r="L1529" s="5" t="inlineStr">
        <is>
          <t>Loss</t>
        </is>
      </c>
      <c r="M1529" s="6">
        <f>M1528+J1529</f>
        <v/>
      </c>
    </row>
    <row r="1530">
      <c r="A1530" s="5" t="inlineStr">
        <is>
          <t>2024-12-17</t>
        </is>
      </c>
      <c r="B1530" s="5" t="inlineStr">
        <is>
          <t>Tuesday</t>
        </is>
      </c>
      <c r="C1530" s="5" t="inlineStr">
        <is>
          <t>MNQH5</t>
        </is>
      </c>
      <c r="D1530" s="6" t="n">
        <v>22366.25</v>
      </c>
      <c r="E1530" s="6" t="n">
        <v>22279.5</v>
      </c>
      <c r="F1530" s="6">
        <f>D1530-E1530</f>
        <v/>
      </c>
      <c r="G1530" s="5" t="inlineStr">
        <is>
          <t>Long</t>
        </is>
      </c>
      <c r="H1530" s="6" t="n">
        <v>22366.25</v>
      </c>
      <c r="I1530" s="6" t="n">
        <v>22279.5</v>
      </c>
      <c r="J1530" s="6">
        <f>IF(G1530="Long",I1530-H1530,IF(G1530="Short",H1530-I1530,0))</f>
        <v/>
      </c>
      <c r="K1530" s="7" t="n">
        <v>100</v>
      </c>
      <c r="L1530" s="5" t="inlineStr">
        <is>
          <t>Loss</t>
        </is>
      </c>
      <c r="M1530" s="6">
        <f>M1529+J1530</f>
        <v/>
      </c>
    </row>
    <row r="1531">
      <c r="A1531" s="5" t="inlineStr">
        <is>
          <t>2024-12-18</t>
        </is>
      </c>
      <c r="B1531" s="5" t="inlineStr">
        <is>
          <t>Wednesday</t>
        </is>
      </c>
      <c r="C1531" s="5" t="inlineStr">
        <is>
          <t>MNQH5</t>
        </is>
      </c>
      <c r="D1531" s="6" t="n">
        <v>22302.75</v>
      </c>
      <c r="E1531" s="6" t="n">
        <v>22211.25</v>
      </c>
      <c r="F1531" s="6">
        <f>D1531-E1531</f>
        <v/>
      </c>
      <c r="G1531" s="5" t="inlineStr">
        <is>
          <t>Long</t>
        </is>
      </c>
      <c r="H1531" s="6" t="n">
        <v>22302.75</v>
      </c>
      <c r="I1531" s="6" t="n">
        <v>22211.25</v>
      </c>
      <c r="J1531" s="6">
        <f>IF(G1531="Long",I1531-H1531,IF(G1531="Short",H1531-I1531,0))</f>
        <v/>
      </c>
      <c r="K1531" s="7" t="n">
        <v>100</v>
      </c>
      <c r="L1531" s="5" t="inlineStr">
        <is>
          <t>Loss</t>
        </is>
      </c>
      <c r="M1531" s="6">
        <f>M1530+J1531</f>
        <v/>
      </c>
    </row>
    <row r="1532">
      <c r="A1532" s="2" t="inlineStr">
        <is>
          <t>2024-12-18</t>
        </is>
      </c>
      <c r="B1532" s="2" t="inlineStr">
        <is>
          <t>Wednesday</t>
        </is>
      </c>
      <c r="C1532" s="2" t="inlineStr">
        <is>
          <t>MNQH5</t>
        </is>
      </c>
      <c r="D1532" s="3" t="n">
        <v>22302.75</v>
      </c>
      <c r="E1532" s="3" t="n">
        <v>22211.25</v>
      </c>
      <c r="F1532" s="3">
        <f>D1532-E1532</f>
        <v/>
      </c>
      <c r="G1532" s="2" t="inlineStr">
        <is>
          <t>Short</t>
        </is>
      </c>
      <c r="H1532" s="3" t="n">
        <v>22211.25</v>
      </c>
      <c r="I1532" s="3" t="n">
        <v>22119.75</v>
      </c>
      <c r="J1532" s="3">
        <f>IF(G1532="Long",I1532-H1532,IF(G1532="Short",H1532-I1532,0))</f>
        <v/>
      </c>
      <c r="K1532" s="4" t="n">
        <v>0</v>
      </c>
      <c r="L1532" s="2" t="inlineStr">
        <is>
          <t>Win</t>
        </is>
      </c>
      <c r="M1532" s="3">
        <f>M1531+J1532</f>
        <v/>
      </c>
    </row>
    <row r="1533">
      <c r="A1533" s="2" t="inlineStr">
        <is>
          <t>2024-12-19</t>
        </is>
      </c>
      <c r="B1533" s="2" t="inlineStr">
        <is>
          <t>Thursday</t>
        </is>
      </c>
      <c r="C1533" s="2" t="inlineStr">
        <is>
          <t>MNQH5</t>
        </is>
      </c>
      <c r="D1533" s="3" t="n">
        <v>21698</v>
      </c>
      <c r="E1533" s="3" t="n">
        <v>21568</v>
      </c>
      <c r="F1533" s="3">
        <f>D1533-E1533</f>
        <v/>
      </c>
      <c r="G1533" s="2" t="inlineStr">
        <is>
          <t>Short</t>
        </is>
      </c>
      <c r="H1533" s="3" t="n">
        <v>21568</v>
      </c>
      <c r="I1533" s="3" t="n">
        <v>21438</v>
      </c>
      <c r="J1533" s="3">
        <f>IF(G1533="Long",I1533-H1533,IF(G1533="Short",H1533-I1533,0))</f>
        <v/>
      </c>
      <c r="K1533" s="4" t="n">
        <v>53.46</v>
      </c>
      <c r="L1533" s="2" t="inlineStr">
        <is>
          <t>Win</t>
        </is>
      </c>
      <c r="M1533" s="3">
        <f>M1532+J1533</f>
        <v/>
      </c>
    </row>
    <row r="1534">
      <c r="A1534" s="2" t="inlineStr">
        <is>
          <t>2024-12-19</t>
        </is>
      </c>
      <c r="B1534" s="2" t="inlineStr">
        <is>
          <t>Thursday</t>
        </is>
      </c>
      <c r="C1534" s="2" t="inlineStr">
        <is>
          <t>MNQH5</t>
        </is>
      </c>
      <c r="D1534" s="3" t="n">
        <v>21698</v>
      </c>
      <c r="E1534" s="3" t="n">
        <v>21568</v>
      </c>
      <c r="F1534" s="3">
        <f>D1534-E1534</f>
        <v/>
      </c>
      <c r="G1534" s="2" t="inlineStr">
        <is>
          <t>Short</t>
        </is>
      </c>
      <c r="H1534" s="3" t="n">
        <v>21568</v>
      </c>
      <c r="I1534" s="3" t="n">
        <v>21438</v>
      </c>
      <c r="J1534" s="3">
        <f>IF(G1534="Long",I1534-H1534,IF(G1534="Short",H1534-I1534,0))</f>
        <v/>
      </c>
      <c r="K1534" s="4" t="n">
        <v>24.42</v>
      </c>
      <c r="L1534" s="2" t="inlineStr">
        <is>
          <t>Win</t>
        </is>
      </c>
      <c r="M1534" s="3">
        <f>M1533+J1534</f>
        <v/>
      </c>
    </row>
    <row r="1535">
      <c r="A1535" s="2" t="inlineStr">
        <is>
          <t>2024-12-20</t>
        </is>
      </c>
      <c r="B1535" s="2" t="inlineStr">
        <is>
          <t>Friday</t>
        </is>
      </c>
      <c r="C1535" s="2" t="inlineStr">
        <is>
          <t>MNQH5</t>
        </is>
      </c>
      <c r="D1535" s="3" t="n">
        <v>21309.25</v>
      </c>
      <c r="E1535" s="3" t="n">
        <v>21184.25</v>
      </c>
      <c r="F1535" s="3">
        <f>D1535-E1535</f>
        <v/>
      </c>
      <c r="G1535" s="2" t="inlineStr">
        <is>
          <t>Long</t>
        </is>
      </c>
      <c r="H1535" s="3" t="n">
        <v>21309.25</v>
      </c>
      <c r="I1535" s="3" t="n">
        <v>21434.25</v>
      </c>
      <c r="J1535" s="3">
        <f>IF(G1535="Long",I1535-H1535,IF(G1535="Short",H1535-I1535,0))</f>
        <v/>
      </c>
      <c r="K1535" s="4" t="n">
        <v>0</v>
      </c>
      <c r="L1535" s="2" t="inlineStr">
        <is>
          <t>Win</t>
        </is>
      </c>
      <c r="M1535" s="3">
        <f>M1534+J1535</f>
        <v/>
      </c>
    </row>
    <row r="1536">
      <c r="A1536" s="2" t="inlineStr">
        <is>
          <t>2024-12-23</t>
        </is>
      </c>
      <c r="B1536" s="2" t="inlineStr">
        <is>
          <t>Monday</t>
        </is>
      </c>
      <c r="C1536" s="2" t="inlineStr">
        <is>
          <t>MNQH5</t>
        </is>
      </c>
      <c r="D1536" s="3" t="n">
        <v>21675.5</v>
      </c>
      <c r="E1536" s="3" t="n">
        <v>21605.5</v>
      </c>
      <c r="F1536" s="3">
        <f>D1536-E1536</f>
        <v/>
      </c>
      <c r="G1536" s="2" t="inlineStr">
        <is>
          <t>Short</t>
        </is>
      </c>
      <c r="H1536" s="3" t="n">
        <v>21605.5</v>
      </c>
      <c r="I1536" s="3" t="n">
        <v>21535.5</v>
      </c>
      <c r="J1536" s="3">
        <f>IF(G1536="Long",I1536-H1536,IF(G1536="Short",H1536-I1536,0))</f>
        <v/>
      </c>
      <c r="K1536" s="4" t="n">
        <v>67.5</v>
      </c>
      <c r="L1536" s="2" t="inlineStr">
        <is>
          <t>Win</t>
        </is>
      </c>
      <c r="M1536" s="3">
        <f>M1535+J1536</f>
        <v/>
      </c>
    </row>
    <row r="1537">
      <c r="A1537" s="5" t="inlineStr">
        <is>
          <t>2024-12-23</t>
        </is>
      </c>
      <c r="B1537" s="5" t="inlineStr">
        <is>
          <t>Monday</t>
        </is>
      </c>
      <c r="C1537" s="5" t="inlineStr">
        <is>
          <t>MNQH5</t>
        </is>
      </c>
      <c r="D1537" s="6" t="n">
        <v>21675.5</v>
      </c>
      <c r="E1537" s="6" t="n">
        <v>21605.5</v>
      </c>
      <c r="F1537" s="6">
        <f>D1537-E1537</f>
        <v/>
      </c>
      <c r="G1537" s="5" t="inlineStr">
        <is>
          <t>Short</t>
        </is>
      </c>
      <c r="H1537" s="6" t="n">
        <v>21605.5</v>
      </c>
      <c r="I1537" s="6" t="n">
        <v>21675.5</v>
      </c>
      <c r="J1537" s="6">
        <f>IF(G1537="Long",I1537-H1537,IF(G1537="Short",H1537-I1537,0))</f>
        <v/>
      </c>
      <c r="K1537" s="7" t="n">
        <v>100</v>
      </c>
      <c r="L1537" s="5" t="inlineStr">
        <is>
          <t>Loss</t>
        </is>
      </c>
      <c r="M1537" s="6">
        <f>M1536+J1537</f>
        <v/>
      </c>
    </row>
    <row r="1538">
      <c r="A1538" s="2" t="inlineStr">
        <is>
          <t>2024-12-24</t>
        </is>
      </c>
      <c r="B1538" s="2" t="inlineStr">
        <is>
          <t>Tuesday</t>
        </is>
      </c>
      <c r="C1538" s="2" t="inlineStr">
        <is>
          <t>MNQH5</t>
        </is>
      </c>
      <c r="D1538" s="3" t="n">
        <v>21875</v>
      </c>
      <c r="E1538" s="3" t="n">
        <v>21799</v>
      </c>
      <c r="F1538" s="3">
        <f>D1538-E1538</f>
        <v/>
      </c>
      <c r="G1538" s="2" t="inlineStr">
        <is>
          <t>Long</t>
        </is>
      </c>
      <c r="H1538" s="3" t="n">
        <v>21875</v>
      </c>
      <c r="I1538" s="3" t="n">
        <v>21951</v>
      </c>
      <c r="J1538" s="3">
        <f>IF(G1538="Long",I1538-H1538,IF(G1538="Short",H1538-I1538,0))</f>
        <v/>
      </c>
      <c r="K1538" s="4" t="n">
        <v>4.93</v>
      </c>
      <c r="L1538" s="2" t="inlineStr">
        <is>
          <t>Win</t>
        </is>
      </c>
      <c r="M1538" s="3">
        <f>M1537+J1538</f>
        <v/>
      </c>
    </row>
    <row r="1539">
      <c r="A1539" s="2" t="inlineStr">
        <is>
          <t>2024-12-26</t>
        </is>
      </c>
      <c r="B1539" s="2" t="inlineStr">
        <is>
          <t>Thursday</t>
        </is>
      </c>
      <c r="C1539" s="2" t="inlineStr">
        <is>
          <t>MNQH5</t>
        </is>
      </c>
      <c r="D1539" s="3" t="n">
        <v>22008.5</v>
      </c>
      <c r="E1539" s="3" t="n">
        <v>21955.25</v>
      </c>
      <c r="F1539" s="3">
        <f>D1539-E1539</f>
        <v/>
      </c>
      <c r="G1539" s="2" t="inlineStr">
        <is>
          <t>Short</t>
        </is>
      </c>
      <c r="H1539" s="3" t="n">
        <v>21955.25</v>
      </c>
      <c r="I1539" s="3" t="n">
        <v>21902</v>
      </c>
      <c r="J1539" s="3">
        <f>IF(G1539="Long",I1539-H1539,IF(G1539="Short",H1539-I1539,0))</f>
        <v/>
      </c>
      <c r="K1539" s="4" t="n">
        <v>2.35</v>
      </c>
      <c r="L1539" s="2" t="inlineStr">
        <is>
          <t>Win</t>
        </is>
      </c>
      <c r="M1539" s="3">
        <f>M1538+J1539</f>
        <v/>
      </c>
    </row>
    <row r="1540">
      <c r="A1540" s="2" t="inlineStr">
        <is>
          <t>2024-12-26</t>
        </is>
      </c>
      <c r="B1540" s="2" t="inlineStr">
        <is>
          <t>Thursday</t>
        </is>
      </c>
      <c r="C1540" s="2" t="inlineStr">
        <is>
          <t>MNQH5</t>
        </is>
      </c>
      <c r="D1540" s="3" t="n">
        <v>22008.5</v>
      </c>
      <c r="E1540" s="3" t="n">
        <v>21955.25</v>
      </c>
      <c r="F1540" s="3">
        <f>D1540-E1540</f>
        <v/>
      </c>
      <c r="G1540" s="2" t="inlineStr">
        <is>
          <t>Short</t>
        </is>
      </c>
      <c r="H1540" s="3" t="n">
        <v>21955.25</v>
      </c>
      <c r="I1540" s="3" t="n">
        <v>21902</v>
      </c>
      <c r="J1540" s="3">
        <f>IF(G1540="Long",I1540-H1540,IF(G1540="Short",H1540-I1540,0))</f>
        <v/>
      </c>
      <c r="K1540" s="4" t="n">
        <v>24.41</v>
      </c>
      <c r="L1540" s="2" t="inlineStr">
        <is>
          <t>Win</t>
        </is>
      </c>
      <c r="M1540" s="3">
        <f>M1539+J1540</f>
        <v/>
      </c>
    </row>
    <row r="1541">
      <c r="A1541" s="2" t="inlineStr">
        <is>
          <t>2024-12-27</t>
        </is>
      </c>
      <c r="B1541" s="2" t="inlineStr">
        <is>
          <t>Friday</t>
        </is>
      </c>
      <c r="C1541" s="2" t="inlineStr">
        <is>
          <t>MNQH5</t>
        </is>
      </c>
      <c r="D1541" s="3" t="n">
        <v>21863</v>
      </c>
      <c r="E1541" s="3" t="n">
        <v>21682</v>
      </c>
      <c r="F1541" s="3">
        <f>D1541-E1541</f>
        <v/>
      </c>
      <c r="G1541" s="2" t="inlineStr">
        <is>
          <t>Short</t>
        </is>
      </c>
      <c r="H1541" s="3" t="n">
        <v>21682</v>
      </c>
      <c r="I1541" s="3" t="n">
        <v>21501</v>
      </c>
      <c r="J1541" s="3">
        <f>IF(G1541="Long",I1541-H1541,IF(G1541="Short",H1541-I1541,0))</f>
        <v/>
      </c>
      <c r="K1541" s="4" t="n">
        <v>0</v>
      </c>
      <c r="L1541" s="2" t="inlineStr">
        <is>
          <t>Win</t>
        </is>
      </c>
      <c r="M1541" s="3">
        <f>M1540+J1541</f>
        <v/>
      </c>
    </row>
    <row r="1542">
      <c r="A1542" s="8" t="inlineStr">
        <is>
          <t>2024-12-27</t>
        </is>
      </c>
      <c r="B1542" s="8" t="inlineStr">
        <is>
          <t>Friday</t>
        </is>
      </c>
      <c r="C1542" s="8" t="inlineStr">
        <is>
          <t>MNQH5</t>
        </is>
      </c>
      <c r="D1542" s="9" t="n">
        <v>21863</v>
      </c>
      <c r="E1542" s="9" t="n">
        <v>21682</v>
      </c>
      <c r="F1542" s="9">
        <f>D1542-E1542</f>
        <v/>
      </c>
      <c r="G1542" s="8" t="inlineStr">
        <is>
          <t>Short</t>
        </is>
      </c>
      <c r="H1542" s="9" t="n">
        <v>21682</v>
      </c>
      <c r="I1542" s="9" t="n">
        <v>21703</v>
      </c>
      <c r="J1542" s="9">
        <f>IF(G1542="Long",I1542-H1542,IF(G1542="Short",H1542-I1542,0))</f>
        <v/>
      </c>
      <c r="K1542" s="10" t="n">
        <v>19.06</v>
      </c>
      <c r="L1542" s="8" t="inlineStr">
        <is>
          <t>EOD-Close</t>
        </is>
      </c>
      <c r="M1542" s="9">
        <f>M1541+J1542</f>
        <v/>
      </c>
    </row>
    <row r="1543">
      <c r="A1543" s="5" t="inlineStr">
        <is>
          <t>2024-12-30</t>
        </is>
      </c>
      <c r="B1543" s="5" t="inlineStr">
        <is>
          <t>Monday</t>
        </is>
      </c>
      <c r="C1543" s="5" t="inlineStr">
        <is>
          <t>MNQH5</t>
        </is>
      </c>
      <c r="D1543" s="6" t="n">
        <v>21417</v>
      </c>
      <c r="E1543" s="6" t="n">
        <v>21309.5</v>
      </c>
      <c r="F1543" s="6">
        <f>D1543-E1543</f>
        <v/>
      </c>
      <c r="G1543" s="5" t="inlineStr">
        <is>
          <t>Short</t>
        </is>
      </c>
      <c r="H1543" s="6" t="n">
        <v>21309.5</v>
      </c>
      <c r="I1543" s="6" t="n">
        <v>21417</v>
      </c>
      <c r="J1543" s="6">
        <f>IF(G1543="Long",I1543-H1543,IF(G1543="Short",H1543-I1543,0))</f>
        <v/>
      </c>
      <c r="K1543" s="7" t="n">
        <v>100</v>
      </c>
      <c r="L1543" s="5" t="inlineStr">
        <is>
          <t>Loss</t>
        </is>
      </c>
      <c r="M1543" s="6">
        <f>M1542+J1543</f>
        <v/>
      </c>
    </row>
    <row r="1544">
      <c r="A1544" s="2" t="inlineStr">
        <is>
          <t>2024-12-30</t>
        </is>
      </c>
      <c r="B1544" s="2" t="inlineStr">
        <is>
          <t>Monday</t>
        </is>
      </c>
      <c r="C1544" s="2" t="inlineStr">
        <is>
          <t>MNQH5</t>
        </is>
      </c>
      <c r="D1544" s="3" t="n">
        <v>21417</v>
      </c>
      <c r="E1544" s="3" t="n">
        <v>21309.5</v>
      </c>
      <c r="F1544" s="3">
        <f>D1544-E1544</f>
        <v/>
      </c>
      <c r="G1544" s="2" t="inlineStr">
        <is>
          <t>Long</t>
        </is>
      </c>
      <c r="H1544" s="3" t="n">
        <v>21417</v>
      </c>
      <c r="I1544" s="3" t="n">
        <v>21524.5</v>
      </c>
      <c r="J1544" s="3">
        <f>IF(G1544="Long",I1544-H1544,IF(G1544="Short",H1544-I1544,0))</f>
        <v/>
      </c>
      <c r="K1544" s="4" t="n">
        <v>3.49</v>
      </c>
      <c r="L1544" s="2" t="inlineStr">
        <is>
          <t>Win</t>
        </is>
      </c>
      <c r="M1544" s="3">
        <f>M1543+J1544</f>
        <v/>
      </c>
    </row>
    <row r="1545">
      <c r="A1545" s="2" t="inlineStr">
        <is>
          <t>2024-12-31</t>
        </is>
      </c>
      <c r="B1545" s="2" t="inlineStr">
        <is>
          <t>Tuesday</t>
        </is>
      </c>
      <c r="C1545" s="2" t="inlineStr">
        <is>
          <t>MNQH5</t>
        </is>
      </c>
      <c r="D1545" s="3" t="n">
        <v>21489.5</v>
      </c>
      <c r="E1545" s="3" t="n">
        <v>21367.75</v>
      </c>
      <c r="F1545" s="3">
        <f>D1545-E1545</f>
        <v/>
      </c>
      <c r="G1545" s="2" t="inlineStr">
        <is>
          <t>Short</t>
        </is>
      </c>
      <c r="H1545" s="3" t="n">
        <v>21367.75</v>
      </c>
      <c r="I1545" s="3" t="n">
        <v>21246</v>
      </c>
      <c r="J1545" s="3">
        <f>IF(G1545="Long",I1545-H1545,IF(G1545="Short",H1545-I1545,0))</f>
        <v/>
      </c>
      <c r="K1545" s="4" t="n">
        <v>82.95999999999999</v>
      </c>
      <c r="L1545" s="2" t="inlineStr">
        <is>
          <t>Win</t>
        </is>
      </c>
      <c r="M1545" s="3">
        <f>M1544+J1545</f>
        <v/>
      </c>
    </row>
    <row r="1546">
      <c r="A1546" s="5" t="inlineStr">
        <is>
          <t>2025-01-02</t>
        </is>
      </c>
      <c r="B1546" s="5" t="inlineStr">
        <is>
          <t>Thursday</t>
        </is>
      </c>
      <c r="C1546" s="5" t="inlineStr">
        <is>
          <t>MNQH5</t>
        </is>
      </c>
      <c r="D1546" s="6" t="n">
        <v>21373</v>
      </c>
      <c r="E1546" s="6" t="n">
        <v>21166.5</v>
      </c>
      <c r="F1546" s="6">
        <f>D1546-E1546</f>
        <v/>
      </c>
      <c r="G1546" s="5" t="inlineStr">
        <is>
          <t>Long</t>
        </is>
      </c>
      <c r="H1546" s="6" t="n">
        <v>21373</v>
      </c>
      <c r="I1546" s="6" t="n">
        <v>21166.5</v>
      </c>
      <c r="J1546" s="6">
        <f>IF(G1546="Long",I1546-H1546,IF(G1546="Short",H1546-I1546,0))</f>
        <v/>
      </c>
      <c r="K1546" s="7" t="n">
        <v>100</v>
      </c>
      <c r="L1546" s="5" t="inlineStr">
        <is>
          <t>Loss</t>
        </is>
      </c>
      <c r="M1546" s="6">
        <f>M1545+J1546</f>
        <v/>
      </c>
    </row>
    <row r="1547">
      <c r="A1547" s="8" t="inlineStr">
        <is>
          <t>2025-01-02</t>
        </is>
      </c>
      <c r="B1547" s="8" t="inlineStr">
        <is>
          <t>Thursday</t>
        </is>
      </c>
      <c r="C1547" s="8" t="inlineStr">
        <is>
          <t>MNQH5</t>
        </is>
      </c>
      <c r="D1547" s="9" t="n">
        <v>21373</v>
      </c>
      <c r="E1547" s="9" t="n">
        <v>21166.5</v>
      </c>
      <c r="F1547" s="9">
        <f>D1547-E1547</f>
        <v/>
      </c>
      <c r="G1547" s="8" t="inlineStr">
        <is>
          <t>Short</t>
        </is>
      </c>
      <c r="H1547" s="9" t="n">
        <v>21166.5</v>
      </c>
      <c r="I1547" s="9" t="n">
        <v>21169.5</v>
      </c>
      <c r="J1547" s="9">
        <f>IF(G1547="Long",I1547-H1547,IF(G1547="Short",H1547-I1547,0))</f>
        <v/>
      </c>
      <c r="K1547" s="10" t="n">
        <v>14.04</v>
      </c>
      <c r="L1547" s="8" t="inlineStr">
        <is>
          <t>EOD-Close</t>
        </is>
      </c>
      <c r="M1547" s="9">
        <f>M1546+J1547</f>
        <v/>
      </c>
    </row>
    <row r="1548">
      <c r="A1548" s="8" t="inlineStr">
        <is>
          <t>2025-01-03</t>
        </is>
      </c>
      <c r="B1548" s="8" t="inlineStr">
        <is>
          <t>Friday</t>
        </is>
      </c>
      <c r="C1548" s="8" t="inlineStr">
        <is>
          <t>MNQH5</t>
        </is>
      </c>
      <c r="D1548" s="9" t="n">
        <v>21431.5</v>
      </c>
      <c r="E1548" s="9" t="n">
        <v>21276.75</v>
      </c>
      <c r="F1548" s="9">
        <f>D1548-E1548</f>
        <v/>
      </c>
      <c r="G1548" s="8" t="inlineStr">
        <is>
          <t>Long</t>
        </is>
      </c>
      <c r="H1548" s="9" t="n">
        <v>21431.5</v>
      </c>
      <c r="I1548" s="9" t="n">
        <v>21508.25</v>
      </c>
      <c r="J1548" s="9">
        <f>IF(G1548="Long",I1548-H1548,IF(G1548="Short",H1548-I1548,0))</f>
        <v/>
      </c>
      <c r="K1548" s="10" t="n">
        <v>0</v>
      </c>
      <c r="L1548" s="8" t="inlineStr">
        <is>
          <t>EOD-Close</t>
        </is>
      </c>
      <c r="M1548" s="9">
        <f>M1547+J1548</f>
        <v/>
      </c>
    </row>
    <row r="1549">
      <c r="A1549" s="5" t="inlineStr">
        <is>
          <t>2025-01-06</t>
        </is>
      </c>
      <c r="B1549" s="5" t="inlineStr">
        <is>
          <t>Monday</t>
        </is>
      </c>
      <c r="C1549" s="5" t="inlineStr">
        <is>
          <t>MNQH5</t>
        </is>
      </c>
      <c r="D1549" s="6" t="n">
        <v>21828.75</v>
      </c>
      <c r="E1549" s="6" t="n">
        <v>21723.75</v>
      </c>
      <c r="F1549" s="6">
        <f>D1549-E1549</f>
        <v/>
      </c>
      <c r="G1549" s="5" t="inlineStr">
        <is>
          <t>Long</t>
        </is>
      </c>
      <c r="H1549" s="6" t="n">
        <v>21828.75</v>
      </c>
      <c r="I1549" s="6" t="n">
        <v>21723.75</v>
      </c>
      <c r="J1549" s="6">
        <f>IF(G1549="Long",I1549-H1549,IF(G1549="Short",H1549-I1549,0))</f>
        <v/>
      </c>
      <c r="K1549" s="7" t="n">
        <v>100</v>
      </c>
      <c r="L1549" s="5" t="inlineStr">
        <is>
          <t>Loss</t>
        </is>
      </c>
      <c r="M1549" s="6">
        <f>M1548+J1549</f>
        <v/>
      </c>
    </row>
    <row r="1550">
      <c r="A1550" s="8" t="inlineStr">
        <is>
          <t>2025-01-06</t>
        </is>
      </c>
      <c r="B1550" s="8" t="inlineStr">
        <is>
          <t>Monday</t>
        </is>
      </c>
      <c r="C1550" s="8" t="inlineStr">
        <is>
          <t>MNQH5</t>
        </is>
      </c>
      <c r="D1550" s="9" t="n">
        <v>21828.75</v>
      </c>
      <c r="E1550" s="9" t="n">
        <v>21723.75</v>
      </c>
      <c r="F1550" s="9">
        <f>D1550-E1550</f>
        <v/>
      </c>
      <c r="G1550" s="8" t="inlineStr">
        <is>
          <t>Short</t>
        </is>
      </c>
      <c r="H1550" s="9" t="n">
        <v>21723.75</v>
      </c>
      <c r="I1550" s="9" t="n">
        <v>21750</v>
      </c>
      <c r="J1550" s="9">
        <f>IF(G1550="Long",I1550-H1550,IF(G1550="Short",H1550-I1550,0))</f>
        <v/>
      </c>
      <c r="K1550" s="10" t="n">
        <v>30.95</v>
      </c>
      <c r="L1550" s="8" t="inlineStr">
        <is>
          <t>EOD-Close</t>
        </is>
      </c>
      <c r="M1550" s="9">
        <f>M1549+J1550</f>
        <v/>
      </c>
    </row>
    <row r="1551">
      <c r="A1551" s="2" t="inlineStr">
        <is>
          <t>2025-01-07</t>
        </is>
      </c>
      <c r="B1551" s="2" t="inlineStr">
        <is>
          <t>Tuesday</t>
        </is>
      </c>
      <c r="C1551" s="2" t="inlineStr">
        <is>
          <t>MNQH5</t>
        </is>
      </c>
      <c r="D1551" s="3" t="n">
        <v>21806.25</v>
      </c>
      <c r="E1551" s="3" t="n">
        <v>21695</v>
      </c>
      <c r="F1551" s="3">
        <f>D1551-E1551</f>
        <v/>
      </c>
      <c r="G1551" s="2" t="inlineStr">
        <is>
          <t>Short</t>
        </is>
      </c>
      <c r="H1551" s="3" t="n">
        <v>21695</v>
      </c>
      <c r="I1551" s="3" t="n">
        <v>21583.75</v>
      </c>
      <c r="J1551" s="3">
        <f>IF(G1551="Long",I1551-H1551,IF(G1551="Short",H1551-I1551,0))</f>
        <v/>
      </c>
      <c r="K1551" s="4" t="n">
        <v>0</v>
      </c>
      <c r="L1551" s="2" t="inlineStr">
        <is>
          <t>Win</t>
        </is>
      </c>
      <c r="M1551" s="3">
        <f>M1550+J1551</f>
        <v/>
      </c>
    </row>
    <row r="1552">
      <c r="A1552" s="5" t="inlineStr">
        <is>
          <t>2025-01-08</t>
        </is>
      </c>
      <c r="B1552" s="5" t="inlineStr">
        <is>
          <t>Wednesday</t>
        </is>
      </c>
      <c r="C1552" s="5" t="inlineStr">
        <is>
          <t>MNQH5</t>
        </is>
      </c>
      <c r="D1552" s="6" t="n">
        <v>21384.75</v>
      </c>
      <c r="E1552" s="6" t="n">
        <v>21289.75</v>
      </c>
      <c r="F1552" s="6">
        <f>D1552-E1552</f>
        <v/>
      </c>
      <c r="G1552" s="5" t="inlineStr">
        <is>
          <t>Long</t>
        </is>
      </c>
      <c r="H1552" s="6" t="n">
        <v>21384.75</v>
      </c>
      <c r="I1552" s="6" t="n">
        <v>21289.75</v>
      </c>
      <c r="J1552" s="6">
        <f>IF(G1552="Long",I1552-H1552,IF(G1552="Short",H1552-I1552,0))</f>
        <v/>
      </c>
      <c r="K1552" s="7" t="n">
        <v>100</v>
      </c>
      <c r="L1552" s="5" t="inlineStr">
        <is>
          <t>Loss</t>
        </is>
      </c>
      <c r="M1552" s="6">
        <f>M1551+J1552</f>
        <v/>
      </c>
    </row>
    <row r="1553">
      <c r="A1553" s="5" t="inlineStr">
        <is>
          <t>2025-01-08</t>
        </is>
      </c>
      <c r="B1553" s="5" t="inlineStr">
        <is>
          <t>Wednesday</t>
        </is>
      </c>
      <c r="C1553" s="5" t="inlineStr">
        <is>
          <t>MNQH5</t>
        </is>
      </c>
      <c r="D1553" s="6" t="n">
        <v>21384.75</v>
      </c>
      <c r="E1553" s="6" t="n">
        <v>21289.75</v>
      </c>
      <c r="F1553" s="6">
        <f>D1553-E1553</f>
        <v/>
      </c>
      <c r="G1553" s="5" t="inlineStr">
        <is>
          <t>Short</t>
        </is>
      </c>
      <c r="H1553" s="6" t="n">
        <v>21289.75</v>
      </c>
      <c r="I1553" s="6" t="n">
        <v>21384.75</v>
      </c>
      <c r="J1553" s="6">
        <f>IF(G1553="Long",I1553-H1553,IF(G1553="Short",H1553-I1553,0))</f>
        <v/>
      </c>
      <c r="K1553" s="7" t="n">
        <v>100</v>
      </c>
      <c r="L1553" s="5" t="inlineStr">
        <is>
          <t>Loss</t>
        </is>
      </c>
      <c r="M1553" s="6">
        <f>M1552+J1553</f>
        <v/>
      </c>
    </row>
    <row r="1554">
      <c r="A1554" s="2" t="inlineStr">
        <is>
          <t>2025-01-10</t>
        </is>
      </c>
      <c r="B1554" s="2" t="inlineStr">
        <is>
          <t>Friday</t>
        </is>
      </c>
      <c r="C1554" s="2" t="inlineStr">
        <is>
          <t>MNQH5</t>
        </is>
      </c>
      <c r="D1554" s="3" t="n">
        <v>21197.25</v>
      </c>
      <c r="E1554" s="3" t="n">
        <v>21067.75</v>
      </c>
      <c r="F1554" s="3">
        <f>D1554-E1554</f>
        <v/>
      </c>
      <c r="G1554" s="2" t="inlineStr">
        <is>
          <t>Short</t>
        </is>
      </c>
      <c r="H1554" s="3" t="n">
        <v>21067.75</v>
      </c>
      <c r="I1554" s="3" t="n">
        <v>20938.25</v>
      </c>
      <c r="J1554" s="3">
        <f>IF(G1554="Long",I1554-H1554,IF(G1554="Short",H1554-I1554,0))</f>
        <v/>
      </c>
      <c r="K1554" s="4" t="n">
        <v>1.74</v>
      </c>
      <c r="L1554" s="2" t="inlineStr">
        <is>
          <t>Win</t>
        </is>
      </c>
      <c r="M1554" s="3">
        <f>M1553+J1554</f>
        <v/>
      </c>
    </row>
    <row r="1555">
      <c r="A1555" s="2" t="inlineStr">
        <is>
          <t>2025-01-10</t>
        </is>
      </c>
      <c r="B1555" s="2" t="inlineStr">
        <is>
          <t>Friday</t>
        </is>
      </c>
      <c r="C1555" s="2" t="inlineStr">
        <is>
          <t>MNQH5</t>
        </is>
      </c>
      <c r="D1555" s="3" t="n">
        <v>21197.25</v>
      </c>
      <c r="E1555" s="3" t="n">
        <v>21067.75</v>
      </c>
      <c r="F1555" s="3">
        <f>D1555-E1555</f>
        <v/>
      </c>
      <c r="G1555" s="2" t="inlineStr">
        <is>
          <t>Short</t>
        </is>
      </c>
      <c r="H1555" s="3" t="n">
        <v>21067.75</v>
      </c>
      <c r="I1555" s="3" t="n">
        <v>20938.25</v>
      </c>
      <c r="J1555" s="3">
        <f>IF(G1555="Long",I1555-H1555,IF(G1555="Short",H1555-I1555,0))</f>
        <v/>
      </c>
      <c r="K1555" s="4" t="n">
        <v>42.66</v>
      </c>
      <c r="L1555" s="2" t="inlineStr">
        <is>
          <t>Win</t>
        </is>
      </c>
      <c r="M1555" s="3">
        <f>M1554+J1555</f>
        <v/>
      </c>
    </row>
    <row r="1556">
      <c r="A1556" s="2" t="inlineStr">
        <is>
          <t>2025-01-13</t>
        </is>
      </c>
      <c r="B1556" s="2" t="inlineStr">
        <is>
          <t>Monday</t>
        </is>
      </c>
      <c r="C1556" s="2" t="inlineStr">
        <is>
          <t>MNQH5</t>
        </is>
      </c>
      <c r="D1556" s="3" t="n">
        <v>20786</v>
      </c>
      <c r="E1556" s="3" t="n">
        <v>20701.5</v>
      </c>
      <c r="F1556" s="3">
        <f>D1556-E1556</f>
        <v/>
      </c>
      <c r="G1556" s="2" t="inlineStr">
        <is>
          <t>Long</t>
        </is>
      </c>
      <c r="H1556" s="3" t="n">
        <v>20786</v>
      </c>
      <c r="I1556" s="3" t="n">
        <v>20870.5</v>
      </c>
      <c r="J1556" s="3">
        <f>IF(G1556="Long",I1556-H1556,IF(G1556="Short",H1556-I1556,0))</f>
        <v/>
      </c>
      <c r="K1556" s="4" t="n">
        <v>85.20999999999999</v>
      </c>
      <c r="L1556" s="2" t="inlineStr">
        <is>
          <t>Win</t>
        </is>
      </c>
      <c r="M1556" s="3">
        <f>M1555+J1556</f>
        <v/>
      </c>
    </row>
    <row r="1557">
      <c r="A1557" s="2" t="inlineStr">
        <is>
          <t>2025-01-13</t>
        </is>
      </c>
      <c r="B1557" s="2" t="inlineStr">
        <is>
          <t>Monday</t>
        </is>
      </c>
      <c r="C1557" s="2" t="inlineStr">
        <is>
          <t>MNQH5</t>
        </is>
      </c>
      <c r="D1557" s="3" t="n">
        <v>20786</v>
      </c>
      <c r="E1557" s="3" t="n">
        <v>20701.5</v>
      </c>
      <c r="F1557" s="3">
        <f>D1557-E1557</f>
        <v/>
      </c>
      <c r="G1557" s="2" t="inlineStr">
        <is>
          <t>Long</t>
        </is>
      </c>
      <c r="H1557" s="3" t="n">
        <v>20786</v>
      </c>
      <c r="I1557" s="3" t="n">
        <v>20870.5</v>
      </c>
      <c r="J1557" s="3">
        <f>IF(G1557="Long",I1557-H1557,IF(G1557="Short",H1557-I1557,0))</f>
        <v/>
      </c>
      <c r="K1557" s="4" t="n">
        <v>79.88</v>
      </c>
      <c r="L1557" s="2" t="inlineStr">
        <is>
          <t>Win</t>
        </is>
      </c>
      <c r="M1557" s="3">
        <f>M1556+J1557</f>
        <v/>
      </c>
    </row>
    <row r="1558">
      <c r="A1558" s="2" t="inlineStr">
        <is>
          <t>2025-01-14</t>
        </is>
      </c>
      <c r="B1558" s="2" t="inlineStr">
        <is>
          <t>Tuesday</t>
        </is>
      </c>
      <c r="C1558" s="2" t="inlineStr">
        <is>
          <t>MNQH5</t>
        </is>
      </c>
      <c r="D1558" s="3" t="n">
        <v>21129.25</v>
      </c>
      <c r="E1558" s="3" t="n">
        <v>21018</v>
      </c>
      <c r="F1558" s="3">
        <f>D1558-E1558</f>
        <v/>
      </c>
      <c r="G1558" s="2" t="inlineStr">
        <is>
          <t>Short</t>
        </is>
      </c>
      <c r="H1558" s="3" t="n">
        <v>21018</v>
      </c>
      <c r="I1558" s="3" t="n">
        <v>20906.75</v>
      </c>
      <c r="J1558" s="3">
        <f>IF(G1558="Long",I1558-H1558,IF(G1558="Short",H1558-I1558,0))</f>
        <v/>
      </c>
      <c r="K1558" s="4" t="n">
        <v>82.92</v>
      </c>
      <c r="L1558" s="2" t="inlineStr">
        <is>
          <t>Win</t>
        </is>
      </c>
      <c r="M1558" s="3">
        <f>M1557+J1558</f>
        <v/>
      </c>
    </row>
    <row r="1559">
      <c r="A1559" s="2" t="inlineStr">
        <is>
          <t>2025-01-15</t>
        </is>
      </c>
      <c r="B1559" s="2" t="inlineStr">
        <is>
          <t>Wednesday</t>
        </is>
      </c>
      <c r="C1559" s="2" t="inlineStr">
        <is>
          <t>MNQH5</t>
        </is>
      </c>
      <c r="D1559" s="3" t="n">
        <v>21307.5</v>
      </c>
      <c r="E1559" s="3" t="n">
        <v>21186.5</v>
      </c>
      <c r="F1559" s="3">
        <f>D1559-E1559</f>
        <v/>
      </c>
      <c r="G1559" s="2" t="inlineStr">
        <is>
          <t>Long</t>
        </is>
      </c>
      <c r="H1559" s="3" t="n">
        <v>21307.5</v>
      </c>
      <c r="I1559" s="3" t="n">
        <v>21428.5</v>
      </c>
      <c r="J1559" s="3">
        <f>IF(G1559="Long",I1559-H1559,IF(G1559="Short",H1559-I1559,0))</f>
        <v/>
      </c>
      <c r="K1559" s="4" t="n">
        <v>50.62</v>
      </c>
      <c r="L1559" s="2" t="inlineStr">
        <is>
          <t>Win</t>
        </is>
      </c>
      <c r="M1559" s="3">
        <f>M1558+J1559</f>
        <v/>
      </c>
    </row>
    <row r="1560">
      <c r="A1560" s="2" t="inlineStr">
        <is>
          <t>2025-01-16</t>
        </is>
      </c>
      <c r="B1560" s="2" t="inlineStr">
        <is>
          <t>Thursday</t>
        </is>
      </c>
      <c r="C1560" s="2" t="inlineStr">
        <is>
          <t>MNQH5</t>
        </is>
      </c>
      <c r="D1560" s="3" t="n">
        <v>21498</v>
      </c>
      <c r="E1560" s="3" t="n">
        <v>21404.5</v>
      </c>
      <c r="F1560" s="3">
        <f>D1560-E1560</f>
        <v/>
      </c>
      <c r="G1560" s="2" t="inlineStr">
        <is>
          <t>Short</t>
        </is>
      </c>
      <c r="H1560" s="3" t="n">
        <v>21404.5</v>
      </c>
      <c r="I1560" s="3" t="n">
        <v>21311</v>
      </c>
      <c r="J1560" s="3">
        <f>IF(G1560="Long",I1560-H1560,IF(G1560="Short",H1560-I1560,0))</f>
        <v/>
      </c>
      <c r="K1560" s="4" t="n">
        <v>74.87</v>
      </c>
      <c r="L1560" s="2" t="inlineStr">
        <is>
          <t>Win</t>
        </is>
      </c>
      <c r="M1560" s="3">
        <f>M1559+J1560</f>
        <v/>
      </c>
    </row>
    <row r="1561">
      <c r="A1561" s="8" t="inlineStr">
        <is>
          <t>2025-01-17</t>
        </is>
      </c>
      <c r="B1561" s="8" t="inlineStr">
        <is>
          <t>Friday</t>
        </is>
      </c>
      <c r="C1561" s="8" t="inlineStr">
        <is>
          <t>MNQH5</t>
        </is>
      </c>
      <c r="D1561" s="9" t="n">
        <v>21653.5</v>
      </c>
      <c r="E1561" s="9" t="n">
        <v>21492.25</v>
      </c>
      <c r="F1561" s="9">
        <f>D1561-E1561</f>
        <v/>
      </c>
      <c r="G1561" s="8" t="inlineStr">
        <is>
          <t>Long</t>
        </is>
      </c>
      <c r="H1561" s="9" t="n">
        <v>21653.5</v>
      </c>
      <c r="I1561" s="9" t="n">
        <v>21600.25</v>
      </c>
      <c r="J1561" s="9">
        <f>IF(G1561="Long",I1561-H1561,IF(G1561="Short",H1561-I1561,0))</f>
        <v/>
      </c>
      <c r="K1561" s="10" t="n">
        <v>45.58</v>
      </c>
      <c r="L1561" s="8" t="inlineStr">
        <is>
          <t>EOD-Close</t>
        </is>
      </c>
      <c r="M1561" s="9">
        <f>M1560+J1561</f>
        <v/>
      </c>
    </row>
    <row r="1562">
      <c r="A1562" s="2" t="inlineStr">
        <is>
          <t>2025-01-20</t>
        </is>
      </c>
      <c r="B1562" s="2" t="inlineStr">
        <is>
          <t>Monday</t>
        </is>
      </c>
      <c r="C1562" s="2" t="inlineStr">
        <is>
          <t>MNQH5</t>
        </is>
      </c>
      <c r="D1562" s="3" t="n">
        <v>21780</v>
      </c>
      <c r="E1562" s="3" t="n">
        <v>21713.25</v>
      </c>
      <c r="F1562" s="3">
        <f>D1562-E1562</f>
        <v/>
      </c>
      <c r="G1562" s="2" t="inlineStr">
        <is>
          <t>Short</t>
        </is>
      </c>
      <c r="H1562" s="3" t="n">
        <v>21713.25</v>
      </c>
      <c r="I1562" s="3" t="n">
        <v>21646.5</v>
      </c>
      <c r="J1562" s="3">
        <f>IF(G1562="Long",I1562-H1562,IF(G1562="Short",H1562-I1562,0))</f>
        <v/>
      </c>
      <c r="K1562" s="4" t="n">
        <v>3</v>
      </c>
      <c r="L1562" s="2" t="inlineStr">
        <is>
          <t>Win</t>
        </is>
      </c>
      <c r="M1562" s="3">
        <f>M1561+J1562</f>
        <v/>
      </c>
    </row>
    <row r="1563">
      <c r="A1563" s="2" t="inlineStr">
        <is>
          <t>2025-01-20</t>
        </is>
      </c>
      <c r="B1563" s="2" t="inlineStr">
        <is>
          <t>Monday</t>
        </is>
      </c>
      <c r="C1563" s="2" t="inlineStr">
        <is>
          <t>MNQH5</t>
        </is>
      </c>
      <c r="D1563" s="3" t="n">
        <v>21780</v>
      </c>
      <c r="E1563" s="3" t="n">
        <v>21713.25</v>
      </c>
      <c r="F1563" s="3">
        <f>D1563-E1563</f>
        <v/>
      </c>
      <c r="G1563" s="2" t="inlineStr">
        <is>
          <t>Short</t>
        </is>
      </c>
      <c r="H1563" s="3" t="n">
        <v>21713.25</v>
      </c>
      <c r="I1563" s="3" t="n">
        <v>21646.5</v>
      </c>
      <c r="J1563" s="3">
        <f>IF(G1563="Long",I1563-H1563,IF(G1563="Short",H1563-I1563,0))</f>
        <v/>
      </c>
      <c r="K1563" s="4" t="n">
        <v>26.22</v>
      </c>
      <c r="L1563" s="2" t="inlineStr">
        <is>
          <t>Win</t>
        </is>
      </c>
      <c r="M1563" s="3">
        <f>M1562+J1563</f>
        <v/>
      </c>
    </row>
    <row r="1564">
      <c r="A1564" s="5" t="inlineStr">
        <is>
          <t>2025-01-21</t>
        </is>
      </c>
      <c r="B1564" s="5" t="inlineStr">
        <is>
          <t>Tuesday</t>
        </is>
      </c>
      <c r="C1564" s="5" t="inlineStr">
        <is>
          <t>MNQH5</t>
        </is>
      </c>
      <c r="D1564" s="6" t="n">
        <v>21718.5</v>
      </c>
      <c r="E1564" s="6" t="n">
        <v>21589.5</v>
      </c>
      <c r="F1564" s="6">
        <f>D1564-E1564</f>
        <v/>
      </c>
      <c r="G1564" s="5" t="inlineStr">
        <is>
          <t>Short</t>
        </is>
      </c>
      <c r="H1564" s="6" t="n">
        <v>21589.5</v>
      </c>
      <c r="I1564" s="6" t="n">
        <v>21718.5</v>
      </c>
      <c r="J1564" s="6">
        <f>IF(G1564="Long",I1564-H1564,IF(G1564="Short",H1564-I1564,0))</f>
        <v/>
      </c>
      <c r="K1564" s="7" t="n">
        <v>100</v>
      </c>
      <c r="L1564" s="5" t="inlineStr">
        <is>
          <t>Loss</t>
        </is>
      </c>
      <c r="M1564" s="6">
        <f>M1563+J1564</f>
        <v/>
      </c>
    </row>
    <row r="1565">
      <c r="A1565" s="8" t="inlineStr">
        <is>
          <t>2025-01-21</t>
        </is>
      </c>
      <c r="B1565" s="8" t="inlineStr">
        <is>
          <t>Tuesday</t>
        </is>
      </c>
      <c r="C1565" s="8" t="inlineStr">
        <is>
          <t>MNQH5</t>
        </is>
      </c>
      <c r="D1565" s="9" t="n">
        <v>21718.5</v>
      </c>
      <c r="E1565" s="9" t="n">
        <v>21589.5</v>
      </c>
      <c r="F1565" s="9">
        <f>D1565-E1565</f>
        <v/>
      </c>
      <c r="G1565" s="8" t="inlineStr">
        <is>
          <t>Long</t>
        </is>
      </c>
      <c r="H1565" s="9" t="n">
        <v>21718.5</v>
      </c>
      <c r="I1565" s="9" t="n">
        <v>21714.5</v>
      </c>
      <c r="J1565" s="9">
        <f>IF(G1565="Long",I1565-H1565,IF(G1565="Short",H1565-I1565,0))</f>
        <v/>
      </c>
      <c r="K1565" s="10" t="n">
        <v>16.47</v>
      </c>
      <c r="L1565" s="8" t="inlineStr">
        <is>
          <t>EOD-Close</t>
        </is>
      </c>
      <c r="M1565" s="9">
        <f>M1564+J1565</f>
        <v/>
      </c>
    </row>
    <row r="1566">
      <c r="A1566" s="2" t="inlineStr">
        <is>
          <t>2025-01-22</t>
        </is>
      </c>
      <c r="B1566" s="2" t="inlineStr">
        <is>
          <t>Wednesday</t>
        </is>
      </c>
      <c r="C1566" s="2" t="inlineStr">
        <is>
          <t>MNQH5</t>
        </is>
      </c>
      <c r="D1566" s="3" t="n">
        <v>21982</v>
      </c>
      <c r="E1566" s="3" t="n">
        <v>21902.5</v>
      </c>
      <c r="F1566" s="3">
        <f>D1566-E1566</f>
        <v/>
      </c>
      <c r="G1566" s="2" t="inlineStr">
        <is>
          <t>Long</t>
        </is>
      </c>
      <c r="H1566" s="3" t="n">
        <v>21982</v>
      </c>
      <c r="I1566" s="3" t="n">
        <v>22061.5</v>
      </c>
      <c r="J1566" s="3">
        <f>IF(G1566="Long",I1566-H1566,IF(G1566="Short",H1566-I1566,0))</f>
        <v/>
      </c>
      <c r="K1566" s="4" t="n">
        <v>8.18</v>
      </c>
      <c r="L1566" s="2" t="inlineStr">
        <is>
          <t>Win</t>
        </is>
      </c>
      <c r="M1566" s="3">
        <f>M1565+J1566</f>
        <v/>
      </c>
    </row>
    <row r="1567">
      <c r="A1567" s="8" t="inlineStr">
        <is>
          <t>2025-01-22</t>
        </is>
      </c>
      <c r="B1567" s="8" t="inlineStr">
        <is>
          <t>Wednesday</t>
        </is>
      </c>
      <c r="C1567" s="8" t="inlineStr">
        <is>
          <t>MNQH5</t>
        </is>
      </c>
      <c r="D1567" s="9" t="n">
        <v>21982</v>
      </c>
      <c r="E1567" s="9" t="n">
        <v>21902.5</v>
      </c>
      <c r="F1567" s="9">
        <f>D1567-E1567</f>
        <v/>
      </c>
      <c r="G1567" s="8" t="inlineStr">
        <is>
          <t>Long</t>
        </is>
      </c>
      <c r="H1567" s="9" t="n">
        <v>21982</v>
      </c>
      <c r="I1567" s="9" t="n">
        <v>21997.25</v>
      </c>
      <c r="J1567" s="9">
        <f>IF(G1567="Long",I1567-H1567,IF(G1567="Short",H1567-I1567,0))</f>
        <v/>
      </c>
      <c r="K1567" s="10" t="n">
        <v>0.31</v>
      </c>
      <c r="L1567" s="8" t="inlineStr">
        <is>
          <t>EOD-Close</t>
        </is>
      </c>
      <c r="M1567" s="9">
        <f>M1566+J1567</f>
        <v/>
      </c>
    </row>
    <row r="1568">
      <c r="A1568" s="2" t="inlineStr">
        <is>
          <t>2025-01-23</t>
        </is>
      </c>
      <c r="B1568" s="2" t="inlineStr">
        <is>
          <t>Thursday</t>
        </is>
      </c>
      <c r="C1568" s="2" t="inlineStr">
        <is>
          <t>MNQH5</t>
        </is>
      </c>
      <c r="D1568" s="3" t="n">
        <v>21915.75</v>
      </c>
      <c r="E1568" s="3" t="n">
        <v>21866</v>
      </c>
      <c r="F1568" s="3">
        <f>D1568-E1568</f>
        <v/>
      </c>
      <c r="G1568" s="2" t="inlineStr">
        <is>
          <t>Long</t>
        </is>
      </c>
      <c r="H1568" s="3" t="n">
        <v>21915.75</v>
      </c>
      <c r="I1568" s="3" t="n">
        <v>21965.5</v>
      </c>
      <c r="J1568" s="3">
        <f>IF(G1568="Long",I1568-H1568,IF(G1568="Short",H1568-I1568,0))</f>
        <v/>
      </c>
      <c r="K1568" s="4" t="n">
        <v>42.21</v>
      </c>
      <c r="L1568" s="2" t="inlineStr">
        <is>
          <t>Win</t>
        </is>
      </c>
      <c r="M1568" s="3">
        <f>M1567+J1568</f>
        <v/>
      </c>
    </row>
    <row r="1569">
      <c r="A1569" s="2" t="inlineStr">
        <is>
          <t>2025-01-23</t>
        </is>
      </c>
      <c r="B1569" s="2" t="inlineStr">
        <is>
          <t>Thursday</t>
        </is>
      </c>
      <c r="C1569" s="2" t="inlineStr">
        <is>
          <t>MNQH5</t>
        </is>
      </c>
      <c r="D1569" s="3" t="n">
        <v>21915.75</v>
      </c>
      <c r="E1569" s="3" t="n">
        <v>21866</v>
      </c>
      <c r="F1569" s="3">
        <f>D1569-E1569</f>
        <v/>
      </c>
      <c r="G1569" s="2" t="inlineStr">
        <is>
          <t>Long</t>
        </is>
      </c>
      <c r="H1569" s="3" t="n">
        <v>21915.75</v>
      </c>
      <c r="I1569" s="3" t="n">
        <v>21965.5</v>
      </c>
      <c r="J1569" s="3">
        <f>IF(G1569="Long",I1569-H1569,IF(G1569="Short",H1569-I1569,0))</f>
        <v/>
      </c>
      <c r="K1569" s="4" t="n">
        <v>31.16</v>
      </c>
      <c r="L1569" s="2" t="inlineStr">
        <is>
          <t>Win</t>
        </is>
      </c>
      <c r="M1569" s="3">
        <f>M1568+J1569</f>
        <v/>
      </c>
    </row>
    <row r="1570">
      <c r="A1570" s="5" t="inlineStr">
        <is>
          <t>2025-01-24</t>
        </is>
      </c>
      <c r="B1570" s="5" t="inlineStr">
        <is>
          <t>Friday</t>
        </is>
      </c>
      <c r="C1570" s="5" t="inlineStr">
        <is>
          <t>MNQH5</t>
        </is>
      </c>
      <c r="D1570" s="6" t="n">
        <v>22052.75</v>
      </c>
      <c r="E1570" s="6" t="n">
        <v>22000</v>
      </c>
      <c r="F1570" s="6">
        <f>D1570-E1570</f>
        <v/>
      </c>
      <c r="G1570" s="5" t="inlineStr">
        <is>
          <t>Long</t>
        </is>
      </c>
      <c r="H1570" s="6" t="n">
        <v>22052.75</v>
      </c>
      <c r="I1570" s="6" t="n">
        <v>22000</v>
      </c>
      <c r="J1570" s="6">
        <f>IF(G1570="Long",I1570-H1570,IF(G1570="Short",H1570-I1570,0))</f>
        <v/>
      </c>
      <c r="K1570" s="7" t="n">
        <v>100</v>
      </c>
      <c r="L1570" s="5" t="inlineStr">
        <is>
          <t>Loss</t>
        </is>
      </c>
      <c r="M1570" s="6">
        <f>M1569+J1570</f>
        <v/>
      </c>
    </row>
    <row r="1571">
      <c r="A1571" s="2" t="inlineStr">
        <is>
          <t>2025-01-24</t>
        </is>
      </c>
      <c r="B1571" s="2" t="inlineStr">
        <is>
          <t>Friday</t>
        </is>
      </c>
      <c r="C1571" s="2" t="inlineStr">
        <is>
          <t>MNQH5</t>
        </is>
      </c>
      <c r="D1571" s="3" t="n">
        <v>22052.75</v>
      </c>
      <c r="E1571" s="3" t="n">
        <v>22000</v>
      </c>
      <c r="F1571" s="3">
        <f>D1571-E1571</f>
        <v/>
      </c>
      <c r="G1571" s="2" t="inlineStr">
        <is>
          <t>Short</t>
        </is>
      </c>
      <c r="H1571" s="3" t="n">
        <v>22000</v>
      </c>
      <c r="I1571" s="3" t="n">
        <v>21947.25</v>
      </c>
      <c r="J1571" s="3">
        <f>IF(G1571="Long",I1571-H1571,IF(G1571="Short",H1571-I1571,0))</f>
        <v/>
      </c>
      <c r="K1571" s="4" t="n">
        <v>67.77</v>
      </c>
      <c r="L1571" s="2" t="inlineStr">
        <is>
          <t>Win</t>
        </is>
      </c>
      <c r="M1571" s="3">
        <f>M1570+J1571</f>
        <v/>
      </c>
    </row>
    <row r="1572">
      <c r="A1572" s="5" t="inlineStr">
        <is>
          <t>2025-01-27</t>
        </is>
      </c>
      <c r="B1572" s="5" t="inlineStr">
        <is>
          <t>Monday</t>
        </is>
      </c>
      <c r="C1572" s="5" t="inlineStr">
        <is>
          <t>MNQH5</t>
        </is>
      </c>
      <c r="D1572" s="6" t="n">
        <v>21303</v>
      </c>
      <c r="E1572" s="6" t="n">
        <v>21108.25</v>
      </c>
      <c r="F1572" s="6">
        <f>D1572-E1572</f>
        <v/>
      </c>
      <c r="G1572" s="5" t="inlineStr">
        <is>
          <t>Long</t>
        </is>
      </c>
      <c r="H1572" s="6" t="n">
        <v>21303</v>
      </c>
      <c r="I1572" s="6" t="n">
        <v>21108.25</v>
      </c>
      <c r="J1572" s="6">
        <f>IF(G1572="Long",I1572-H1572,IF(G1572="Short",H1572-I1572,0))</f>
        <v/>
      </c>
      <c r="K1572" s="7" t="n">
        <v>100</v>
      </c>
      <c r="L1572" s="5" t="inlineStr">
        <is>
          <t>Loss</t>
        </is>
      </c>
      <c r="M1572" s="6">
        <f>M1571+J1572</f>
        <v/>
      </c>
    </row>
    <row r="1573">
      <c r="A1573" s="2" t="inlineStr">
        <is>
          <t>2025-01-28</t>
        </is>
      </c>
      <c r="B1573" s="2" t="inlineStr">
        <is>
          <t>Tuesday</t>
        </is>
      </c>
      <c r="C1573" s="2" t="inlineStr">
        <is>
          <t>MNQH5</t>
        </is>
      </c>
      <c r="D1573" s="3" t="n">
        <v>21319.75</v>
      </c>
      <c r="E1573" s="3" t="n">
        <v>21172.5</v>
      </c>
      <c r="F1573" s="3">
        <f>D1573-E1573</f>
        <v/>
      </c>
      <c r="G1573" s="2" t="inlineStr">
        <is>
          <t>Long</t>
        </is>
      </c>
      <c r="H1573" s="3" t="n">
        <v>21319.75</v>
      </c>
      <c r="I1573" s="3" t="n">
        <v>21467</v>
      </c>
      <c r="J1573" s="3">
        <f>IF(G1573="Long",I1573-H1573,IF(G1573="Short",H1573-I1573,0))</f>
        <v/>
      </c>
      <c r="K1573" s="4" t="n">
        <v>3.9</v>
      </c>
      <c r="L1573" s="2" t="inlineStr">
        <is>
          <t>Win</t>
        </is>
      </c>
      <c r="M1573" s="3">
        <f>M1572+J1573</f>
        <v/>
      </c>
    </row>
    <row r="1574">
      <c r="A1574" s="2" t="inlineStr">
        <is>
          <t>2025-01-29</t>
        </is>
      </c>
      <c r="B1574" s="2" t="inlineStr">
        <is>
          <t>Wednesday</t>
        </is>
      </c>
      <c r="C1574" s="2" t="inlineStr">
        <is>
          <t>MNQH5</t>
        </is>
      </c>
      <c r="D1574" s="3" t="n">
        <v>21606.25</v>
      </c>
      <c r="E1574" s="3" t="n">
        <v>21498.5</v>
      </c>
      <c r="F1574" s="3">
        <f>D1574-E1574</f>
        <v/>
      </c>
      <c r="G1574" s="2" t="inlineStr">
        <is>
          <t>Short</t>
        </is>
      </c>
      <c r="H1574" s="3" t="n">
        <v>21498.5</v>
      </c>
      <c r="I1574" s="3" t="n">
        <v>21390.75</v>
      </c>
      <c r="J1574" s="3">
        <f>IF(G1574="Long",I1574-H1574,IF(G1574="Short",H1574-I1574,0))</f>
        <v/>
      </c>
      <c r="K1574" s="4" t="n">
        <v>44.08</v>
      </c>
      <c r="L1574" s="2" t="inlineStr">
        <is>
          <t>Win</t>
        </is>
      </c>
      <c r="M1574" s="3">
        <f>M1573+J1574</f>
        <v/>
      </c>
    </row>
    <row r="1575">
      <c r="A1575" s="2" t="inlineStr">
        <is>
          <t>2025-01-29</t>
        </is>
      </c>
      <c r="B1575" s="2" t="inlineStr">
        <is>
          <t>Wednesday</t>
        </is>
      </c>
      <c r="C1575" s="2" t="inlineStr">
        <is>
          <t>MNQH5</t>
        </is>
      </c>
      <c r="D1575" s="3" t="n">
        <v>21606.25</v>
      </c>
      <c r="E1575" s="3" t="n">
        <v>21498.5</v>
      </c>
      <c r="F1575" s="3">
        <f>D1575-E1575</f>
        <v/>
      </c>
      <c r="G1575" s="2" t="inlineStr">
        <is>
          <t>Short</t>
        </is>
      </c>
      <c r="H1575" s="3" t="n">
        <v>21498.5</v>
      </c>
      <c r="I1575" s="3" t="n">
        <v>21390.75</v>
      </c>
      <c r="J1575" s="3">
        <f>IF(G1575="Long",I1575-H1575,IF(G1575="Short",H1575-I1575,0))</f>
        <v/>
      </c>
      <c r="K1575" s="4" t="n">
        <v>16.01</v>
      </c>
      <c r="L1575" s="2" t="inlineStr">
        <is>
          <t>Win</t>
        </is>
      </c>
      <c r="M1575" s="3">
        <f>M1574+J1575</f>
        <v/>
      </c>
    </row>
    <row r="1576">
      <c r="A1576" s="2" t="inlineStr">
        <is>
          <t>2025-01-30</t>
        </is>
      </c>
      <c r="B1576" s="2" t="inlineStr">
        <is>
          <t>Thursday</t>
        </is>
      </c>
      <c r="C1576" s="2" t="inlineStr">
        <is>
          <t>MNQH5</t>
        </is>
      </c>
      <c r="D1576" s="3" t="n">
        <v>21668.75</v>
      </c>
      <c r="E1576" s="3" t="n">
        <v>21597.25</v>
      </c>
      <c r="F1576" s="3">
        <f>D1576-E1576</f>
        <v/>
      </c>
      <c r="G1576" s="2" t="inlineStr">
        <is>
          <t>Long</t>
        </is>
      </c>
      <c r="H1576" s="3" t="n">
        <v>21668.75</v>
      </c>
      <c r="I1576" s="3" t="n">
        <v>21740.25</v>
      </c>
      <c r="J1576" s="3">
        <f>IF(G1576="Long",I1576-H1576,IF(G1576="Short",H1576-I1576,0))</f>
        <v/>
      </c>
      <c r="K1576" s="4" t="n">
        <v>0</v>
      </c>
      <c r="L1576" s="2" t="inlineStr">
        <is>
          <t>Win</t>
        </is>
      </c>
      <c r="M1576" s="3">
        <f>M1575+J1576</f>
        <v/>
      </c>
    </row>
    <row r="1577">
      <c r="A1577" s="5" t="inlineStr">
        <is>
          <t>2025-01-30</t>
        </is>
      </c>
      <c r="B1577" s="5" t="inlineStr">
        <is>
          <t>Thursday</t>
        </is>
      </c>
      <c r="C1577" s="5" t="inlineStr">
        <is>
          <t>MNQH5</t>
        </is>
      </c>
      <c r="D1577" s="6" t="n">
        <v>21668.75</v>
      </c>
      <c r="E1577" s="6" t="n">
        <v>21597.25</v>
      </c>
      <c r="F1577" s="6">
        <f>D1577-E1577</f>
        <v/>
      </c>
      <c r="G1577" s="5" t="inlineStr">
        <is>
          <t>Long</t>
        </is>
      </c>
      <c r="H1577" s="6" t="n">
        <v>21668.75</v>
      </c>
      <c r="I1577" s="6" t="n">
        <v>21597.25</v>
      </c>
      <c r="J1577" s="6">
        <f>IF(G1577="Long",I1577-H1577,IF(G1577="Short",H1577-I1577,0))</f>
        <v/>
      </c>
      <c r="K1577" s="7" t="n">
        <v>100</v>
      </c>
      <c r="L1577" s="5" t="inlineStr">
        <is>
          <t>Loss</t>
        </is>
      </c>
      <c r="M1577" s="6">
        <f>M1576+J1577</f>
        <v/>
      </c>
    </row>
    <row r="1578">
      <c r="A1578" s="2" t="inlineStr">
        <is>
          <t>2025-01-31</t>
        </is>
      </c>
      <c r="B1578" s="2" t="inlineStr">
        <is>
          <t>Friday</t>
        </is>
      </c>
      <c r="C1578" s="2" t="inlineStr">
        <is>
          <t>MNQH5</t>
        </is>
      </c>
      <c r="D1578" s="3" t="n">
        <v>21838.25</v>
      </c>
      <c r="E1578" s="3" t="n">
        <v>21764</v>
      </c>
      <c r="F1578" s="3">
        <f>D1578-E1578</f>
        <v/>
      </c>
      <c r="G1578" s="2" t="inlineStr">
        <is>
          <t>Long</t>
        </is>
      </c>
      <c r="H1578" s="3" t="n">
        <v>21838.25</v>
      </c>
      <c r="I1578" s="3" t="n">
        <v>21912.5</v>
      </c>
      <c r="J1578" s="3">
        <f>IF(G1578="Long",I1578-H1578,IF(G1578="Short",H1578-I1578,0))</f>
        <v/>
      </c>
      <c r="K1578" s="4" t="n">
        <v>12.46</v>
      </c>
      <c r="L1578" s="2" t="inlineStr">
        <is>
          <t>Win</t>
        </is>
      </c>
      <c r="M1578" s="3">
        <f>M1577+J1578</f>
        <v/>
      </c>
    </row>
    <row r="1579">
      <c r="A1579" s="5" t="inlineStr">
        <is>
          <t>2025-01-31</t>
        </is>
      </c>
      <c r="B1579" s="5" t="inlineStr">
        <is>
          <t>Friday</t>
        </is>
      </c>
      <c r="C1579" s="5" t="inlineStr">
        <is>
          <t>MNQH5</t>
        </is>
      </c>
      <c r="D1579" s="6" t="n">
        <v>21838.25</v>
      </c>
      <c r="E1579" s="6" t="n">
        <v>21764</v>
      </c>
      <c r="F1579" s="6">
        <f>D1579-E1579</f>
        <v/>
      </c>
      <c r="G1579" s="5" t="inlineStr">
        <is>
          <t>Long</t>
        </is>
      </c>
      <c r="H1579" s="6" t="n">
        <v>21838.25</v>
      </c>
      <c r="I1579" s="6" t="n">
        <v>21764</v>
      </c>
      <c r="J1579" s="6">
        <f>IF(G1579="Long",I1579-H1579,IF(G1579="Short",H1579-I1579,0))</f>
        <v/>
      </c>
      <c r="K1579" s="7" t="n">
        <v>100</v>
      </c>
      <c r="L1579" s="5" t="inlineStr">
        <is>
          <t>Loss</t>
        </is>
      </c>
      <c r="M1579" s="6">
        <f>M1578+J1579</f>
        <v/>
      </c>
    </row>
    <row r="1580">
      <c r="A1580" s="5" t="inlineStr">
        <is>
          <t>2025-02-03</t>
        </is>
      </c>
      <c r="B1580" s="5" t="inlineStr">
        <is>
          <t>Monday</t>
        </is>
      </c>
      <c r="C1580" s="5" t="inlineStr">
        <is>
          <t>MNQH5</t>
        </is>
      </c>
      <c r="D1580" s="6" t="n">
        <v>21314.75</v>
      </c>
      <c r="E1580" s="6" t="n">
        <v>21177.75</v>
      </c>
      <c r="F1580" s="6">
        <f>D1580-E1580</f>
        <v/>
      </c>
      <c r="G1580" s="5" t="inlineStr">
        <is>
          <t>Short</t>
        </is>
      </c>
      <c r="H1580" s="6" t="n">
        <v>21177.75</v>
      </c>
      <c r="I1580" s="6" t="n">
        <v>21314.75</v>
      </c>
      <c r="J1580" s="6">
        <f>IF(G1580="Long",I1580-H1580,IF(G1580="Short",H1580-I1580,0))</f>
        <v/>
      </c>
      <c r="K1580" s="7" t="n">
        <v>100</v>
      </c>
      <c r="L1580" s="5" t="inlineStr">
        <is>
          <t>Loss</t>
        </is>
      </c>
      <c r="M1580" s="6">
        <f>M1579+J1580</f>
        <v/>
      </c>
    </row>
    <row r="1581">
      <c r="A1581" s="2" t="inlineStr">
        <is>
          <t>2025-02-03</t>
        </is>
      </c>
      <c r="B1581" s="2" t="inlineStr">
        <is>
          <t>Monday</t>
        </is>
      </c>
      <c r="C1581" s="2" t="inlineStr">
        <is>
          <t>MNQH5</t>
        </is>
      </c>
      <c r="D1581" s="3" t="n">
        <v>21314.75</v>
      </c>
      <c r="E1581" s="3" t="n">
        <v>21177.75</v>
      </c>
      <c r="F1581" s="3">
        <f>D1581-E1581</f>
        <v/>
      </c>
      <c r="G1581" s="2" t="inlineStr">
        <is>
          <t>Long</t>
        </is>
      </c>
      <c r="H1581" s="3" t="n">
        <v>21314.75</v>
      </c>
      <c r="I1581" s="3" t="n">
        <v>21451.75</v>
      </c>
      <c r="J1581" s="3">
        <f>IF(G1581="Long",I1581-H1581,IF(G1581="Short",H1581-I1581,0))</f>
        <v/>
      </c>
      <c r="K1581" s="4" t="n">
        <v>0</v>
      </c>
      <c r="L1581" s="2" t="inlineStr">
        <is>
          <t>Win</t>
        </is>
      </c>
      <c r="M1581" s="3">
        <f>M1580+J1581</f>
        <v/>
      </c>
    </row>
    <row r="1582">
      <c r="A1582" s="2" t="inlineStr">
        <is>
          <t>2025-02-04</t>
        </is>
      </c>
      <c r="B1582" s="2" t="inlineStr">
        <is>
          <t>Tuesday</t>
        </is>
      </c>
      <c r="C1582" s="2" t="inlineStr">
        <is>
          <t>MNQH5</t>
        </is>
      </c>
      <c r="D1582" s="3" t="n">
        <v>21523.5</v>
      </c>
      <c r="E1582" s="3" t="n">
        <v>21405</v>
      </c>
      <c r="F1582" s="3">
        <f>D1582-E1582</f>
        <v/>
      </c>
      <c r="G1582" s="2" t="inlineStr">
        <is>
          <t>Long</t>
        </is>
      </c>
      <c r="H1582" s="3" t="n">
        <v>21523.5</v>
      </c>
      <c r="I1582" s="3" t="n">
        <v>21642</v>
      </c>
      <c r="J1582" s="3">
        <f>IF(G1582="Long",I1582-H1582,IF(G1582="Short",H1582-I1582,0))</f>
        <v/>
      </c>
      <c r="K1582" s="4" t="n">
        <v>0</v>
      </c>
      <c r="L1582" s="2" t="inlineStr">
        <is>
          <t>Win</t>
        </is>
      </c>
      <c r="M1582" s="3">
        <f>M1581+J1582</f>
        <v/>
      </c>
    </row>
    <row r="1583">
      <c r="A1583" s="5" t="inlineStr">
        <is>
          <t>2025-02-05</t>
        </is>
      </c>
      <c r="B1583" s="5" t="inlineStr">
        <is>
          <t>Wednesday</t>
        </is>
      </c>
      <c r="C1583" s="5" t="inlineStr">
        <is>
          <t>MNQH5</t>
        </is>
      </c>
      <c r="D1583" s="6" t="n">
        <v>21587.75</v>
      </c>
      <c r="E1583" s="6" t="n">
        <v>21519</v>
      </c>
      <c r="F1583" s="6">
        <f>D1583-E1583</f>
        <v/>
      </c>
      <c r="G1583" s="5" t="inlineStr">
        <is>
          <t>Short</t>
        </is>
      </c>
      <c r="H1583" s="6" t="n">
        <v>21519</v>
      </c>
      <c r="I1583" s="6" t="n">
        <v>21587.75</v>
      </c>
      <c r="J1583" s="6">
        <f>IF(G1583="Long",I1583-H1583,IF(G1583="Short",H1583-I1583,0))</f>
        <v/>
      </c>
      <c r="K1583" s="7" t="n">
        <v>100</v>
      </c>
      <c r="L1583" s="5" t="inlineStr">
        <is>
          <t>Loss</t>
        </is>
      </c>
      <c r="M1583" s="6">
        <f>M1582+J1583</f>
        <v/>
      </c>
    </row>
    <row r="1584">
      <c r="A1584" s="2" t="inlineStr">
        <is>
          <t>2025-02-05</t>
        </is>
      </c>
      <c r="B1584" s="2" t="inlineStr">
        <is>
          <t>Wednesday</t>
        </is>
      </c>
      <c r="C1584" s="2" t="inlineStr">
        <is>
          <t>MNQH5</t>
        </is>
      </c>
      <c r="D1584" s="3" t="n">
        <v>21587.75</v>
      </c>
      <c r="E1584" s="3" t="n">
        <v>21519</v>
      </c>
      <c r="F1584" s="3">
        <f>D1584-E1584</f>
        <v/>
      </c>
      <c r="G1584" s="2" t="inlineStr">
        <is>
          <t>Long</t>
        </is>
      </c>
      <c r="H1584" s="3" t="n">
        <v>21587.75</v>
      </c>
      <c r="I1584" s="3" t="n">
        <v>21656.5</v>
      </c>
      <c r="J1584" s="3">
        <f>IF(G1584="Long",I1584-H1584,IF(G1584="Short",H1584-I1584,0))</f>
        <v/>
      </c>
      <c r="K1584" s="4" t="n">
        <v>37.45</v>
      </c>
      <c r="L1584" s="2" t="inlineStr">
        <is>
          <t>Win</t>
        </is>
      </c>
      <c r="M1584" s="3">
        <f>M1583+J1584</f>
        <v/>
      </c>
    </row>
    <row r="1585">
      <c r="A1585" s="2" t="inlineStr">
        <is>
          <t>2025-02-06</t>
        </is>
      </c>
      <c r="B1585" s="2" t="inlineStr">
        <is>
          <t>Thursday</t>
        </is>
      </c>
      <c r="C1585" s="2" t="inlineStr">
        <is>
          <t>MNQH5</t>
        </is>
      </c>
      <c r="D1585" s="3" t="n">
        <v>21790</v>
      </c>
      <c r="E1585" s="3" t="n">
        <v>21738</v>
      </c>
      <c r="F1585" s="3">
        <f>D1585-E1585</f>
        <v/>
      </c>
      <c r="G1585" s="2" t="inlineStr">
        <is>
          <t>Long</t>
        </is>
      </c>
      <c r="H1585" s="3" t="n">
        <v>21790</v>
      </c>
      <c r="I1585" s="3" t="n">
        <v>21842</v>
      </c>
      <c r="J1585" s="3">
        <f>IF(G1585="Long",I1585-H1585,IF(G1585="Short",H1585-I1585,0))</f>
        <v/>
      </c>
      <c r="K1585" s="4" t="n">
        <v>48.56</v>
      </c>
      <c r="L1585" s="2" t="inlineStr">
        <is>
          <t>Win</t>
        </is>
      </c>
      <c r="M1585" s="3">
        <f>M1584+J1585</f>
        <v/>
      </c>
    </row>
    <row r="1586">
      <c r="A1586" s="5" t="inlineStr">
        <is>
          <t>2025-02-06</t>
        </is>
      </c>
      <c r="B1586" s="5" t="inlineStr">
        <is>
          <t>Thursday</t>
        </is>
      </c>
      <c r="C1586" s="5" t="inlineStr">
        <is>
          <t>MNQH5</t>
        </is>
      </c>
      <c r="D1586" s="6" t="n">
        <v>21790</v>
      </c>
      <c r="E1586" s="6" t="n">
        <v>21738</v>
      </c>
      <c r="F1586" s="6">
        <f>D1586-E1586</f>
        <v/>
      </c>
      <c r="G1586" s="5" t="inlineStr">
        <is>
          <t>Long</t>
        </is>
      </c>
      <c r="H1586" s="6" t="n">
        <v>21790</v>
      </c>
      <c r="I1586" s="6" t="n">
        <v>21738</v>
      </c>
      <c r="J1586" s="6">
        <f>IF(G1586="Long",I1586-H1586,IF(G1586="Short",H1586-I1586,0))</f>
        <v/>
      </c>
      <c r="K1586" s="7" t="n">
        <v>100</v>
      </c>
      <c r="L1586" s="5" t="inlineStr">
        <is>
          <t>Loss</t>
        </is>
      </c>
      <c r="M1586" s="6">
        <f>M1585+J1586</f>
        <v/>
      </c>
    </row>
    <row r="1587">
      <c r="A1587" s="2" t="inlineStr">
        <is>
          <t>2025-02-07</t>
        </is>
      </c>
      <c r="B1587" s="2" t="inlineStr">
        <is>
          <t>Friday</t>
        </is>
      </c>
      <c r="C1587" s="2" t="inlineStr">
        <is>
          <t>MNQH5</t>
        </is>
      </c>
      <c r="D1587" s="3" t="n">
        <v>21967.75</v>
      </c>
      <c r="E1587" s="3" t="n">
        <v>21869.5</v>
      </c>
      <c r="F1587" s="3">
        <f>D1587-E1587</f>
        <v/>
      </c>
      <c r="G1587" s="2" t="inlineStr">
        <is>
          <t>Short</t>
        </is>
      </c>
      <c r="H1587" s="3" t="n">
        <v>21869.5</v>
      </c>
      <c r="I1587" s="3" t="n">
        <v>21771.25</v>
      </c>
      <c r="J1587" s="3">
        <f>IF(G1587="Long",I1587-H1587,IF(G1587="Short",H1587-I1587,0))</f>
        <v/>
      </c>
      <c r="K1587" s="4" t="n">
        <v>0</v>
      </c>
      <c r="L1587" s="2" t="inlineStr">
        <is>
          <t>Win</t>
        </is>
      </c>
      <c r="M1587" s="3">
        <f>M1586+J1587</f>
        <v/>
      </c>
    </row>
    <row r="1588">
      <c r="A1588" s="2" t="inlineStr">
        <is>
          <t>2025-02-10</t>
        </is>
      </c>
      <c r="B1588" s="2" t="inlineStr">
        <is>
          <t>Monday</t>
        </is>
      </c>
      <c r="C1588" s="2" t="inlineStr">
        <is>
          <t>MNQH5</t>
        </is>
      </c>
      <c r="D1588" s="3" t="n">
        <v>21803</v>
      </c>
      <c r="E1588" s="3" t="n">
        <v>21742.25</v>
      </c>
      <c r="F1588" s="3">
        <f>D1588-E1588</f>
        <v/>
      </c>
      <c r="G1588" s="2" t="inlineStr">
        <is>
          <t>Long</t>
        </is>
      </c>
      <c r="H1588" s="3" t="n">
        <v>21803</v>
      </c>
      <c r="I1588" s="3" t="n">
        <v>21863.75</v>
      </c>
      <c r="J1588" s="3">
        <f>IF(G1588="Long",I1588-H1588,IF(G1588="Short",H1588-I1588,0))</f>
        <v/>
      </c>
      <c r="K1588" s="4" t="n">
        <v>0</v>
      </c>
      <c r="L1588" s="2" t="inlineStr">
        <is>
          <t>Win</t>
        </is>
      </c>
      <c r="M1588" s="3">
        <f>M1587+J1588</f>
        <v/>
      </c>
    </row>
    <row r="1589">
      <c r="A1589" s="8" t="inlineStr">
        <is>
          <t>2025-02-11</t>
        </is>
      </c>
      <c r="B1589" s="8" t="inlineStr">
        <is>
          <t>Tuesday</t>
        </is>
      </c>
      <c r="C1589" s="8" t="inlineStr">
        <is>
          <t>MNQH5</t>
        </is>
      </c>
      <c r="D1589" s="9" t="n">
        <v>21797</v>
      </c>
      <c r="E1589" s="9" t="n">
        <v>21700.25</v>
      </c>
      <c r="F1589" s="9">
        <f>D1589-E1589</f>
        <v/>
      </c>
      <c r="G1589" s="8" t="inlineStr">
        <is>
          <t>Long</t>
        </is>
      </c>
      <c r="H1589" s="9" t="n">
        <v>21797</v>
      </c>
      <c r="I1589" s="9" t="n">
        <v>21790.25</v>
      </c>
      <c r="J1589" s="9">
        <f>IF(G1589="Long",I1589-H1589,IF(G1589="Short",H1589-I1589,0))</f>
        <v/>
      </c>
      <c r="K1589" s="10" t="n">
        <v>83.98</v>
      </c>
      <c r="L1589" s="8" t="inlineStr">
        <is>
          <t>EOD-Close</t>
        </is>
      </c>
      <c r="M1589" s="9">
        <f>M1588+J1589</f>
        <v/>
      </c>
    </row>
    <row r="1590">
      <c r="A1590" s="2" t="inlineStr">
        <is>
          <t>2025-02-12</t>
        </is>
      </c>
      <c r="B1590" s="2" t="inlineStr">
        <is>
          <t>Wednesday</t>
        </is>
      </c>
      <c r="C1590" s="2" t="inlineStr">
        <is>
          <t>MNQH5</t>
        </is>
      </c>
      <c r="D1590" s="3" t="n">
        <v>21667.75</v>
      </c>
      <c r="E1590" s="3" t="n">
        <v>21535.75</v>
      </c>
      <c r="F1590" s="3">
        <f>D1590-E1590</f>
        <v/>
      </c>
      <c r="G1590" s="2" t="inlineStr">
        <is>
          <t>Long</t>
        </is>
      </c>
      <c r="H1590" s="3" t="n">
        <v>21667.75</v>
      </c>
      <c r="I1590" s="3" t="n">
        <v>21799.75</v>
      </c>
      <c r="J1590" s="3">
        <f>IF(G1590="Long",I1590-H1590,IF(G1590="Short",H1590-I1590,0))</f>
        <v/>
      </c>
      <c r="K1590" s="4" t="n">
        <v>66.09999999999999</v>
      </c>
      <c r="L1590" s="2" t="inlineStr">
        <is>
          <t>Win</t>
        </is>
      </c>
      <c r="M1590" s="3">
        <f>M1589+J1590</f>
        <v/>
      </c>
    </row>
    <row r="1591">
      <c r="A1591" s="2" t="inlineStr">
        <is>
          <t>2025-02-13</t>
        </is>
      </c>
      <c r="B1591" s="2" t="inlineStr">
        <is>
          <t>Thursday</t>
        </is>
      </c>
      <c r="C1591" s="2" t="inlineStr">
        <is>
          <t>MNQH5</t>
        </is>
      </c>
      <c r="D1591" s="3" t="n">
        <v>21951</v>
      </c>
      <c r="E1591" s="3" t="n">
        <v>21835</v>
      </c>
      <c r="F1591" s="3">
        <f>D1591-E1591</f>
        <v/>
      </c>
      <c r="G1591" s="2" t="inlineStr">
        <is>
          <t>Long</t>
        </is>
      </c>
      <c r="H1591" s="3" t="n">
        <v>21951</v>
      </c>
      <c r="I1591" s="3" t="n">
        <v>22067</v>
      </c>
      <c r="J1591" s="3">
        <f>IF(G1591="Long",I1591-H1591,IF(G1591="Short",H1591-I1591,0))</f>
        <v/>
      </c>
      <c r="K1591" s="4" t="n">
        <v>52.16</v>
      </c>
      <c r="L1591" s="2" t="inlineStr">
        <is>
          <t>Win</t>
        </is>
      </c>
      <c r="M1591" s="3">
        <f>M1590+J1591</f>
        <v/>
      </c>
    </row>
    <row r="1592">
      <c r="A1592" s="2" t="inlineStr">
        <is>
          <t>2025-02-14</t>
        </is>
      </c>
      <c r="B1592" s="2" t="inlineStr">
        <is>
          <t>Friday</t>
        </is>
      </c>
      <c r="C1592" s="2" t="inlineStr">
        <is>
          <t>MNQH5</t>
        </is>
      </c>
      <c r="D1592" s="3" t="n">
        <v>22138</v>
      </c>
      <c r="E1592" s="3" t="n">
        <v>22088</v>
      </c>
      <c r="F1592" s="3">
        <f>D1592-E1592</f>
        <v/>
      </c>
      <c r="G1592" s="2" t="inlineStr">
        <is>
          <t>Long</t>
        </is>
      </c>
      <c r="H1592" s="3" t="n">
        <v>22138</v>
      </c>
      <c r="I1592" s="3" t="n">
        <v>22188</v>
      </c>
      <c r="J1592" s="3">
        <f>IF(G1592="Long",I1592-H1592,IF(G1592="Short",H1592-I1592,0))</f>
        <v/>
      </c>
      <c r="K1592" s="4" t="n">
        <v>92.5</v>
      </c>
      <c r="L1592" s="2" t="inlineStr">
        <is>
          <t>Win</t>
        </is>
      </c>
      <c r="M1592" s="3">
        <f>M1591+J1592</f>
        <v/>
      </c>
    </row>
    <row r="1593">
      <c r="A1593" s="8" t="inlineStr">
        <is>
          <t>2025-02-17</t>
        </is>
      </c>
      <c r="B1593" s="8" t="inlineStr">
        <is>
          <t>Monday</t>
        </is>
      </c>
      <c r="C1593" s="8" t="inlineStr">
        <is>
          <t>MNQH5</t>
        </is>
      </c>
      <c r="D1593" s="9" t="n">
        <v>22242</v>
      </c>
      <c r="E1593" s="9" t="n">
        <v>22192</v>
      </c>
      <c r="F1593" s="9">
        <f>D1593-E1593</f>
        <v/>
      </c>
      <c r="G1593" s="8" t="inlineStr">
        <is>
          <t>Long</t>
        </is>
      </c>
      <c r="H1593" s="9" t="n">
        <v>22242</v>
      </c>
      <c r="I1593" s="9" t="n">
        <v>22235.25</v>
      </c>
      <c r="J1593" s="9">
        <f>IF(G1593="Long",I1593-H1593,IF(G1593="Short",H1593-I1593,0))</f>
        <v/>
      </c>
      <c r="K1593" s="10" t="n">
        <v>39.5</v>
      </c>
      <c r="L1593" s="8" t="inlineStr">
        <is>
          <t>EOD-Close</t>
        </is>
      </c>
      <c r="M1593" s="9">
        <f>M1592+J1593</f>
        <v/>
      </c>
    </row>
    <row r="1594">
      <c r="A1594" s="2" t="inlineStr">
        <is>
          <t>2025-02-18</t>
        </is>
      </c>
      <c r="B1594" s="2" t="inlineStr">
        <is>
          <t>Tuesday</t>
        </is>
      </c>
      <c r="C1594" s="2" t="inlineStr">
        <is>
          <t>MNQH5</t>
        </is>
      </c>
      <c r="D1594" s="3" t="n">
        <v>22268</v>
      </c>
      <c r="E1594" s="3" t="n">
        <v>22211</v>
      </c>
      <c r="F1594" s="3">
        <f>D1594-E1594</f>
        <v/>
      </c>
      <c r="G1594" s="2" t="inlineStr">
        <is>
          <t>Short</t>
        </is>
      </c>
      <c r="H1594" s="3" t="n">
        <v>22211</v>
      </c>
      <c r="I1594" s="3" t="n">
        <v>22154</v>
      </c>
      <c r="J1594" s="3">
        <f>IF(G1594="Long",I1594-H1594,IF(G1594="Short",H1594-I1594,0))</f>
        <v/>
      </c>
      <c r="K1594" s="4" t="n">
        <v>23.68</v>
      </c>
      <c r="L1594" s="2" t="inlineStr">
        <is>
          <t>Win</t>
        </is>
      </c>
      <c r="M1594" s="3">
        <f>M1593+J1594</f>
        <v/>
      </c>
    </row>
    <row r="1595">
      <c r="A1595" s="2" t="inlineStr">
        <is>
          <t>2025-02-18</t>
        </is>
      </c>
      <c r="B1595" s="2" t="inlineStr">
        <is>
          <t>Tuesday</t>
        </is>
      </c>
      <c r="C1595" s="2" t="inlineStr">
        <is>
          <t>MNQH5</t>
        </is>
      </c>
      <c r="D1595" s="3" t="n">
        <v>22268</v>
      </c>
      <c r="E1595" s="3" t="n">
        <v>22211</v>
      </c>
      <c r="F1595" s="3">
        <f>D1595-E1595</f>
        <v/>
      </c>
      <c r="G1595" s="2" t="inlineStr">
        <is>
          <t>Short</t>
        </is>
      </c>
      <c r="H1595" s="3" t="n">
        <v>22211</v>
      </c>
      <c r="I1595" s="3" t="n">
        <v>22154</v>
      </c>
      <c r="J1595" s="3">
        <f>IF(G1595="Long",I1595-H1595,IF(G1595="Short",H1595-I1595,0))</f>
        <v/>
      </c>
      <c r="K1595" s="4" t="n">
        <v>8.33</v>
      </c>
      <c r="L1595" s="2" t="inlineStr">
        <is>
          <t>Win</t>
        </is>
      </c>
      <c r="M1595" s="3">
        <f>M1594+J1595</f>
        <v/>
      </c>
    </row>
    <row r="1596">
      <c r="A1596" s="2" t="inlineStr">
        <is>
          <t>2025-02-19</t>
        </is>
      </c>
      <c r="B1596" s="2" t="inlineStr">
        <is>
          <t>Wednesday</t>
        </is>
      </c>
      <c r="C1596" s="2" t="inlineStr">
        <is>
          <t>MNQH5</t>
        </is>
      </c>
      <c r="D1596" s="3" t="n">
        <v>22221.5</v>
      </c>
      <c r="E1596" s="3" t="n">
        <v>22172.75</v>
      </c>
      <c r="F1596" s="3">
        <f>D1596-E1596</f>
        <v/>
      </c>
      <c r="G1596" s="2" t="inlineStr">
        <is>
          <t>Short</t>
        </is>
      </c>
      <c r="H1596" s="3" t="n">
        <v>22172.75</v>
      </c>
      <c r="I1596" s="3" t="n">
        <v>22124</v>
      </c>
      <c r="J1596" s="3">
        <f>IF(G1596="Long",I1596-H1596,IF(G1596="Short",H1596-I1596,0))</f>
        <v/>
      </c>
      <c r="K1596" s="4" t="n">
        <v>40</v>
      </c>
      <c r="L1596" s="2" t="inlineStr">
        <is>
          <t>Win</t>
        </is>
      </c>
      <c r="M1596" s="3">
        <f>M1595+J1596</f>
        <v/>
      </c>
    </row>
    <row r="1597">
      <c r="A1597" s="5" t="inlineStr">
        <is>
          <t>2025-02-19</t>
        </is>
      </c>
      <c r="B1597" s="5" t="inlineStr">
        <is>
          <t>Wednesday</t>
        </is>
      </c>
      <c r="C1597" s="5" t="inlineStr">
        <is>
          <t>MNQH5</t>
        </is>
      </c>
      <c r="D1597" s="6" t="n">
        <v>22221.5</v>
      </c>
      <c r="E1597" s="6" t="n">
        <v>22172.75</v>
      </c>
      <c r="F1597" s="6">
        <f>D1597-E1597</f>
        <v/>
      </c>
      <c r="G1597" s="5" t="inlineStr">
        <is>
          <t>Short</t>
        </is>
      </c>
      <c r="H1597" s="6" t="n">
        <v>22172.75</v>
      </c>
      <c r="I1597" s="6" t="n">
        <v>22221.5</v>
      </c>
      <c r="J1597" s="6">
        <f>IF(G1597="Long",I1597-H1597,IF(G1597="Short",H1597-I1597,0))</f>
        <v/>
      </c>
      <c r="K1597" s="7" t="n">
        <v>100</v>
      </c>
      <c r="L1597" s="5" t="inlineStr">
        <is>
          <t>Loss</t>
        </is>
      </c>
      <c r="M1597" s="6">
        <f>M1596+J1597</f>
        <v/>
      </c>
    </row>
    <row r="1598">
      <c r="A1598" s="2" t="inlineStr">
        <is>
          <t>2025-02-20</t>
        </is>
      </c>
      <c r="B1598" s="2" t="inlineStr">
        <is>
          <t>Thursday</t>
        </is>
      </c>
      <c r="C1598" s="2" t="inlineStr">
        <is>
          <t>MNQH5</t>
        </is>
      </c>
      <c r="D1598" s="3" t="n">
        <v>22227</v>
      </c>
      <c r="E1598" s="3" t="n">
        <v>22166</v>
      </c>
      <c r="F1598" s="3">
        <f>D1598-E1598</f>
        <v/>
      </c>
      <c r="G1598" s="2" t="inlineStr">
        <is>
          <t>Short</t>
        </is>
      </c>
      <c r="H1598" s="3" t="n">
        <v>22166</v>
      </c>
      <c r="I1598" s="3" t="n">
        <v>22105</v>
      </c>
      <c r="J1598" s="3">
        <f>IF(G1598="Long",I1598-H1598,IF(G1598="Short",H1598-I1598,0))</f>
        <v/>
      </c>
      <c r="K1598" s="4" t="n">
        <v>0</v>
      </c>
      <c r="L1598" s="2" t="inlineStr">
        <is>
          <t>Win</t>
        </is>
      </c>
      <c r="M1598" s="3">
        <f>M1597+J1598</f>
        <v/>
      </c>
    </row>
    <row r="1599">
      <c r="A1599" s="2" t="inlineStr">
        <is>
          <t>2025-02-21</t>
        </is>
      </c>
      <c r="B1599" s="2" t="inlineStr">
        <is>
          <t>Friday</t>
        </is>
      </c>
      <c r="C1599" s="2" t="inlineStr">
        <is>
          <t>MNQH5</t>
        </is>
      </c>
      <c r="D1599" s="3" t="n">
        <v>22188</v>
      </c>
      <c r="E1599" s="3" t="n">
        <v>22096.75</v>
      </c>
      <c r="F1599" s="3">
        <f>D1599-E1599</f>
        <v/>
      </c>
      <c r="G1599" s="2" t="inlineStr">
        <is>
          <t>Short</t>
        </is>
      </c>
      <c r="H1599" s="3" t="n">
        <v>22096.75</v>
      </c>
      <c r="I1599" s="3" t="n">
        <v>22005.5</v>
      </c>
      <c r="J1599" s="3">
        <f>IF(G1599="Long",I1599-H1599,IF(G1599="Short",H1599-I1599,0))</f>
        <v/>
      </c>
      <c r="K1599" s="4" t="n">
        <v>16.16</v>
      </c>
      <c r="L1599" s="2" t="inlineStr">
        <is>
          <t>Win</t>
        </is>
      </c>
      <c r="M1599" s="3">
        <f>M1598+J1599</f>
        <v/>
      </c>
    </row>
    <row r="1600">
      <c r="A1600" s="2" t="inlineStr">
        <is>
          <t>2025-02-24</t>
        </is>
      </c>
      <c r="B1600" s="2" t="inlineStr">
        <is>
          <t>Monday</t>
        </is>
      </c>
      <c r="C1600" s="2" t="inlineStr">
        <is>
          <t>MNQH5</t>
        </is>
      </c>
      <c r="D1600" s="3" t="n">
        <v>21801.75</v>
      </c>
      <c r="E1600" s="3" t="n">
        <v>21684</v>
      </c>
      <c r="F1600" s="3">
        <f>D1600-E1600</f>
        <v/>
      </c>
      <c r="G1600" s="2" t="inlineStr">
        <is>
          <t>Short</t>
        </is>
      </c>
      <c r="H1600" s="3" t="n">
        <v>21684</v>
      </c>
      <c r="I1600" s="3" t="n">
        <v>21566.25</v>
      </c>
      <c r="J1600" s="3">
        <f>IF(G1600="Long",I1600-H1600,IF(G1600="Short",H1600-I1600,0))</f>
        <v/>
      </c>
      <c r="K1600" s="4" t="n">
        <v>0</v>
      </c>
      <c r="L1600" s="2" t="inlineStr">
        <is>
          <t>Win</t>
        </is>
      </c>
      <c r="M1600" s="3">
        <f>M1599+J1600</f>
        <v/>
      </c>
    </row>
    <row r="1601">
      <c r="A1601" s="2" t="inlineStr">
        <is>
          <t>2025-02-25</t>
        </is>
      </c>
      <c r="B1601" s="2" t="inlineStr">
        <is>
          <t>Tuesday</t>
        </is>
      </c>
      <c r="C1601" s="2" t="inlineStr">
        <is>
          <t>MNQH5</t>
        </is>
      </c>
      <c r="D1601" s="3" t="n">
        <v>21397.5</v>
      </c>
      <c r="E1601" s="3" t="n">
        <v>21311</v>
      </c>
      <c r="F1601" s="3">
        <f>D1601-E1601</f>
        <v/>
      </c>
      <c r="G1601" s="2" t="inlineStr">
        <is>
          <t>Short</t>
        </is>
      </c>
      <c r="H1601" s="3" t="n">
        <v>21311</v>
      </c>
      <c r="I1601" s="3" t="n">
        <v>21224.5</v>
      </c>
      <c r="J1601" s="3">
        <f>IF(G1601="Long",I1601-H1601,IF(G1601="Short",H1601-I1601,0))</f>
        <v/>
      </c>
      <c r="K1601" s="4" t="n">
        <v>0</v>
      </c>
      <c r="L1601" s="2" t="inlineStr">
        <is>
          <t>Win</t>
        </is>
      </c>
      <c r="M1601" s="3">
        <f>M1600+J1601</f>
        <v/>
      </c>
    </row>
    <row r="1602">
      <c r="A1602" s="2" t="inlineStr">
        <is>
          <t>2025-02-26</t>
        </is>
      </c>
      <c r="B1602" s="2" t="inlineStr">
        <is>
          <t>Wednesday</t>
        </is>
      </c>
      <c r="C1602" s="2" t="inlineStr">
        <is>
          <t>MNQH5</t>
        </is>
      </c>
      <c r="D1602" s="3" t="n">
        <v>21274.25</v>
      </c>
      <c r="E1602" s="3" t="n">
        <v>21188.5</v>
      </c>
      <c r="F1602" s="3">
        <f>D1602-E1602</f>
        <v/>
      </c>
      <c r="G1602" s="2" t="inlineStr">
        <is>
          <t>Long</t>
        </is>
      </c>
      <c r="H1602" s="3" t="n">
        <v>21274.25</v>
      </c>
      <c r="I1602" s="3" t="n">
        <v>21360</v>
      </c>
      <c r="J1602" s="3">
        <f>IF(G1602="Long",I1602-H1602,IF(G1602="Short",H1602-I1602,0))</f>
        <v/>
      </c>
      <c r="K1602" s="4" t="n">
        <v>16.91</v>
      </c>
      <c r="L1602" s="2" t="inlineStr">
        <is>
          <t>Win</t>
        </is>
      </c>
      <c r="M1602" s="3">
        <f>M1601+J1602</f>
        <v/>
      </c>
    </row>
    <row r="1603">
      <c r="A1603" s="2" t="inlineStr">
        <is>
          <t>2025-02-26</t>
        </is>
      </c>
      <c r="B1603" s="2" t="inlineStr">
        <is>
          <t>Wednesday</t>
        </is>
      </c>
      <c r="C1603" s="2" t="inlineStr">
        <is>
          <t>MNQH5</t>
        </is>
      </c>
      <c r="D1603" s="3" t="n">
        <v>21274.25</v>
      </c>
      <c r="E1603" s="3" t="n">
        <v>21188.5</v>
      </c>
      <c r="F1603" s="3">
        <f>D1603-E1603</f>
        <v/>
      </c>
      <c r="G1603" s="2" t="inlineStr">
        <is>
          <t>Long</t>
        </is>
      </c>
      <c r="H1603" s="3" t="n">
        <v>21274.25</v>
      </c>
      <c r="I1603" s="3" t="n">
        <v>21360</v>
      </c>
      <c r="J1603" s="3">
        <f>IF(G1603="Long",I1603-H1603,IF(G1603="Short",H1603-I1603,0))</f>
        <v/>
      </c>
      <c r="K1603" s="4" t="n">
        <v>3.5</v>
      </c>
      <c r="L1603" s="2" t="inlineStr">
        <is>
          <t>Win</t>
        </is>
      </c>
      <c r="M1603" s="3">
        <f>M1602+J1603</f>
        <v/>
      </c>
    </row>
    <row r="1604">
      <c r="A1604" s="2" t="inlineStr">
        <is>
          <t>2025-02-27</t>
        </is>
      </c>
      <c r="B1604" s="2" t="inlineStr">
        <is>
          <t>Thursday</t>
        </is>
      </c>
      <c r="C1604" s="2" t="inlineStr">
        <is>
          <t>MNQH5</t>
        </is>
      </c>
      <c r="D1604" s="3" t="n">
        <v>21381</v>
      </c>
      <c r="E1604" s="3" t="n">
        <v>21170</v>
      </c>
      <c r="F1604" s="3">
        <f>D1604-E1604</f>
        <v/>
      </c>
      <c r="G1604" s="2" t="inlineStr">
        <is>
          <t>Short</t>
        </is>
      </c>
      <c r="H1604" s="3" t="n">
        <v>21170</v>
      </c>
      <c r="I1604" s="3" t="n">
        <v>20959</v>
      </c>
      <c r="J1604" s="3">
        <f>IF(G1604="Long",I1604-H1604,IF(G1604="Short",H1604-I1604,0))</f>
        <v/>
      </c>
      <c r="K1604" s="4" t="n">
        <v>0</v>
      </c>
      <c r="L1604" s="2" t="inlineStr">
        <is>
          <t>Win</t>
        </is>
      </c>
      <c r="M1604" s="3">
        <f>M1603+J1604</f>
        <v/>
      </c>
    </row>
    <row r="1605">
      <c r="A1605" s="2" t="inlineStr">
        <is>
          <t>2025-02-28</t>
        </is>
      </c>
      <c r="B1605" s="2" t="inlineStr">
        <is>
          <t>Friday</t>
        </is>
      </c>
      <c r="C1605" s="2" t="inlineStr">
        <is>
          <t>MNQH5</t>
        </is>
      </c>
      <c r="D1605" s="3" t="n">
        <v>20644.75</v>
      </c>
      <c r="E1605" s="3" t="n">
        <v>20460.25</v>
      </c>
      <c r="F1605" s="3">
        <f>D1605-E1605</f>
        <v/>
      </c>
      <c r="G1605" s="2" t="inlineStr">
        <is>
          <t>Long</t>
        </is>
      </c>
      <c r="H1605" s="3" t="n">
        <v>20644.75</v>
      </c>
      <c r="I1605" s="3" t="n">
        <v>20829.25</v>
      </c>
      <c r="J1605" s="3">
        <f>IF(G1605="Long",I1605-H1605,IF(G1605="Short",H1605-I1605,0))</f>
        <v/>
      </c>
      <c r="K1605" s="4" t="n">
        <v>87.26000000000001</v>
      </c>
      <c r="L1605" s="2" t="inlineStr">
        <is>
          <t>Win</t>
        </is>
      </c>
      <c r="M1605" s="3">
        <f>M1604+J1605</f>
        <v/>
      </c>
    </row>
    <row r="1606">
      <c r="A1606" s="2" t="inlineStr">
        <is>
          <t>2025-03-03</t>
        </is>
      </c>
      <c r="B1606" s="2" t="inlineStr">
        <is>
          <t>Monday</t>
        </is>
      </c>
      <c r="C1606" s="2" t="inlineStr">
        <is>
          <t>MNQH5</t>
        </is>
      </c>
      <c r="D1606" s="3" t="n">
        <v>21120.75</v>
      </c>
      <c r="E1606" s="3" t="n">
        <v>20942.25</v>
      </c>
      <c r="F1606" s="3">
        <f>D1606-E1606</f>
        <v/>
      </c>
      <c r="G1606" s="2" t="inlineStr">
        <is>
          <t>Short</t>
        </is>
      </c>
      <c r="H1606" s="3" t="n">
        <v>20942.25</v>
      </c>
      <c r="I1606" s="3" t="n">
        <v>20763.75</v>
      </c>
      <c r="J1606" s="3">
        <f>IF(G1606="Long",I1606-H1606,IF(G1606="Short",H1606-I1606,0))</f>
        <v/>
      </c>
      <c r="K1606" s="4" t="n">
        <v>12.18</v>
      </c>
      <c r="L1606" s="2" t="inlineStr">
        <is>
          <t>Win</t>
        </is>
      </c>
      <c r="M1606" s="3">
        <f>M1605+J1606</f>
        <v/>
      </c>
    </row>
    <row r="1607">
      <c r="A1607" s="2" t="inlineStr">
        <is>
          <t>2025-03-03</t>
        </is>
      </c>
      <c r="B1607" s="2" t="inlineStr">
        <is>
          <t>Monday</t>
        </is>
      </c>
      <c r="C1607" s="2" t="inlineStr">
        <is>
          <t>MNQH5</t>
        </is>
      </c>
      <c r="D1607" s="3" t="n">
        <v>21120.75</v>
      </c>
      <c r="E1607" s="3" t="n">
        <v>20942.25</v>
      </c>
      <c r="F1607" s="3">
        <f>D1607-E1607</f>
        <v/>
      </c>
      <c r="G1607" s="2" t="inlineStr">
        <is>
          <t>Short</t>
        </is>
      </c>
      <c r="H1607" s="3" t="n">
        <v>20942.25</v>
      </c>
      <c r="I1607" s="3" t="n">
        <v>20763.75</v>
      </c>
      <c r="J1607" s="3">
        <f>IF(G1607="Long",I1607-H1607,IF(G1607="Short",H1607-I1607,0))</f>
        <v/>
      </c>
      <c r="K1607" s="4" t="n">
        <v>26.33</v>
      </c>
      <c r="L1607" s="2" t="inlineStr">
        <is>
          <t>Win</t>
        </is>
      </c>
      <c r="M1607" s="3">
        <f>M1606+J1607</f>
        <v/>
      </c>
    </row>
    <row r="1608">
      <c r="A1608" s="2" t="inlineStr">
        <is>
          <t>2025-03-04</t>
        </is>
      </c>
      <c r="B1608" s="2" t="inlineStr">
        <is>
          <t>Tuesday</t>
        </is>
      </c>
      <c r="C1608" s="2" t="inlineStr">
        <is>
          <t>MNQH5</t>
        </is>
      </c>
      <c r="D1608" s="3" t="n">
        <v>20430</v>
      </c>
      <c r="E1608" s="3" t="n">
        <v>20258.5</v>
      </c>
      <c r="F1608" s="3">
        <f>D1608-E1608</f>
        <v/>
      </c>
      <c r="G1608" s="2" t="inlineStr">
        <is>
          <t>Short</t>
        </is>
      </c>
      <c r="H1608" s="3" t="n">
        <v>20258.5</v>
      </c>
      <c r="I1608" s="3" t="n">
        <v>20087</v>
      </c>
      <c r="J1608" s="3">
        <f>IF(G1608="Long",I1608-H1608,IF(G1608="Short",H1608-I1608,0))</f>
        <v/>
      </c>
      <c r="K1608" s="4" t="n">
        <v>0</v>
      </c>
      <c r="L1608" s="2" t="inlineStr">
        <is>
          <t>Win</t>
        </is>
      </c>
      <c r="M1608" s="3">
        <f>M1607+J1608</f>
        <v/>
      </c>
    </row>
    <row r="1609">
      <c r="A1609" s="5" t="inlineStr">
        <is>
          <t>2025-03-04</t>
        </is>
      </c>
      <c r="B1609" s="5" t="inlineStr">
        <is>
          <t>Tuesday</t>
        </is>
      </c>
      <c r="C1609" s="5" t="inlineStr">
        <is>
          <t>MNQH5</t>
        </is>
      </c>
      <c r="D1609" s="6" t="n">
        <v>20430</v>
      </c>
      <c r="E1609" s="6" t="n">
        <v>20258.5</v>
      </c>
      <c r="F1609" s="6">
        <f>D1609-E1609</f>
        <v/>
      </c>
      <c r="G1609" s="5" t="inlineStr">
        <is>
          <t>Short</t>
        </is>
      </c>
      <c r="H1609" s="6" t="n">
        <v>20258.5</v>
      </c>
      <c r="I1609" s="6" t="n">
        <v>20430</v>
      </c>
      <c r="J1609" s="6">
        <f>IF(G1609="Long",I1609-H1609,IF(G1609="Short",H1609-I1609,0))</f>
        <v/>
      </c>
      <c r="K1609" s="7" t="n">
        <v>100</v>
      </c>
      <c r="L1609" s="5" t="inlineStr">
        <is>
          <t>Loss</t>
        </is>
      </c>
      <c r="M1609" s="6">
        <f>M1608+J1609</f>
        <v/>
      </c>
    </row>
    <row r="1610">
      <c r="A1610" s="5" t="inlineStr">
        <is>
          <t>2025-03-05</t>
        </is>
      </c>
      <c r="B1610" s="5" t="inlineStr">
        <is>
          <t>Wednesday</t>
        </is>
      </c>
      <c r="C1610" s="5" t="inlineStr">
        <is>
          <t>MNQH5</t>
        </is>
      </c>
      <c r="D1610" s="6" t="n">
        <v>20455.75</v>
      </c>
      <c r="E1610" s="6" t="n">
        <v>20313</v>
      </c>
      <c r="F1610" s="6">
        <f>D1610-E1610</f>
        <v/>
      </c>
      <c r="G1610" s="5" t="inlineStr">
        <is>
          <t>Long</t>
        </is>
      </c>
      <c r="H1610" s="6" t="n">
        <v>20455.75</v>
      </c>
      <c r="I1610" s="6" t="n">
        <v>20313</v>
      </c>
      <c r="J1610" s="6">
        <f>IF(G1610="Long",I1610-H1610,IF(G1610="Short",H1610-I1610,0))</f>
        <v/>
      </c>
      <c r="K1610" s="7" t="n">
        <v>100</v>
      </c>
      <c r="L1610" s="5" t="inlineStr">
        <is>
          <t>Loss</t>
        </is>
      </c>
      <c r="M1610" s="6">
        <f>M1609+J1610</f>
        <v/>
      </c>
    </row>
    <row r="1611">
      <c r="A1611" s="5" t="inlineStr">
        <is>
          <t>2025-03-05</t>
        </is>
      </c>
      <c r="B1611" s="5" t="inlineStr">
        <is>
          <t>Wednesday</t>
        </is>
      </c>
      <c r="C1611" s="5" t="inlineStr">
        <is>
          <t>MNQH5</t>
        </is>
      </c>
      <c r="D1611" s="6" t="n">
        <v>20455.75</v>
      </c>
      <c r="E1611" s="6" t="n">
        <v>20313</v>
      </c>
      <c r="F1611" s="6">
        <f>D1611-E1611</f>
        <v/>
      </c>
      <c r="G1611" s="5" t="inlineStr">
        <is>
          <t>Short</t>
        </is>
      </c>
      <c r="H1611" s="6" t="n">
        <v>20313</v>
      </c>
      <c r="I1611" s="6" t="n">
        <v>20455.75</v>
      </c>
      <c r="J1611" s="6">
        <f>IF(G1611="Long",I1611-H1611,IF(G1611="Short",H1611-I1611,0))</f>
        <v/>
      </c>
      <c r="K1611" s="7" t="n">
        <v>100</v>
      </c>
      <c r="L1611" s="5" t="inlineStr">
        <is>
          <t>Loss</t>
        </is>
      </c>
      <c r="M1611" s="6">
        <f>M1610+J1611</f>
        <v/>
      </c>
    </row>
    <row r="1612">
      <c r="A1612" s="2" t="inlineStr">
        <is>
          <t>2025-03-06</t>
        </is>
      </c>
      <c r="B1612" s="2" t="inlineStr">
        <is>
          <t>Thursday</t>
        </is>
      </c>
      <c r="C1612" s="2" t="inlineStr">
        <is>
          <t>MNQH5</t>
        </is>
      </c>
      <c r="D1612" s="3" t="n">
        <v>20319.75</v>
      </c>
      <c r="E1612" s="3" t="n">
        <v>20228.25</v>
      </c>
      <c r="F1612" s="3">
        <f>D1612-E1612</f>
        <v/>
      </c>
      <c r="G1612" s="2" t="inlineStr">
        <is>
          <t>Long</t>
        </is>
      </c>
      <c r="H1612" s="3" t="n">
        <v>20319.75</v>
      </c>
      <c r="I1612" s="3" t="n">
        <v>20411.25</v>
      </c>
      <c r="J1612" s="3">
        <f>IF(G1612="Long",I1612-H1612,IF(G1612="Short",H1612-I1612,0))</f>
        <v/>
      </c>
      <c r="K1612" s="4" t="n">
        <v>0</v>
      </c>
      <c r="L1612" s="2" t="inlineStr">
        <is>
          <t>Win</t>
        </is>
      </c>
      <c r="M1612" s="3">
        <f>M1611+J1612</f>
        <v/>
      </c>
    </row>
    <row r="1613">
      <c r="A1613" s="5" t="inlineStr">
        <is>
          <t>2025-03-06</t>
        </is>
      </c>
      <c r="B1613" s="5" t="inlineStr">
        <is>
          <t>Thursday</t>
        </is>
      </c>
      <c r="C1613" s="5" t="inlineStr">
        <is>
          <t>MNQH5</t>
        </is>
      </c>
      <c r="D1613" s="6" t="n">
        <v>20319.75</v>
      </c>
      <c r="E1613" s="6" t="n">
        <v>20228.25</v>
      </c>
      <c r="F1613" s="6">
        <f>D1613-E1613</f>
        <v/>
      </c>
      <c r="G1613" s="5" t="inlineStr">
        <is>
          <t>Long</t>
        </is>
      </c>
      <c r="H1613" s="6" t="n">
        <v>20319.75</v>
      </c>
      <c r="I1613" s="6" t="n">
        <v>20228.25</v>
      </c>
      <c r="J1613" s="6">
        <f>IF(G1613="Long",I1613-H1613,IF(G1613="Short",H1613-I1613,0))</f>
        <v/>
      </c>
      <c r="K1613" s="7" t="n">
        <v>100</v>
      </c>
      <c r="L1613" s="5" t="inlineStr">
        <is>
          <t>Loss</t>
        </is>
      </c>
      <c r="M1613" s="6">
        <f>M1612+J1613</f>
        <v/>
      </c>
    </row>
    <row r="1614">
      <c r="A1614" s="5" t="inlineStr">
        <is>
          <t>2025-03-07</t>
        </is>
      </c>
      <c r="B1614" s="5" t="inlineStr">
        <is>
          <t>Friday</t>
        </is>
      </c>
      <c r="C1614" s="5" t="inlineStr">
        <is>
          <t>MNQH5</t>
        </is>
      </c>
      <c r="D1614" s="6" t="n">
        <v>20190.75</v>
      </c>
      <c r="E1614" s="6" t="n">
        <v>20024.25</v>
      </c>
      <c r="F1614" s="6">
        <f>D1614-E1614</f>
        <v/>
      </c>
      <c r="G1614" s="5" t="inlineStr">
        <is>
          <t>Long</t>
        </is>
      </c>
      <c r="H1614" s="6" t="n">
        <v>20190.75</v>
      </c>
      <c r="I1614" s="6" t="n">
        <v>20024.25</v>
      </c>
      <c r="J1614" s="6">
        <f>IF(G1614="Long",I1614-H1614,IF(G1614="Short",H1614-I1614,0))</f>
        <v/>
      </c>
      <c r="K1614" s="7" t="n">
        <v>100</v>
      </c>
      <c r="L1614" s="5" t="inlineStr">
        <is>
          <t>Loss</t>
        </is>
      </c>
      <c r="M1614" s="6">
        <f>M1613+J1614</f>
        <v/>
      </c>
    </row>
    <row r="1615">
      <c r="A1615" s="2" t="inlineStr">
        <is>
          <t>2025-03-07</t>
        </is>
      </c>
      <c r="B1615" s="2" t="inlineStr">
        <is>
          <t>Friday</t>
        </is>
      </c>
      <c r="C1615" s="2" t="inlineStr">
        <is>
          <t>MNQH5</t>
        </is>
      </c>
      <c r="D1615" s="3" t="n">
        <v>20190.75</v>
      </c>
      <c r="E1615" s="3" t="n">
        <v>20024.25</v>
      </c>
      <c r="F1615" s="3">
        <f>D1615-E1615</f>
        <v/>
      </c>
      <c r="G1615" s="2" t="inlineStr">
        <is>
          <t>Short</t>
        </is>
      </c>
      <c r="H1615" s="3" t="n">
        <v>20024.25</v>
      </c>
      <c r="I1615" s="3" t="n">
        <v>19857.75</v>
      </c>
      <c r="J1615" s="3">
        <f>IF(G1615="Long",I1615-H1615,IF(G1615="Short",H1615-I1615,0))</f>
        <v/>
      </c>
      <c r="K1615" s="4" t="n">
        <v>37.09</v>
      </c>
      <c r="L1615" s="2" t="inlineStr">
        <is>
          <t>Win</t>
        </is>
      </c>
      <c r="M1615" s="3">
        <f>M1614+J1615</f>
        <v/>
      </c>
    </row>
    <row r="1616">
      <c r="A1616" s="2" t="inlineStr">
        <is>
          <t>2025-03-10</t>
        </is>
      </c>
      <c r="B1616" s="2" t="inlineStr">
        <is>
          <t>Monday</t>
        </is>
      </c>
      <c r="C1616" s="2" t="inlineStr">
        <is>
          <t>MNQH5</t>
        </is>
      </c>
      <c r="D1616" s="3" t="n">
        <v>19902</v>
      </c>
      <c r="E1616" s="3" t="n">
        <v>19787.75</v>
      </c>
      <c r="F1616" s="3">
        <f>D1616-E1616</f>
        <v/>
      </c>
      <c r="G1616" s="2" t="inlineStr">
        <is>
          <t>Short</t>
        </is>
      </c>
      <c r="H1616" s="3" t="n">
        <v>19787.75</v>
      </c>
      <c r="I1616" s="3" t="n">
        <v>19673.5</v>
      </c>
      <c r="J1616" s="3">
        <f>IF(G1616="Long",I1616-H1616,IF(G1616="Short",H1616-I1616,0))</f>
        <v/>
      </c>
      <c r="K1616" s="4" t="n">
        <v>34.79</v>
      </c>
      <c r="L1616" s="2" t="inlineStr">
        <is>
          <t>Win</t>
        </is>
      </c>
      <c r="M1616" s="3">
        <f>M1615+J1616</f>
        <v/>
      </c>
    </row>
    <row r="1617">
      <c r="A1617" s="5" t="inlineStr">
        <is>
          <t>2025-03-11</t>
        </is>
      </c>
      <c r="B1617" s="5" t="inlineStr">
        <is>
          <t>Tuesday</t>
        </is>
      </c>
      <c r="C1617" s="5" t="inlineStr">
        <is>
          <t>MNQH5</t>
        </is>
      </c>
      <c r="D1617" s="6" t="n">
        <v>19553</v>
      </c>
      <c r="E1617" s="6" t="n">
        <v>19386.5</v>
      </c>
      <c r="F1617" s="6">
        <f>D1617-E1617</f>
        <v/>
      </c>
      <c r="G1617" s="5" t="inlineStr">
        <is>
          <t>Long</t>
        </is>
      </c>
      <c r="H1617" s="6" t="n">
        <v>19553</v>
      </c>
      <c r="I1617" s="6" t="n">
        <v>19386.5</v>
      </c>
      <c r="J1617" s="6">
        <f>IF(G1617="Long",I1617-H1617,IF(G1617="Short",H1617-I1617,0))</f>
        <v/>
      </c>
      <c r="K1617" s="7" t="n">
        <v>100</v>
      </c>
      <c r="L1617" s="5" t="inlineStr">
        <is>
          <t>Loss</t>
        </is>
      </c>
      <c r="M1617" s="6">
        <f>M1616+J1617</f>
        <v/>
      </c>
    </row>
    <row r="1618">
      <c r="A1618" s="2" t="inlineStr">
        <is>
          <t>2025-03-11</t>
        </is>
      </c>
      <c r="B1618" s="2" t="inlineStr">
        <is>
          <t>Tuesday</t>
        </is>
      </c>
      <c r="C1618" s="2" t="inlineStr">
        <is>
          <t>MNQH5</t>
        </is>
      </c>
      <c r="D1618" s="3" t="n">
        <v>19553</v>
      </c>
      <c r="E1618" s="3" t="n">
        <v>19386.5</v>
      </c>
      <c r="F1618" s="3">
        <f>D1618-E1618</f>
        <v/>
      </c>
      <c r="G1618" s="2" t="inlineStr">
        <is>
          <t>Short</t>
        </is>
      </c>
      <c r="H1618" s="3" t="n">
        <v>19386.5</v>
      </c>
      <c r="I1618" s="3" t="n">
        <v>19220</v>
      </c>
      <c r="J1618" s="3">
        <f>IF(G1618="Long",I1618-H1618,IF(G1618="Short",H1618-I1618,0))</f>
        <v/>
      </c>
      <c r="K1618" s="4" t="n">
        <v>95.05</v>
      </c>
      <c r="L1618" s="2" t="inlineStr">
        <is>
          <t>Win</t>
        </is>
      </c>
      <c r="M1618" s="3">
        <f>M1617+J1618</f>
        <v/>
      </c>
    </row>
    <row r="1619">
      <c r="A1619" s="2" t="inlineStr">
        <is>
          <t>2025-03-12</t>
        </is>
      </c>
      <c r="B1619" s="2" t="inlineStr">
        <is>
          <t>Wednesday</t>
        </is>
      </c>
      <c r="C1619" s="2" t="inlineStr">
        <is>
          <t>MNQH5</t>
        </is>
      </c>
      <c r="D1619" s="3" t="n">
        <v>19776.75</v>
      </c>
      <c r="E1619" s="3" t="n">
        <v>19668</v>
      </c>
      <c r="F1619" s="3">
        <f>D1619-E1619</f>
        <v/>
      </c>
      <c r="G1619" s="2" t="inlineStr">
        <is>
          <t>Short</t>
        </is>
      </c>
      <c r="H1619" s="3" t="n">
        <v>19668</v>
      </c>
      <c r="I1619" s="3" t="n">
        <v>19559.25</v>
      </c>
      <c r="J1619" s="3">
        <f>IF(G1619="Long",I1619-H1619,IF(G1619="Short",H1619-I1619,0))</f>
        <v/>
      </c>
      <c r="K1619" s="4" t="n">
        <v>55.17</v>
      </c>
      <c r="L1619" s="2" t="inlineStr">
        <is>
          <t>Win</t>
        </is>
      </c>
      <c r="M1619" s="3">
        <f>M1618+J1619</f>
        <v/>
      </c>
    </row>
    <row r="1620">
      <c r="A1620" s="2" t="inlineStr">
        <is>
          <t>2025-03-12</t>
        </is>
      </c>
      <c r="B1620" s="2" t="inlineStr">
        <is>
          <t>Wednesday</t>
        </is>
      </c>
      <c r="C1620" s="2" t="inlineStr">
        <is>
          <t>MNQH5</t>
        </is>
      </c>
      <c r="D1620" s="3" t="n">
        <v>19776.75</v>
      </c>
      <c r="E1620" s="3" t="n">
        <v>19668</v>
      </c>
      <c r="F1620" s="3">
        <f>D1620-E1620</f>
        <v/>
      </c>
      <c r="G1620" s="2" t="inlineStr">
        <is>
          <t>Short</t>
        </is>
      </c>
      <c r="H1620" s="3" t="n">
        <v>19668</v>
      </c>
      <c r="I1620" s="3" t="n">
        <v>19559.25</v>
      </c>
      <c r="J1620" s="3">
        <f>IF(G1620="Long",I1620-H1620,IF(G1620="Short",H1620-I1620,0))</f>
        <v/>
      </c>
      <c r="K1620" s="4" t="n">
        <v>54.94</v>
      </c>
      <c r="L1620" s="2" t="inlineStr">
        <is>
          <t>Win</t>
        </is>
      </c>
      <c r="M1620" s="3">
        <f>M1619+J1620</f>
        <v/>
      </c>
    </row>
    <row r="1621">
      <c r="A1621" s="2" t="inlineStr">
        <is>
          <t>2025-03-13</t>
        </is>
      </c>
      <c r="B1621" s="2" t="inlineStr">
        <is>
          <t>Thursday</t>
        </is>
      </c>
      <c r="C1621" s="2" t="inlineStr">
        <is>
          <t>MNQH5</t>
        </is>
      </c>
      <c r="D1621" s="3" t="n">
        <v>19577</v>
      </c>
      <c r="E1621" s="3" t="n">
        <v>19470.25</v>
      </c>
      <c r="F1621" s="3">
        <f>D1621-E1621</f>
        <v/>
      </c>
      <c r="G1621" s="2" t="inlineStr">
        <is>
          <t>Short</t>
        </is>
      </c>
      <c r="H1621" s="3" t="n">
        <v>19470.25</v>
      </c>
      <c r="I1621" s="3" t="n">
        <v>19363.5</v>
      </c>
      <c r="J1621" s="3">
        <f>IF(G1621="Long",I1621-H1621,IF(G1621="Short",H1621-I1621,0))</f>
        <v/>
      </c>
      <c r="K1621" s="4" t="n">
        <v>0</v>
      </c>
      <c r="L1621" s="2" t="inlineStr">
        <is>
          <t>Win</t>
        </is>
      </c>
      <c r="M1621" s="3">
        <f>M1620+J1621</f>
        <v/>
      </c>
    </row>
    <row r="1622">
      <c r="A1622" s="2" t="inlineStr">
        <is>
          <t>2025-03-13</t>
        </is>
      </c>
      <c r="B1622" s="2" t="inlineStr">
        <is>
          <t>Thursday</t>
        </is>
      </c>
      <c r="C1622" s="2" t="inlineStr">
        <is>
          <t>MNQH5</t>
        </is>
      </c>
      <c r="D1622" s="3" t="n">
        <v>19577</v>
      </c>
      <c r="E1622" s="3" t="n">
        <v>19470.25</v>
      </c>
      <c r="F1622" s="3">
        <f>D1622-E1622</f>
        <v/>
      </c>
      <c r="G1622" s="2" t="inlineStr">
        <is>
          <t>Short</t>
        </is>
      </c>
      <c r="H1622" s="3" t="n">
        <v>19470.25</v>
      </c>
      <c r="I1622" s="3" t="n">
        <v>19363.5</v>
      </c>
      <c r="J1622" s="3">
        <f>IF(G1622="Long",I1622-H1622,IF(G1622="Short",H1622-I1622,0))</f>
        <v/>
      </c>
      <c r="K1622" s="4" t="n">
        <v>93.91</v>
      </c>
      <c r="L1622" s="2" t="inlineStr">
        <is>
          <t>Win</t>
        </is>
      </c>
      <c r="M1622" s="3">
        <f>M1621+J1622</f>
        <v/>
      </c>
    </row>
    <row r="1623">
      <c r="A1623" s="5" t="inlineStr">
        <is>
          <t>2025-03-14</t>
        </is>
      </c>
      <c r="B1623" s="5" t="inlineStr">
        <is>
          <t>Friday</t>
        </is>
      </c>
      <c r="C1623" s="5" t="inlineStr">
        <is>
          <t>MNQH5</t>
        </is>
      </c>
      <c r="D1623" s="6" t="n">
        <v>19600.5</v>
      </c>
      <c r="E1623" s="6" t="n">
        <v>19450</v>
      </c>
      <c r="F1623" s="6">
        <f>D1623-E1623</f>
        <v/>
      </c>
      <c r="G1623" s="5" t="inlineStr">
        <is>
          <t>Long</t>
        </is>
      </c>
      <c r="H1623" s="6" t="n">
        <v>19600.5</v>
      </c>
      <c r="I1623" s="6" t="n">
        <v>19450</v>
      </c>
      <c r="J1623" s="6">
        <f>IF(G1623="Long",I1623-H1623,IF(G1623="Short",H1623-I1623,0))</f>
        <v/>
      </c>
      <c r="K1623" s="7" t="n">
        <v>100</v>
      </c>
      <c r="L1623" s="5" t="inlineStr">
        <is>
          <t>Loss</t>
        </is>
      </c>
      <c r="M1623" s="6">
        <f>M1622+J1623</f>
        <v/>
      </c>
    </row>
    <row r="1624">
      <c r="A1624" s="8" t="inlineStr">
        <is>
          <t>2025-03-14</t>
        </is>
      </c>
      <c r="B1624" s="8" t="inlineStr">
        <is>
          <t>Friday</t>
        </is>
      </c>
      <c r="C1624" s="8" t="inlineStr">
        <is>
          <t>MNQH5</t>
        </is>
      </c>
      <c r="D1624" s="9" t="n">
        <v>19600.5</v>
      </c>
      <c r="E1624" s="9" t="n">
        <v>19450</v>
      </c>
      <c r="F1624" s="9">
        <f>D1624-E1624</f>
        <v/>
      </c>
      <c r="G1624" s="8" t="inlineStr">
        <is>
          <t>Long</t>
        </is>
      </c>
      <c r="H1624" s="9" t="n">
        <v>19600.5</v>
      </c>
      <c r="I1624" s="9" t="n">
        <v>19705.25</v>
      </c>
      <c r="J1624" s="9">
        <f>IF(G1624="Long",I1624-H1624,IF(G1624="Short",H1624-I1624,0))</f>
        <v/>
      </c>
      <c r="K1624" s="10" t="n">
        <v>6.31</v>
      </c>
      <c r="L1624" s="8" t="inlineStr">
        <is>
          <t>EOD-Close</t>
        </is>
      </c>
      <c r="M1624" s="9">
        <f>M1623+J1624</f>
        <v/>
      </c>
    </row>
    <row r="1625">
      <c r="A1625" s="5" t="inlineStr">
        <is>
          <t>2025-03-17</t>
        </is>
      </c>
      <c r="B1625" s="5" t="inlineStr">
        <is>
          <t>Monday</t>
        </is>
      </c>
      <c r="C1625" s="5" t="inlineStr">
        <is>
          <t>MNQH5</t>
        </is>
      </c>
      <c r="D1625" s="6" t="n">
        <v>19848</v>
      </c>
      <c r="E1625" s="6" t="n">
        <v>19684</v>
      </c>
      <c r="F1625" s="6">
        <f>D1625-E1625</f>
        <v/>
      </c>
      <c r="G1625" s="5" t="inlineStr">
        <is>
          <t>Short</t>
        </is>
      </c>
      <c r="H1625" s="6" t="n">
        <v>19684</v>
      </c>
      <c r="I1625" s="6" t="n">
        <v>19848</v>
      </c>
      <c r="J1625" s="6">
        <f>IF(G1625="Long",I1625-H1625,IF(G1625="Short",H1625-I1625,0))</f>
        <v/>
      </c>
      <c r="K1625" s="7" t="n">
        <v>100</v>
      </c>
      <c r="L1625" s="5" t="inlineStr">
        <is>
          <t>Loss</t>
        </is>
      </c>
      <c r="M1625" s="6">
        <f>M1624+J1625</f>
        <v/>
      </c>
    </row>
    <row r="1626">
      <c r="A1626" s="8" t="inlineStr">
        <is>
          <t>2025-03-17</t>
        </is>
      </c>
      <c r="B1626" s="8" t="inlineStr">
        <is>
          <t>Monday</t>
        </is>
      </c>
      <c r="C1626" s="8" t="inlineStr">
        <is>
          <t>MNQH5</t>
        </is>
      </c>
      <c r="D1626" s="9" t="n">
        <v>19848</v>
      </c>
      <c r="E1626" s="9" t="n">
        <v>19684</v>
      </c>
      <c r="F1626" s="9">
        <f>D1626-E1626</f>
        <v/>
      </c>
      <c r="G1626" s="8" t="inlineStr">
        <is>
          <t>Long</t>
        </is>
      </c>
      <c r="H1626" s="9" t="n">
        <v>19848</v>
      </c>
      <c r="I1626" s="9" t="n">
        <v>19832.5</v>
      </c>
      <c r="J1626" s="9">
        <f>IF(G1626="Long",I1626-H1626,IF(G1626="Short",H1626-I1626,0))</f>
        <v/>
      </c>
      <c r="K1626" s="10" t="n">
        <v>13.87</v>
      </c>
      <c r="L1626" s="8" t="inlineStr">
        <is>
          <t>EOD-Close</t>
        </is>
      </c>
      <c r="M1626" s="9">
        <f>M1625+J1626</f>
        <v/>
      </c>
    </row>
    <row r="1627">
      <c r="A1627" s="8" t="inlineStr">
        <is>
          <t>2025-03-18</t>
        </is>
      </c>
      <c r="B1627" s="8" t="inlineStr">
        <is>
          <t>Tuesday</t>
        </is>
      </c>
      <c r="C1627" s="8" t="inlineStr">
        <is>
          <t>MNQM5</t>
        </is>
      </c>
      <c r="D1627" s="9" t="n">
        <v>19900.75</v>
      </c>
      <c r="E1627" s="9" t="n">
        <v>19708.5</v>
      </c>
      <c r="F1627" s="9">
        <f>D1627-E1627</f>
        <v/>
      </c>
      <c r="G1627" s="8" t="inlineStr">
        <is>
          <t>Short</t>
        </is>
      </c>
      <c r="H1627" s="9" t="n">
        <v>19708.5</v>
      </c>
      <c r="I1627" s="9" t="n">
        <v>19706.5</v>
      </c>
      <c r="J1627" s="9">
        <f>IF(G1627="Long",I1627-H1627,IF(G1627="Short",H1627-I1627,0))</f>
        <v/>
      </c>
      <c r="K1627" s="10" t="n">
        <v>39.01</v>
      </c>
      <c r="L1627" s="8" t="inlineStr">
        <is>
          <t>EOD-Close</t>
        </is>
      </c>
      <c r="M1627" s="9">
        <f>M1626+J1627</f>
        <v/>
      </c>
    </row>
    <row r="1628">
      <c r="A1628" s="2" t="inlineStr">
        <is>
          <t>2025-03-19</t>
        </is>
      </c>
      <c r="B1628" s="2" t="inlineStr">
        <is>
          <t>Wednesday</t>
        </is>
      </c>
      <c r="C1628" s="2" t="inlineStr">
        <is>
          <t>MNQM5</t>
        </is>
      </c>
      <c r="D1628" s="3" t="n">
        <v>19815</v>
      </c>
      <c r="E1628" s="3" t="n">
        <v>19706.5</v>
      </c>
      <c r="F1628" s="3">
        <f>D1628-E1628</f>
        <v/>
      </c>
      <c r="G1628" s="2" t="inlineStr">
        <is>
          <t>Long</t>
        </is>
      </c>
      <c r="H1628" s="3" t="n">
        <v>19815</v>
      </c>
      <c r="I1628" s="3" t="n">
        <v>19923.5</v>
      </c>
      <c r="J1628" s="3">
        <f>IF(G1628="Long",I1628-H1628,IF(G1628="Short",H1628-I1628,0))</f>
        <v/>
      </c>
      <c r="K1628" s="4" t="n">
        <v>24.19</v>
      </c>
      <c r="L1628" s="2" t="inlineStr">
        <is>
          <t>Win</t>
        </is>
      </c>
      <c r="M1628" s="3">
        <f>M1627+J1628</f>
        <v/>
      </c>
    </row>
    <row r="1629">
      <c r="A1629" s="2" t="inlineStr">
        <is>
          <t>2025-03-19</t>
        </is>
      </c>
      <c r="B1629" s="2" t="inlineStr">
        <is>
          <t>Wednesday</t>
        </is>
      </c>
      <c r="C1629" s="2" t="inlineStr">
        <is>
          <t>MNQM5</t>
        </is>
      </c>
      <c r="D1629" s="3" t="n">
        <v>19815</v>
      </c>
      <c r="E1629" s="3" t="n">
        <v>19706.5</v>
      </c>
      <c r="F1629" s="3">
        <f>D1629-E1629</f>
        <v/>
      </c>
      <c r="G1629" s="2" t="inlineStr">
        <is>
          <t>Long</t>
        </is>
      </c>
      <c r="H1629" s="3" t="n">
        <v>19815</v>
      </c>
      <c r="I1629" s="3" t="n">
        <v>19923.5</v>
      </c>
      <c r="J1629" s="3">
        <f>IF(G1629="Long",I1629-H1629,IF(G1629="Short",H1629-I1629,0))</f>
        <v/>
      </c>
      <c r="K1629" s="4" t="n">
        <v>45.62</v>
      </c>
      <c r="L1629" s="2" t="inlineStr">
        <is>
          <t>Win</t>
        </is>
      </c>
      <c r="M1629" s="3">
        <f>M1628+J1629</f>
        <v/>
      </c>
    </row>
    <row r="1630">
      <c r="A1630" s="2" t="inlineStr">
        <is>
          <t>2025-03-20</t>
        </is>
      </c>
      <c r="B1630" s="2" t="inlineStr">
        <is>
          <t>Thursday</t>
        </is>
      </c>
      <c r="C1630" s="2" t="inlineStr">
        <is>
          <t>MNQM5</t>
        </is>
      </c>
      <c r="D1630" s="3" t="n">
        <v>19907.25</v>
      </c>
      <c r="E1630" s="3" t="n">
        <v>19756.75</v>
      </c>
      <c r="F1630" s="3">
        <f>D1630-E1630</f>
        <v/>
      </c>
      <c r="G1630" s="2" t="inlineStr">
        <is>
          <t>Long</t>
        </is>
      </c>
      <c r="H1630" s="3" t="n">
        <v>19907.25</v>
      </c>
      <c r="I1630" s="3" t="n">
        <v>20057.75</v>
      </c>
      <c r="J1630" s="3">
        <f>IF(G1630="Long",I1630-H1630,IF(G1630="Short",H1630-I1630,0))</f>
        <v/>
      </c>
      <c r="K1630" s="4" t="n">
        <v>9.470000000000001</v>
      </c>
      <c r="L1630" s="2" t="inlineStr">
        <is>
          <t>Win</t>
        </is>
      </c>
      <c r="M1630" s="3">
        <f>M1629+J1630</f>
        <v/>
      </c>
    </row>
    <row r="1631">
      <c r="A1631" s="8" t="inlineStr">
        <is>
          <t>2025-03-20</t>
        </is>
      </c>
      <c r="B1631" s="8" t="inlineStr">
        <is>
          <t>Thursday</t>
        </is>
      </c>
      <c r="C1631" s="8" t="inlineStr">
        <is>
          <t>MNQM5</t>
        </is>
      </c>
      <c r="D1631" s="9" t="n">
        <v>19907.25</v>
      </c>
      <c r="E1631" s="9" t="n">
        <v>19756.75</v>
      </c>
      <c r="F1631" s="9">
        <f>D1631-E1631</f>
        <v/>
      </c>
      <c r="G1631" s="8" t="inlineStr">
        <is>
          <t>Long</t>
        </is>
      </c>
      <c r="H1631" s="9" t="n">
        <v>19907.25</v>
      </c>
      <c r="I1631" s="9" t="n">
        <v>19881.5</v>
      </c>
      <c r="J1631" s="9">
        <f>IF(G1631="Long",I1631-H1631,IF(G1631="Short",H1631-I1631,0))</f>
        <v/>
      </c>
      <c r="K1631" s="10" t="n">
        <v>74.25</v>
      </c>
      <c r="L1631" s="8" t="inlineStr">
        <is>
          <t>EOD-Close</t>
        </is>
      </c>
      <c r="M1631" s="9">
        <f>M1630+J1631</f>
        <v/>
      </c>
    </row>
    <row r="1632">
      <c r="A1632" s="2" t="inlineStr">
        <is>
          <t>2025-03-21</t>
        </is>
      </c>
      <c r="B1632" s="2" t="inlineStr">
        <is>
          <t>Friday</t>
        </is>
      </c>
      <c r="C1632" s="2" t="inlineStr">
        <is>
          <t>MNQM5</t>
        </is>
      </c>
      <c r="D1632" s="3" t="n">
        <v>19711.75</v>
      </c>
      <c r="E1632" s="3" t="n">
        <v>19607</v>
      </c>
      <c r="F1632" s="3">
        <f>D1632-E1632</f>
        <v/>
      </c>
      <c r="G1632" s="2" t="inlineStr">
        <is>
          <t>Long</t>
        </is>
      </c>
      <c r="H1632" s="3" t="n">
        <v>19711.75</v>
      </c>
      <c r="I1632" s="3" t="n">
        <v>19816.5</v>
      </c>
      <c r="J1632" s="3">
        <f>IF(G1632="Long",I1632-H1632,IF(G1632="Short",H1632-I1632,0))</f>
        <v/>
      </c>
      <c r="K1632" s="4" t="n">
        <v>46.54</v>
      </c>
      <c r="L1632" s="2" t="inlineStr">
        <is>
          <t>Win</t>
        </is>
      </c>
      <c r="M1632" s="3">
        <f>M1631+J1632</f>
        <v/>
      </c>
    </row>
    <row r="1633">
      <c r="A1633" s="2" t="inlineStr">
        <is>
          <t>2025-03-24</t>
        </is>
      </c>
      <c r="B1633" s="2" t="inlineStr">
        <is>
          <t>Monday</t>
        </is>
      </c>
      <c r="C1633" s="2" t="inlineStr">
        <is>
          <t>MNQM5</t>
        </is>
      </c>
      <c r="D1633" s="3" t="n">
        <v>20293</v>
      </c>
      <c r="E1633" s="3" t="n">
        <v>20228.75</v>
      </c>
      <c r="F1633" s="3">
        <f>D1633-E1633</f>
        <v/>
      </c>
      <c r="G1633" s="2" t="inlineStr">
        <is>
          <t>Long</t>
        </is>
      </c>
      <c r="H1633" s="3" t="n">
        <v>20293</v>
      </c>
      <c r="I1633" s="3" t="n">
        <v>20357.25</v>
      </c>
      <c r="J1633" s="3">
        <f>IF(G1633="Long",I1633-H1633,IF(G1633="Short",H1633-I1633,0))</f>
        <v/>
      </c>
      <c r="K1633" s="4" t="n">
        <v>28.79</v>
      </c>
      <c r="L1633" s="2" t="inlineStr">
        <is>
          <t>Win</t>
        </is>
      </c>
      <c r="M1633" s="3">
        <f>M1632+J1633</f>
        <v/>
      </c>
    </row>
    <row r="1634">
      <c r="A1634" s="2" t="inlineStr">
        <is>
          <t>2025-03-25</t>
        </is>
      </c>
      <c r="B1634" s="2" t="inlineStr">
        <is>
          <t>Tuesday</t>
        </is>
      </c>
      <c r="C1634" s="2" t="inlineStr">
        <is>
          <t>MNQM5</t>
        </is>
      </c>
      <c r="D1634" s="3" t="n">
        <v>20429</v>
      </c>
      <c r="E1634" s="3" t="n">
        <v>20368.5</v>
      </c>
      <c r="F1634" s="3">
        <f>D1634-E1634</f>
        <v/>
      </c>
      <c r="G1634" s="2" t="inlineStr">
        <is>
          <t>Long</t>
        </is>
      </c>
      <c r="H1634" s="3" t="n">
        <v>20429</v>
      </c>
      <c r="I1634" s="3" t="n">
        <v>20489.5</v>
      </c>
      <c r="J1634" s="3">
        <f>IF(G1634="Long",I1634-H1634,IF(G1634="Short",H1634-I1634,0))</f>
        <v/>
      </c>
      <c r="K1634" s="4" t="n">
        <v>20.66</v>
      </c>
      <c r="L1634" s="2" t="inlineStr">
        <is>
          <t>Win</t>
        </is>
      </c>
      <c r="M1634" s="3">
        <f>M1633+J1634</f>
        <v/>
      </c>
    </row>
    <row r="1635">
      <c r="A1635" s="2" t="inlineStr">
        <is>
          <t>2025-03-25</t>
        </is>
      </c>
      <c r="B1635" s="2" t="inlineStr">
        <is>
          <t>Tuesday</t>
        </is>
      </c>
      <c r="C1635" s="2" t="inlineStr">
        <is>
          <t>MNQM5</t>
        </is>
      </c>
      <c r="D1635" s="3" t="n">
        <v>20429</v>
      </c>
      <c r="E1635" s="3" t="n">
        <v>20368.5</v>
      </c>
      <c r="F1635" s="3">
        <f>D1635-E1635</f>
        <v/>
      </c>
      <c r="G1635" s="2" t="inlineStr">
        <is>
          <t>Long</t>
        </is>
      </c>
      <c r="H1635" s="3" t="n">
        <v>20429</v>
      </c>
      <c r="I1635" s="3" t="n">
        <v>20489.5</v>
      </c>
      <c r="J1635" s="3">
        <f>IF(G1635="Long",I1635-H1635,IF(G1635="Short",H1635-I1635,0))</f>
        <v/>
      </c>
      <c r="K1635" s="4" t="n">
        <v>44.63</v>
      </c>
      <c r="L1635" s="2" t="inlineStr">
        <is>
          <t>Win</t>
        </is>
      </c>
      <c r="M1635" s="3">
        <f>M1634+J1635</f>
        <v/>
      </c>
    </row>
    <row r="1636">
      <c r="A1636" s="2" t="inlineStr">
        <is>
          <t>2025-03-26</t>
        </is>
      </c>
      <c r="B1636" s="2" t="inlineStr">
        <is>
          <t>Wednesday</t>
        </is>
      </c>
      <c r="C1636" s="2" t="inlineStr">
        <is>
          <t>MNQM5</t>
        </is>
      </c>
      <c r="D1636" s="3" t="n">
        <v>20475</v>
      </c>
      <c r="E1636" s="3" t="n">
        <v>20412.75</v>
      </c>
      <c r="F1636" s="3">
        <f>D1636-E1636</f>
        <v/>
      </c>
      <c r="G1636" s="2" t="inlineStr">
        <is>
          <t>Short</t>
        </is>
      </c>
      <c r="H1636" s="3" t="n">
        <v>20412.75</v>
      </c>
      <c r="I1636" s="3" t="n">
        <v>20350.5</v>
      </c>
      <c r="J1636" s="3">
        <f>IF(G1636="Long",I1636-H1636,IF(G1636="Short",H1636-I1636,0))</f>
        <v/>
      </c>
      <c r="K1636" s="4" t="n">
        <v>0</v>
      </c>
      <c r="L1636" s="2" t="inlineStr">
        <is>
          <t>Win</t>
        </is>
      </c>
      <c r="M1636" s="3">
        <f>M1635+J1636</f>
        <v/>
      </c>
    </row>
    <row r="1637">
      <c r="A1637" s="8" t="inlineStr">
        <is>
          <t>2025-03-27</t>
        </is>
      </c>
      <c r="B1637" s="8" t="inlineStr">
        <is>
          <t>Thursday</t>
        </is>
      </c>
      <c r="C1637" s="8" t="inlineStr">
        <is>
          <t>MNQM5</t>
        </is>
      </c>
      <c r="D1637" s="9" t="n">
        <v>20069.75</v>
      </c>
      <c r="E1637" s="9" t="n">
        <v>19937.75</v>
      </c>
      <c r="F1637" s="9">
        <f>D1637-E1637</f>
        <v/>
      </c>
      <c r="G1637" s="8" t="inlineStr">
        <is>
          <t>Long</t>
        </is>
      </c>
      <c r="H1637" s="9" t="n">
        <v>20069.75</v>
      </c>
      <c r="I1637" s="9" t="n">
        <v>19995.25</v>
      </c>
      <c r="J1637" s="9">
        <f>IF(G1637="Long",I1637-H1637,IF(G1637="Short",H1637-I1637,0))</f>
        <v/>
      </c>
      <c r="K1637" s="10" t="n">
        <v>71.78</v>
      </c>
      <c r="L1637" s="8" t="inlineStr">
        <is>
          <t>EOD-Close</t>
        </is>
      </c>
      <c r="M1637" s="9">
        <f>M1636+J1637</f>
        <v/>
      </c>
    </row>
    <row r="1638">
      <c r="A1638" s="2" t="inlineStr">
        <is>
          <t>2025-03-28</t>
        </is>
      </c>
      <c r="B1638" s="2" t="inlineStr">
        <is>
          <t>Friday</t>
        </is>
      </c>
      <c r="C1638" s="2" t="inlineStr">
        <is>
          <t>MNQM5</t>
        </is>
      </c>
      <c r="D1638" s="3" t="n">
        <v>19941.25</v>
      </c>
      <c r="E1638" s="3" t="n">
        <v>19839.5</v>
      </c>
      <c r="F1638" s="3">
        <f>D1638-E1638</f>
        <v/>
      </c>
      <c r="G1638" s="2" t="inlineStr">
        <is>
          <t>Short</t>
        </is>
      </c>
      <c r="H1638" s="3" t="n">
        <v>19839.5</v>
      </c>
      <c r="I1638" s="3" t="n">
        <v>19737.75</v>
      </c>
      <c r="J1638" s="3">
        <f>IF(G1638="Long",I1638-H1638,IF(G1638="Short",H1638-I1638,0))</f>
        <v/>
      </c>
      <c r="K1638" s="4" t="n">
        <v>3.69</v>
      </c>
      <c r="L1638" s="2" t="inlineStr">
        <is>
          <t>Win</t>
        </is>
      </c>
      <c r="M1638" s="3">
        <f>M1637+J1638</f>
        <v/>
      </c>
    </row>
    <row r="1639">
      <c r="A1639" s="2" t="inlineStr">
        <is>
          <t>2025-03-31</t>
        </is>
      </c>
      <c r="B1639" s="2" t="inlineStr">
        <is>
          <t>Monday</t>
        </is>
      </c>
      <c r="C1639" s="2" t="inlineStr">
        <is>
          <t>MNQM5</t>
        </is>
      </c>
      <c r="D1639" s="3" t="n">
        <v>19192.25</v>
      </c>
      <c r="E1639" s="3" t="n">
        <v>19003.25</v>
      </c>
      <c r="F1639" s="3">
        <f>D1639-E1639</f>
        <v/>
      </c>
      <c r="G1639" s="2" t="inlineStr">
        <is>
          <t>Long</t>
        </is>
      </c>
      <c r="H1639" s="3" t="n">
        <v>19192.25</v>
      </c>
      <c r="I1639" s="3" t="n">
        <v>19381.25</v>
      </c>
      <c r="J1639" s="3">
        <f>IF(G1639="Long",I1639-H1639,IF(G1639="Short",H1639-I1639,0))</f>
        <v/>
      </c>
      <c r="K1639" s="4" t="n">
        <v>15.74</v>
      </c>
      <c r="L1639" s="2" t="inlineStr">
        <is>
          <t>Win</t>
        </is>
      </c>
      <c r="M1639" s="3">
        <f>M1638+J1639</f>
        <v/>
      </c>
    </row>
    <row r="1640">
      <c r="A1640" s="5" t="inlineStr">
        <is>
          <t>2025-04-01</t>
        </is>
      </c>
      <c r="B1640" s="5" t="inlineStr">
        <is>
          <t>Tuesday</t>
        </is>
      </c>
      <c r="C1640" s="5" t="inlineStr">
        <is>
          <t>MNQM5</t>
        </is>
      </c>
      <c r="D1640" s="6" t="n">
        <v>19433</v>
      </c>
      <c r="E1640" s="6" t="n">
        <v>19338.25</v>
      </c>
      <c r="F1640" s="6">
        <f>D1640-E1640</f>
        <v/>
      </c>
      <c r="G1640" s="5" t="inlineStr">
        <is>
          <t>Long</t>
        </is>
      </c>
      <c r="H1640" s="6" t="n">
        <v>19433</v>
      </c>
      <c r="I1640" s="6" t="n">
        <v>19338.25</v>
      </c>
      <c r="J1640" s="6">
        <f>IF(G1640="Long",I1640-H1640,IF(G1640="Short",H1640-I1640,0))</f>
        <v/>
      </c>
      <c r="K1640" s="7" t="n">
        <v>100</v>
      </c>
      <c r="L1640" s="5" t="inlineStr">
        <is>
          <t>Loss</t>
        </is>
      </c>
      <c r="M1640" s="6">
        <f>M1639+J1640</f>
        <v/>
      </c>
    </row>
    <row r="1641">
      <c r="A1641" s="5" t="inlineStr">
        <is>
          <t>2025-04-01</t>
        </is>
      </c>
      <c r="B1641" s="5" t="inlineStr">
        <is>
          <t>Tuesday</t>
        </is>
      </c>
      <c r="C1641" s="5" t="inlineStr">
        <is>
          <t>MNQM5</t>
        </is>
      </c>
      <c r="D1641" s="6" t="n">
        <v>19433</v>
      </c>
      <c r="E1641" s="6" t="n">
        <v>19338.25</v>
      </c>
      <c r="F1641" s="6">
        <f>D1641-E1641</f>
        <v/>
      </c>
      <c r="G1641" s="5" t="inlineStr">
        <is>
          <t>Short</t>
        </is>
      </c>
      <c r="H1641" s="6" t="n">
        <v>19338.25</v>
      </c>
      <c r="I1641" s="6" t="n">
        <v>19433</v>
      </c>
      <c r="J1641" s="6">
        <f>IF(G1641="Long",I1641-H1641,IF(G1641="Short",H1641-I1641,0))</f>
        <v/>
      </c>
      <c r="K1641" s="7" t="n">
        <v>100</v>
      </c>
      <c r="L1641" s="5" t="inlineStr">
        <is>
          <t>Loss</t>
        </is>
      </c>
      <c r="M1641" s="6">
        <f>M1640+J1641</f>
        <v/>
      </c>
    </row>
    <row r="1642">
      <c r="A1642" s="2" t="inlineStr">
        <is>
          <t>2025-04-02</t>
        </is>
      </c>
      <c r="B1642" s="2" t="inlineStr">
        <is>
          <t>Wednesday</t>
        </is>
      </c>
      <c r="C1642" s="2" t="inlineStr">
        <is>
          <t>MNQM5</t>
        </is>
      </c>
      <c r="D1642" s="3" t="n">
        <v>19533.75</v>
      </c>
      <c r="E1642" s="3" t="n">
        <v>19317</v>
      </c>
      <c r="F1642" s="3">
        <f>D1642-E1642</f>
        <v/>
      </c>
      <c r="G1642" s="2" t="inlineStr">
        <is>
          <t>Long</t>
        </is>
      </c>
      <c r="H1642" s="3" t="n">
        <v>19533.75</v>
      </c>
      <c r="I1642" s="3" t="n">
        <v>19750.5</v>
      </c>
      <c r="J1642" s="3">
        <f>IF(G1642="Long",I1642-H1642,IF(G1642="Short",H1642-I1642,0))</f>
        <v/>
      </c>
      <c r="K1642" s="4" t="n">
        <v>19.49</v>
      </c>
      <c r="L1642" s="2" t="inlineStr">
        <is>
          <t>Win</t>
        </is>
      </c>
      <c r="M1642" s="3">
        <f>M1641+J1642</f>
        <v/>
      </c>
    </row>
    <row r="1643">
      <c r="A1643" s="2" t="inlineStr">
        <is>
          <t>2025-04-03</t>
        </is>
      </c>
      <c r="B1643" s="2" t="inlineStr">
        <is>
          <t>Thursday</t>
        </is>
      </c>
      <c r="C1643" s="2" t="inlineStr">
        <is>
          <t>MNQM5</t>
        </is>
      </c>
      <c r="D1643" s="3" t="n">
        <v>19074</v>
      </c>
      <c r="E1643" s="3" t="n">
        <v>18910.75</v>
      </c>
      <c r="F1643" s="3">
        <f>D1643-E1643</f>
        <v/>
      </c>
      <c r="G1643" s="2" t="inlineStr">
        <is>
          <t>Short</t>
        </is>
      </c>
      <c r="H1643" s="3" t="n">
        <v>18910.75</v>
      </c>
      <c r="I1643" s="3" t="n">
        <v>18747.5</v>
      </c>
      <c r="J1643" s="3">
        <f>IF(G1643="Long",I1643-H1643,IF(G1643="Short",H1643-I1643,0))</f>
        <v/>
      </c>
      <c r="K1643" s="4" t="n">
        <v>28.94</v>
      </c>
      <c r="L1643" s="2" t="inlineStr">
        <is>
          <t>Win</t>
        </is>
      </c>
      <c r="M1643" s="3">
        <f>M1642+J1643</f>
        <v/>
      </c>
    </row>
    <row r="1644">
      <c r="A1644" s="2" t="inlineStr">
        <is>
          <t>2025-04-03</t>
        </is>
      </c>
      <c r="B1644" s="2" t="inlineStr">
        <is>
          <t>Thursday</t>
        </is>
      </c>
      <c r="C1644" s="2" t="inlineStr">
        <is>
          <t>MNQM5</t>
        </is>
      </c>
      <c r="D1644" s="3" t="n">
        <v>19074</v>
      </c>
      <c r="E1644" s="3" t="n">
        <v>18910.75</v>
      </c>
      <c r="F1644" s="3">
        <f>D1644-E1644</f>
        <v/>
      </c>
      <c r="G1644" s="2" t="inlineStr">
        <is>
          <t>Short</t>
        </is>
      </c>
      <c r="H1644" s="3" t="n">
        <v>18910.75</v>
      </c>
      <c r="I1644" s="3" t="n">
        <v>18747.5</v>
      </c>
      <c r="J1644" s="3">
        <f>IF(G1644="Long",I1644-H1644,IF(G1644="Short",H1644-I1644,0))</f>
        <v/>
      </c>
      <c r="K1644" s="4" t="n">
        <v>47.47</v>
      </c>
      <c r="L1644" s="2" t="inlineStr">
        <is>
          <t>Win</t>
        </is>
      </c>
      <c r="M1644" s="3">
        <f>M1643+J1644</f>
        <v/>
      </c>
    </row>
    <row r="1645">
      <c r="A1645" s="2" t="inlineStr">
        <is>
          <t>2025-04-04</t>
        </is>
      </c>
      <c r="B1645" s="2" t="inlineStr">
        <is>
          <t>Friday</t>
        </is>
      </c>
      <c r="C1645" s="2" t="inlineStr">
        <is>
          <t>MNQM5</t>
        </is>
      </c>
      <c r="D1645" s="3" t="n">
        <v>18248.75</v>
      </c>
      <c r="E1645" s="3" t="n">
        <v>18008.25</v>
      </c>
      <c r="F1645" s="3">
        <f>D1645-E1645</f>
        <v/>
      </c>
      <c r="G1645" s="2" t="inlineStr">
        <is>
          <t>Short</t>
        </is>
      </c>
      <c r="H1645" s="3" t="n">
        <v>18008.25</v>
      </c>
      <c r="I1645" s="3" t="n">
        <v>17767.75</v>
      </c>
      <c r="J1645" s="3">
        <f>IF(G1645="Long",I1645-H1645,IF(G1645="Short",H1645-I1645,0))</f>
        <v/>
      </c>
      <c r="K1645" s="4" t="n">
        <v>25.99</v>
      </c>
      <c r="L1645" s="2" t="inlineStr">
        <is>
          <t>Win</t>
        </is>
      </c>
      <c r="M1645" s="3">
        <f>M1644+J1645</f>
        <v/>
      </c>
    </row>
    <row r="1646">
      <c r="A1646" s="2" t="inlineStr">
        <is>
          <t>2025-04-04</t>
        </is>
      </c>
      <c r="B1646" s="2" t="inlineStr">
        <is>
          <t>Friday</t>
        </is>
      </c>
      <c r="C1646" s="2" t="inlineStr">
        <is>
          <t>MNQM5</t>
        </is>
      </c>
      <c r="D1646" s="3" t="n">
        <v>18248.75</v>
      </c>
      <c r="E1646" s="3" t="n">
        <v>18008.25</v>
      </c>
      <c r="F1646" s="3">
        <f>D1646-E1646</f>
        <v/>
      </c>
      <c r="G1646" s="2" t="inlineStr">
        <is>
          <t>Short</t>
        </is>
      </c>
      <c r="H1646" s="3" t="n">
        <v>18008.25</v>
      </c>
      <c r="I1646" s="3" t="n">
        <v>17767.75</v>
      </c>
      <c r="J1646" s="3">
        <f>IF(G1646="Long",I1646-H1646,IF(G1646="Short",H1646-I1646,0))</f>
        <v/>
      </c>
      <c r="K1646" s="4" t="n">
        <v>57.69</v>
      </c>
      <c r="L1646" s="2" t="inlineStr">
        <is>
          <t>Win</t>
        </is>
      </c>
      <c r="M1646" s="3">
        <f>M1645+J1646</f>
        <v/>
      </c>
    </row>
    <row r="1647">
      <c r="A1647" s="2" t="inlineStr">
        <is>
          <t>2025-04-07</t>
        </is>
      </c>
      <c r="B1647" s="2" t="inlineStr">
        <is>
          <t>Monday</t>
        </is>
      </c>
      <c r="C1647" s="2" t="inlineStr">
        <is>
          <t>MNQM5</t>
        </is>
      </c>
      <c r="D1647" s="3" t="n">
        <v>16981.25</v>
      </c>
      <c r="E1647" s="3" t="n">
        <v>16673.5</v>
      </c>
      <c r="F1647" s="3">
        <f>D1647-E1647</f>
        <v/>
      </c>
      <c r="G1647" s="2" t="inlineStr">
        <is>
          <t>Long</t>
        </is>
      </c>
      <c r="H1647" s="3" t="n">
        <v>16981.25</v>
      </c>
      <c r="I1647" s="3" t="n">
        <v>17289</v>
      </c>
      <c r="J1647" s="3">
        <f>IF(G1647="Long",I1647-H1647,IF(G1647="Short",H1647-I1647,0))</f>
        <v/>
      </c>
      <c r="K1647" s="4" t="n">
        <v>0</v>
      </c>
      <c r="L1647" s="2" t="inlineStr">
        <is>
          <t>Win</t>
        </is>
      </c>
      <c r="M1647" s="3">
        <f>M1646+J1647</f>
        <v/>
      </c>
    </row>
    <row r="1648">
      <c r="A1648" s="2" t="inlineStr">
        <is>
          <t>2025-04-08</t>
        </is>
      </c>
      <c r="B1648" s="2" t="inlineStr">
        <is>
          <t>Tuesday</t>
        </is>
      </c>
      <c r="C1648" s="2" t="inlineStr">
        <is>
          <t>MNQM5</t>
        </is>
      </c>
      <c r="D1648" s="3" t="n">
        <v>18202</v>
      </c>
      <c r="E1648" s="3" t="n">
        <v>18062.25</v>
      </c>
      <c r="F1648" s="3">
        <f>D1648-E1648</f>
        <v/>
      </c>
      <c r="G1648" s="2" t="inlineStr">
        <is>
          <t>Long</t>
        </is>
      </c>
      <c r="H1648" s="3" t="n">
        <v>18202</v>
      </c>
      <c r="I1648" s="3" t="n">
        <v>18341.75</v>
      </c>
      <c r="J1648" s="3">
        <f>IF(G1648="Long",I1648-H1648,IF(G1648="Short",H1648-I1648,0))</f>
        <v/>
      </c>
      <c r="K1648" s="4" t="n">
        <v>13.24</v>
      </c>
      <c r="L1648" s="2" t="inlineStr">
        <is>
          <t>Win</t>
        </is>
      </c>
      <c r="M1648" s="3">
        <f>M1647+J1648</f>
        <v/>
      </c>
    </row>
    <row r="1649">
      <c r="A1649" s="5" t="inlineStr">
        <is>
          <t>2025-04-08</t>
        </is>
      </c>
      <c r="B1649" s="5" t="inlineStr">
        <is>
          <t>Tuesday</t>
        </is>
      </c>
      <c r="C1649" s="5" t="inlineStr">
        <is>
          <t>MNQM5</t>
        </is>
      </c>
      <c r="D1649" s="6" t="n">
        <v>18202</v>
      </c>
      <c r="E1649" s="6" t="n">
        <v>18062.25</v>
      </c>
      <c r="F1649" s="6">
        <f>D1649-E1649</f>
        <v/>
      </c>
      <c r="G1649" s="5" t="inlineStr">
        <is>
          <t>Long</t>
        </is>
      </c>
      <c r="H1649" s="6" t="n">
        <v>18202</v>
      </c>
      <c r="I1649" s="6" t="n">
        <v>18062.25</v>
      </c>
      <c r="J1649" s="6">
        <f>IF(G1649="Long",I1649-H1649,IF(G1649="Short",H1649-I1649,0))</f>
        <v/>
      </c>
      <c r="K1649" s="7" t="n">
        <v>100</v>
      </c>
      <c r="L1649" s="5" t="inlineStr">
        <is>
          <t>Loss</t>
        </is>
      </c>
      <c r="M1649" s="6">
        <f>M1648+J1649</f>
        <v/>
      </c>
    </row>
    <row r="1650">
      <c r="A1650" s="2" t="inlineStr">
        <is>
          <t>2025-04-09</t>
        </is>
      </c>
      <c r="B1650" s="2" t="inlineStr">
        <is>
          <t>Wednesday</t>
        </is>
      </c>
      <c r="C1650" s="2" t="inlineStr">
        <is>
          <t>MNQM5</t>
        </is>
      </c>
      <c r="D1650" s="3" t="n">
        <v>17553.75</v>
      </c>
      <c r="E1650" s="3" t="n">
        <v>17196.25</v>
      </c>
      <c r="F1650" s="3">
        <f>D1650-E1650</f>
        <v/>
      </c>
      <c r="G1650" s="2" t="inlineStr">
        <is>
          <t>Long</t>
        </is>
      </c>
      <c r="H1650" s="3" t="n">
        <v>17553.75</v>
      </c>
      <c r="I1650" s="3" t="n">
        <v>17911.25</v>
      </c>
      <c r="J1650" s="3">
        <f>IF(G1650="Long",I1650-H1650,IF(G1650="Short",H1650-I1650,0))</f>
        <v/>
      </c>
      <c r="K1650" s="4" t="n">
        <v>37.2</v>
      </c>
      <c r="L1650" s="2" t="inlineStr">
        <is>
          <t>Win</t>
        </is>
      </c>
      <c r="M1650" s="3">
        <f>M1649+J1650</f>
        <v/>
      </c>
    </row>
    <row r="1651">
      <c r="A1651" s="2" t="inlineStr">
        <is>
          <t>2025-04-09</t>
        </is>
      </c>
      <c r="B1651" s="2" t="inlineStr">
        <is>
          <t>Wednesday</t>
        </is>
      </c>
      <c r="C1651" s="2" t="inlineStr">
        <is>
          <t>MNQM5</t>
        </is>
      </c>
      <c r="D1651" s="3" t="n">
        <v>17553.75</v>
      </c>
      <c r="E1651" s="3" t="n">
        <v>17196.25</v>
      </c>
      <c r="F1651" s="3">
        <f>D1651-E1651</f>
        <v/>
      </c>
      <c r="G1651" s="2" t="inlineStr">
        <is>
          <t>Long</t>
        </is>
      </c>
      <c r="H1651" s="3" t="n">
        <v>17553.75</v>
      </c>
      <c r="I1651" s="3" t="n">
        <v>17911.25</v>
      </c>
      <c r="J1651" s="3">
        <f>IF(G1651="Long",I1651-H1651,IF(G1651="Short",H1651-I1651,0))</f>
        <v/>
      </c>
      <c r="K1651" s="4" t="n">
        <v>0</v>
      </c>
      <c r="L1651" s="2" t="inlineStr">
        <is>
          <t>Win</t>
        </is>
      </c>
      <c r="M1651" s="3">
        <f>M1650+J1651</f>
        <v/>
      </c>
    </row>
    <row r="1652">
      <c r="A1652" s="2" t="inlineStr">
        <is>
          <t>2025-04-10</t>
        </is>
      </c>
      <c r="B1652" s="2" t="inlineStr">
        <is>
          <t>Thursday</t>
        </is>
      </c>
      <c r="C1652" s="2" t="inlineStr">
        <is>
          <t>MNQM5</t>
        </is>
      </c>
      <c r="D1652" s="3" t="n">
        <v>18871.75</v>
      </c>
      <c r="E1652" s="3" t="n">
        <v>18679.25</v>
      </c>
      <c r="F1652" s="3">
        <f>D1652-E1652</f>
        <v/>
      </c>
      <c r="G1652" s="2" t="inlineStr">
        <is>
          <t>Short</t>
        </is>
      </c>
      <c r="H1652" s="3" t="n">
        <v>18679.25</v>
      </c>
      <c r="I1652" s="3" t="n">
        <v>18486.75</v>
      </c>
      <c r="J1652" s="3">
        <f>IF(G1652="Long",I1652-H1652,IF(G1652="Short",H1652-I1652,0))</f>
        <v/>
      </c>
      <c r="K1652" s="4" t="n">
        <v>63.38</v>
      </c>
      <c r="L1652" s="2" t="inlineStr">
        <is>
          <t>Win</t>
        </is>
      </c>
      <c r="M1652" s="3">
        <f>M1651+J1652</f>
        <v/>
      </c>
    </row>
    <row r="1653">
      <c r="A1653" s="5" t="inlineStr">
        <is>
          <t>2025-04-11</t>
        </is>
      </c>
      <c r="B1653" s="5" t="inlineStr">
        <is>
          <t>Friday</t>
        </is>
      </c>
      <c r="C1653" s="5" t="inlineStr">
        <is>
          <t>MNQM5</t>
        </is>
      </c>
      <c r="D1653" s="6" t="n">
        <v>18571.25</v>
      </c>
      <c r="E1653" s="6" t="n">
        <v>18353.5</v>
      </c>
      <c r="F1653" s="6">
        <f>D1653-E1653</f>
        <v/>
      </c>
      <c r="G1653" s="5" t="inlineStr">
        <is>
          <t>Long</t>
        </is>
      </c>
      <c r="H1653" s="6" t="n">
        <v>18571.25</v>
      </c>
      <c r="I1653" s="6" t="n">
        <v>18353.5</v>
      </c>
      <c r="J1653" s="6">
        <f>IF(G1653="Long",I1653-H1653,IF(G1653="Short",H1653-I1653,0))</f>
        <v/>
      </c>
      <c r="K1653" s="7" t="n">
        <v>100</v>
      </c>
      <c r="L1653" s="5" t="inlineStr">
        <is>
          <t>Loss</t>
        </is>
      </c>
      <c r="M1653" s="6">
        <f>M1652+J1653</f>
        <v/>
      </c>
    </row>
    <row r="1654">
      <c r="A1654" s="5" t="inlineStr">
        <is>
          <t>2025-04-11</t>
        </is>
      </c>
      <c r="B1654" s="5" t="inlineStr">
        <is>
          <t>Friday</t>
        </is>
      </c>
      <c r="C1654" s="5" t="inlineStr">
        <is>
          <t>MNQM5</t>
        </is>
      </c>
      <c r="D1654" s="6" t="n">
        <v>18571.25</v>
      </c>
      <c r="E1654" s="6" t="n">
        <v>18353.5</v>
      </c>
      <c r="F1654" s="6">
        <f>D1654-E1654</f>
        <v/>
      </c>
      <c r="G1654" s="5" t="inlineStr">
        <is>
          <t>Short</t>
        </is>
      </c>
      <c r="H1654" s="6" t="n">
        <v>18353.5</v>
      </c>
      <c r="I1654" s="6" t="n">
        <v>18571.25</v>
      </c>
      <c r="J1654" s="6">
        <f>IF(G1654="Long",I1654-H1654,IF(G1654="Short",H1654-I1654,0))</f>
        <v/>
      </c>
      <c r="K1654" s="7" t="n">
        <v>100</v>
      </c>
      <c r="L1654" s="5" t="inlineStr">
        <is>
          <t>Loss</t>
        </is>
      </c>
      <c r="M1654" s="6">
        <f>M1653+J1654</f>
        <v/>
      </c>
    </row>
    <row r="1655">
      <c r="A1655" s="8" t="inlineStr">
        <is>
          <t>2025-04-14</t>
        </is>
      </c>
      <c r="B1655" s="8" t="inlineStr">
        <is>
          <t>Monday</t>
        </is>
      </c>
      <c r="C1655" s="8" t="inlineStr">
        <is>
          <t>MNQM5</t>
        </is>
      </c>
      <c r="D1655" s="9" t="n">
        <v>19255.25</v>
      </c>
      <c r="E1655" s="9" t="n">
        <v>18994.25</v>
      </c>
      <c r="F1655" s="9">
        <f>D1655-E1655</f>
        <v/>
      </c>
      <c r="G1655" s="8" t="inlineStr">
        <is>
          <t>Short</t>
        </is>
      </c>
      <c r="H1655" s="9" t="n">
        <v>18994.25</v>
      </c>
      <c r="I1655" s="9" t="n">
        <v>18941</v>
      </c>
      <c r="J1655" s="9">
        <f>IF(G1655="Long",I1655-H1655,IF(G1655="Short",H1655-I1655,0))</f>
        <v/>
      </c>
      <c r="K1655" s="10" t="n">
        <v>38.7</v>
      </c>
      <c r="L1655" s="8" t="inlineStr">
        <is>
          <t>EOD-Close</t>
        </is>
      </c>
      <c r="M1655" s="9">
        <f>M1654+J1655</f>
        <v/>
      </c>
    </row>
    <row r="1656">
      <c r="A1656" s="5" t="inlineStr">
        <is>
          <t>2025-04-15</t>
        </is>
      </c>
      <c r="B1656" s="5" t="inlineStr">
        <is>
          <t>Tuesday</t>
        </is>
      </c>
      <c r="C1656" s="5" t="inlineStr">
        <is>
          <t>MNQM5</t>
        </is>
      </c>
      <c r="D1656" s="6" t="n">
        <v>19086.75</v>
      </c>
      <c r="E1656" s="6" t="n">
        <v>18968</v>
      </c>
      <c r="F1656" s="6">
        <f>D1656-E1656</f>
        <v/>
      </c>
      <c r="G1656" s="5" t="inlineStr">
        <is>
          <t>Long</t>
        </is>
      </c>
      <c r="H1656" s="6" t="n">
        <v>19086.75</v>
      </c>
      <c r="I1656" s="6" t="n">
        <v>18968</v>
      </c>
      <c r="J1656" s="6">
        <f>IF(G1656="Long",I1656-H1656,IF(G1656="Short",H1656-I1656,0))</f>
        <v/>
      </c>
      <c r="K1656" s="7" t="n">
        <v>100</v>
      </c>
      <c r="L1656" s="5" t="inlineStr">
        <is>
          <t>Loss</t>
        </is>
      </c>
      <c r="M1656" s="6">
        <f>M1655+J1656</f>
        <v/>
      </c>
    </row>
    <row r="1657">
      <c r="A1657" s="5" t="inlineStr">
        <is>
          <t>2025-04-15</t>
        </is>
      </c>
      <c r="B1657" s="5" t="inlineStr">
        <is>
          <t>Tuesday</t>
        </is>
      </c>
      <c r="C1657" s="5" t="inlineStr">
        <is>
          <t>MNQM5</t>
        </is>
      </c>
      <c r="D1657" s="6" t="n">
        <v>19086.75</v>
      </c>
      <c r="E1657" s="6" t="n">
        <v>18968</v>
      </c>
      <c r="F1657" s="6">
        <f>D1657-E1657</f>
        <v/>
      </c>
      <c r="G1657" s="5" t="inlineStr">
        <is>
          <t>Short</t>
        </is>
      </c>
      <c r="H1657" s="6" t="n">
        <v>18968</v>
      </c>
      <c r="I1657" s="6" t="n">
        <v>19086.75</v>
      </c>
      <c r="J1657" s="6">
        <f>IF(G1657="Long",I1657-H1657,IF(G1657="Short",H1657-I1657,0))</f>
        <v/>
      </c>
      <c r="K1657" s="7" t="n">
        <v>100</v>
      </c>
      <c r="L1657" s="5" t="inlineStr">
        <is>
          <t>Loss</t>
        </is>
      </c>
      <c r="M1657" s="6">
        <f>M1656+J1657</f>
        <v/>
      </c>
    </row>
    <row r="1658">
      <c r="A1658" s="5" t="inlineStr">
        <is>
          <t>2025-04-16</t>
        </is>
      </c>
      <c r="B1658" s="5" t="inlineStr">
        <is>
          <t>Wednesday</t>
        </is>
      </c>
      <c r="C1658" s="5" t="inlineStr">
        <is>
          <t>MNQM5</t>
        </is>
      </c>
      <c r="D1658" s="6" t="n">
        <v>18679</v>
      </c>
      <c r="E1658" s="6" t="n">
        <v>18572.5</v>
      </c>
      <c r="F1658" s="6">
        <f>D1658-E1658</f>
        <v/>
      </c>
      <c r="G1658" s="5" t="inlineStr">
        <is>
          <t>Short</t>
        </is>
      </c>
      <c r="H1658" s="6" t="n">
        <v>18572.5</v>
      </c>
      <c r="I1658" s="6" t="n">
        <v>18679</v>
      </c>
      <c r="J1658" s="6">
        <f>IF(G1658="Long",I1658-H1658,IF(G1658="Short",H1658-I1658,0))</f>
        <v/>
      </c>
      <c r="K1658" s="7" t="n">
        <v>100</v>
      </c>
      <c r="L1658" s="5" t="inlineStr">
        <is>
          <t>Loss</t>
        </is>
      </c>
      <c r="M1658" s="6">
        <f>M1657+J1658</f>
        <v/>
      </c>
    </row>
    <row r="1659">
      <c r="A1659" s="5" t="inlineStr">
        <is>
          <t>2025-04-16</t>
        </is>
      </c>
      <c r="B1659" s="5" t="inlineStr">
        <is>
          <t>Wednesday</t>
        </is>
      </c>
      <c r="C1659" s="5" t="inlineStr">
        <is>
          <t>MNQM5</t>
        </is>
      </c>
      <c r="D1659" s="6" t="n">
        <v>18679</v>
      </c>
      <c r="E1659" s="6" t="n">
        <v>18572.5</v>
      </c>
      <c r="F1659" s="6">
        <f>D1659-E1659</f>
        <v/>
      </c>
      <c r="G1659" s="5" t="inlineStr">
        <is>
          <t>Long</t>
        </is>
      </c>
      <c r="H1659" s="6" t="n">
        <v>18679</v>
      </c>
      <c r="I1659" s="6" t="n">
        <v>18572.5</v>
      </c>
      <c r="J1659" s="6">
        <f>IF(G1659="Long",I1659-H1659,IF(G1659="Short",H1659-I1659,0))</f>
        <v/>
      </c>
      <c r="K1659" s="7" t="n">
        <v>100</v>
      </c>
      <c r="L1659" s="5" t="inlineStr">
        <is>
          <t>Loss</t>
        </is>
      </c>
      <c r="M1659" s="6">
        <f>M1658+J1659</f>
        <v/>
      </c>
    </row>
    <row r="1660">
      <c r="A1660" s="5" t="inlineStr">
        <is>
          <t>2025-04-17</t>
        </is>
      </c>
      <c r="B1660" s="5" t="inlineStr">
        <is>
          <t>Thursday</t>
        </is>
      </c>
      <c r="C1660" s="5" t="inlineStr">
        <is>
          <t>MNQM5</t>
        </is>
      </c>
      <c r="D1660" s="6" t="n">
        <v>18509.5</v>
      </c>
      <c r="E1660" s="6" t="n">
        <v>18382.25</v>
      </c>
      <c r="F1660" s="6">
        <f>D1660-E1660</f>
        <v/>
      </c>
      <c r="G1660" s="5" t="inlineStr">
        <is>
          <t>Short</t>
        </is>
      </c>
      <c r="H1660" s="6" t="n">
        <v>18382.25</v>
      </c>
      <c r="I1660" s="6" t="n">
        <v>18509.5</v>
      </c>
      <c r="J1660" s="6">
        <f>IF(G1660="Long",I1660-H1660,IF(G1660="Short",H1660-I1660,0))</f>
        <v/>
      </c>
      <c r="K1660" s="7" t="n">
        <v>100</v>
      </c>
      <c r="L1660" s="5" t="inlineStr">
        <is>
          <t>Loss</t>
        </is>
      </c>
      <c r="M1660" s="6">
        <f>M1659+J1660</f>
        <v/>
      </c>
    </row>
    <row r="1661">
      <c r="A1661" s="5" t="inlineStr">
        <is>
          <t>2025-04-17</t>
        </is>
      </c>
      <c r="B1661" s="5" t="inlineStr">
        <is>
          <t>Thursday</t>
        </is>
      </c>
      <c r="C1661" s="5" t="inlineStr">
        <is>
          <t>MNQM5</t>
        </is>
      </c>
      <c r="D1661" s="6" t="n">
        <v>18509.5</v>
      </c>
      <c r="E1661" s="6" t="n">
        <v>18382.25</v>
      </c>
      <c r="F1661" s="6">
        <f>D1661-E1661</f>
        <v/>
      </c>
      <c r="G1661" s="5" t="inlineStr">
        <is>
          <t>Long</t>
        </is>
      </c>
      <c r="H1661" s="6" t="n">
        <v>18509.5</v>
      </c>
      <c r="I1661" s="6" t="n">
        <v>18382.25</v>
      </c>
      <c r="J1661" s="6">
        <f>IF(G1661="Long",I1661-H1661,IF(G1661="Short",H1661-I1661,0))</f>
        <v/>
      </c>
      <c r="K1661" s="7" t="n">
        <v>100</v>
      </c>
      <c r="L1661" s="5" t="inlineStr">
        <is>
          <t>Loss</t>
        </is>
      </c>
      <c r="M1661" s="6">
        <f>M1660+J1661</f>
        <v/>
      </c>
    </row>
    <row r="1662">
      <c r="A1662" s="2" t="inlineStr">
        <is>
          <t>2025-04-21</t>
        </is>
      </c>
      <c r="B1662" s="2" t="inlineStr">
        <is>
          <t>Monday</t>
        </is>
      </c>
      <c r="C1662" s="2" t="inlineStr">
        <is>
          <t>MNQM5</t>
        </is>
      </c>
      <c r="D1662" s="3" t="n">
        <v>18165.75</v>
      </c>
      <c r="E1662" s="3" t="n">
        <v>18060.75</v>
      </c>
      <c r="F1662" s="3">
        <f>D1662-E1662</f>
        <v/>
      </c>
      <c r="G1662" s="2" t="inlineStr">
        <is>
          <t>Short</t>
        </is>
      </c>
      <c r="H1662" s="3" t="n">
        <v>18060.75</v>
      </c>
      <c r="I1662" s="3" t="n">
        <v>17955.75</v>
      </c>
      <c r="J1662" s="3">
        <f>IF(G1662="Long",I1662-H1662,IF(G1662="Short",H1662-I1662,0))</f>
        <v/>
      </c>
      <c r="K1662" s="4" t="n">
        <v>0</v>
      </c>
      <c r="L1662" s="2" t="inlineStr">
        <is>
          <t>Win</t>
        </is>
      </c>
      <c r="M1662" s="3">
        <f>M1661+J1662</f>
        <v/>
      </c>
    </row>
    <row r="1663">
      <c r="A1663" s="2" t="inlineStr">
        <is>
          <t>2025-04-22</t>
        </is>
      </c>
      <c r="B1663" s="2" t="inlineStr">
        <is>
          <t>Tuesday</t>
        </is>
      </c>
      <c r="C1663" s="2" t="inlineStr">
        <is>
          <t>MNQM5</t>
        </is>
      </c>
      <c r="D1663" s="3" t="n">
        <v>18211</v>
      </c>
      <c r="E1663" s="3" t="n">
        <v>18100.25</v>
      </c>
      <c r="F1663" s="3">
        <f>D1663-E1663</f>
        <v/>
      </c>
      <c r="G1663" s="2" t="inlineStr">
        <is>
          <t>Long</t>
        </is>
      </c>
      <c r="H1663" s="3" t="n">
        <v>18211</v>
      </c>
      <c r="I1663" s="3" t="n">
        <v>18321.75</v>
      </c>
      <c r="J1663" s="3">
        <f>IF(G1663="Long",I1663-H1663,IF(G1663="Short",H1663-I1663,0))</f>
        <v/>
      </c>
      <c r="K1663" s="4" t="n">
        <v>10.61</v>
      </c>
      <c r="L1663" s="2" t="inlineStr">
        <is>
          <t>Win</t>
        </is>
      </c>
      <c r="M1663" s="3">
        <f>M1662+J1663</f>
        <v/>
      </c>
    </row>
    <row r="1664">
      <c r="A1664" s="2" t="inlineStr">
        <is>
          <t>2025-04-22</t>
        </is>
      </c>
      <c r="B1664" s="2" t="inlineStr">
        <is>
          <t>Tuesday</t>
        </is>
      </c>
      <c r="C1664" s="2" t="inlineStr">
        <is>
          <t>MNQM5</t>
        </is>
      </c>
      <c r="D1664" s="3" t="n">
        <v>18211</v>
      </c>
      <c r="E1664" s="3" t="n">
        <v>18100.25</v>
      </c>
      <c r="F1664" s="3">
        <f>D1664-E1664</f>
        <v/>
      </c>
      <c r="G1664" s="2" t="inlineStr">
        <is>
          <t>Long</t>
        </is>
      </c>
      <c r="H1664" s="3" t="n">
        <v>18211</v>
      </c>
      <c r="I1664" s="3" t="n">
        <v>18321.75</v>
      </c>
      <c r="J1664" s="3">
        <f>IF(G1664="Long",I1664-H1664,IF(G1664="Short",H1664-I1664,0))</f>
        <v/>
      </c>
      <c r="K1664" s="4" t="n">
        <v>0.45</v>
      </c>
      <c r="L1664" s="2" t="inlineStr">
        <is>
          <t>Win</t>
        </is>
      </c>
      <c r="M1664" s="3">
        <f>M1663+J1664</f>
        <v/>
      </c>
    </row>
    <row r="1665">
      <c r="A1665" s="5" t="inlineStr">
        <is>
          <t>2025-04-23</t>
        </is>
      </c>
      <c r="B1665" s="5" t="inlineStr">
        <is>
          <t>Wednesday</t>
        </is>
      </c>
      <c r="C1665" s="5" t="inlineStr">
        <is>
          <t>MNQM5</t>
        </is>
      </c>
      <c r="D1665" s="6" t="n">
        <v>19113</v>
      </c>
      <c r="E1665" s="6" t="n">
        <v>18917</v>
      </c>
      <c r="F1665" s="6">
        <f>D1665-E1665</f>
        <v/>
      </c>
      <c r="G1665" s="5" t="inlineStr">
        <is>
          <t>Long</t>
        </is>
      </c>
      <c r="H1665" s="6" t="n">
        <v>19113</v>
      </c>
      <c r="I1665" s="6" t="n">
        <v>18917</v>
      </c>
      <c r="J1665" s="6">
        <f>IF(G1665="Long",I1665-H1665,IF(G1665="Short",H1665-I1665,0))</f>
        <v/>
      </c>
      <c r="K1665" s="7" t="n">
        <v>100</v>
      </c>
      <c r="L1665" s="5" t="inlineStr">
        <is>
          <t>Loss</t>
        </is>
      </c>
      <c r="M1665" s="6">
        <f>M1664+J1665</f>
        <v/>
      </c>
    </row>
    <row r="1666">
      <c r="A1666" s="8" t="inlineStr">
        <is>
          <t>2025-04-23</t>
        </is>
      </c>
      <c r="B1666" s="8" t="inlineStr">
        <is>
          <t>Wednesday</t>
        </is>
      </c>
      <c r="C1666" s="8" t="inlineStr">
        <is>
          <t>MNQM5</t>
        </is>
      </c>
      <c r="D1666" s="9" t="n">
        <v>19113</v>
      </c>
      <c r="E1666" s="9" t="n">
        <v>18917</v>
      </c>
      <c r="F1666" s="9">
        <f>D1666-E1666</f>
        <v/>
      </c>
      <c r="G1666" s="8" t="inlineStr">
        <is>
          <t>Short</t>
        </is>
      </c>
      <c r="H1666" s="9" t="n">
        <v>18917</v>
      </c>
      <c r="I1666" s="9" t="n">
        <v>18788</v>
      </c>
      <c r="J1666" s="9">
        <f>IF(G1666="Long",I1666-H1666,IF(G1666="Short",H1666-I1666,0))</f>
        <v/>
      </c>
      <c r="K1666" s="10" t="n">
        <v>25.13</v>
      </c>
      <c r="L1666" s="8" t="inlineStr">
        <is>
          <t>EOD-Close</t>
        </is>
      </c>
      <c r="M1666" s="9">
        <f>M1665+J1666</f>
        <v/>
      </c>
    </row>
    <row r="1667">
      <c r="A1667" s="2" t="inlineStr">
        <is>
          <t>2025-04-24</t>
        </is>
      </c>
      <c r="B1667" s="2" t="inlineStr">
        <is>
          <t>Thursday</t>
        </is>
      </c>
      <c r="C1667" s="2" t="inlineStr">
        <is>
          <t>MNQM5</t>
        </is>
      </c>
      <c r="D1667" s="3" t="n">
        <v>18961.25</v>
      </c>
      <c r="E1667" s="3" t="n">
        <v>18846.5</v>
      </c>
      <c r="F1667" s="3">
        <f>D1667-E1667</f>
        <v/>
      </c>
      <c r="G1667" s="2" t="inlineStr">
        <is>
          <t>Long</t>
        </is>
      </c>
      <c r="H1667" s="3" t="n">
        <v>18961.25</v>
      </c>
      <c r="I1667" s="3" t="n">
        <v>19076</v>
      </c>
      <c r="J1667" s="3">
        <f>IF(G1667="Long",I1667-H1667,IF(G1667="Short",H1667-I1667,0))</f>
        <v/>
      </c>
      <c r="K1667" s="4" t="n">
        <v>0</v>
      </c>
      <c r="L1667" s="2" t="inlineStr">
        <is>
          <t>Win</t>
        </is>
      </c>
      <c r="M1667" s="3">
        <f>M1666+J1667</f>
        <v/>
      </c>
    </row>
    <row r="1668">
      <c r="A1668" s="5" t="inlineStr">
        <is>
          <t>2025-04-25</t>
        </is>
      </c>
      <c r="B1668" s="5" t="inlineStr">
        <is>
          <t>Friday</t>
        </is>
      </c>
      <c r="C1668" s="5" t="inlineStr">
        <is>
          <t>MNQM5</t>
        </is>
      </c>
      <c r="D1668" s="6" t="n">
        <v>19363.25</v>
      </c>
      <c r="E1668" s="6" t="n">
        <v>19256.25</v>
      </c>
      <c r="F1668" s="6">
        <f>D1668-E1668</f>
        <v/>
      </c>
      <c r="G1668" s="5" t="inlineStr">
        <is>
          <t>Long</t>
        </is>
      </c>
      <c r="H1668" s="6" t="n">
        <v>19363.25</v>
      </c>
      <c r="I1668" s="6" t="n">
        <v>19256.25</v>
      </c>
      <c r="J1668" s="6">
        <f>IF(G1668="Long",I1668-H1668,IF(G1668="Short",H1668-I1668,0))</f>
        <v/>
      </c>
      <c r="K1668" s="7" t="n">
        <v>100</v>
      </c>
      <c r="L1668" s="5" t="inlineStr">
        <is>
          <t>Loss</t>
        </is>
      </c>
      <c r="M1668" s="6">
        <f>M1667+J1668</f>
        <v/>
      </c>
    </row>
    <row r="1669">
      <c r="A1669" s="2" t="inlineStr">
        <is>
          <t>2025-04-25</t>
        </is>
      </c>
      <c r="B1669" s="2" t="inlineStr">
        <is>
          <t>Friday</t>
        </is>
      </c>
      <c r="C1669" s="2" t="inlineStr">
        <is>
          <t>MNQM5</t>
        </is>
      </c>
      <c r="D1669" s="3" t="n">
        <v>19363.25</v>
      </c>
      <c r="E1669" s="3" t="n">
        <v>19256.25</v>
      </c>
      <c r="F1669" s="3">
        <f>D1669-E1669</f>
        <v/>
      </c>
      <c r="G1669" s="2" t="inlineStr">
        <is>
          <t>Long</t>
        </is>
      </c>
      <c r="H1669" s="3" t="n">
        <v>19363.25</v>
      </c>
      <c r="I1669" s="3" t="n">
        <v>19470.25</v>
      </c>
      <c r="J1669" s="3">
        <f>IF(G1669="Long",I1669-H1669,IF(G1669="Short",H1669-I1669,0))</f>
        <v/>
      </c>
      <c r="K1669" s="4" t="n">
        <v>50.7</v>
      </c>
      <c r="L1669" s="2" t="inlineStr">
        <is>
          <t>Win</t>
        </is>
      </c>
      <c r="M1669" s="3">
        <f>M1668+J1669</f>
        <v/>
      </c>
    </row>
    <row r="1670">
      <c r="A1670" s="2" t="inlineStr">
        <is>
          <t>2025-04-28</t>
        </is>
      </c>
      <c r="B1670" s="2" t="inlineStr">
        <is>
          <t>Monday</t>
        </is>
      </c>
      <c r="C1670" s="2" t="inlineStr">
        <is>
          <t>MNQM5</t>
        </is>
      </c>
      <c r="D1670" s="3" t="n">
        <v>19599</v>
      </c>
      <c r="E1670" s="3" t="n">
        <v>19482.75</v>
      </c>
      <c r="F1670" s="3">
        <f>D1670-E1670</f>
        <v/>
      </c>
      <c r="G1670" s="2" t="inlineStr">
        <is>
          <t>Short</t>
        </is>
      </c>
      <c r="H1670" s="3" t="n">
        <v>19482.75</v>
      </c>
      <c r="I1670" s="3" t="n">
        <v>19366.5</v>
      </c>
      <c r="J1670" s="3">
        <f>IF(G1670="Long",I1670-H1670,IF(G1670="Short",H1670-I1670,0))</f>
        <v/>
      </c>
      <c r="K1670" s="4" t="n">
        <v>48.82</v>
      </c>
      <c r="L1670" s="2" t="inlineStr">
        <is>
          <t>Win</t>
        </is>
      </c>
      <c r="M1670" s="3">
        <f>M1669+J1670</f>
        <v/>
      </c>
    </row>
    <row r="1671">
      <c r="A1671" s="8" t="inlineStr">
        <is>
          <t>2025-04-28</t>
        </is>
      </c>
      <c r="B1671" s="8" t="inlineStr">
        <is>
          <t>Monday</t>
        </is>
      </c>
      <c r="C1671" s="8" t="inlineStr">
        <is>
          <t>MNQM5</t>
        </is>
      </c>
      <c r="D1671" s="9" t="n">
        <v>19599</v>
      </c>
      <c r="E1671" s="9" t="n">
        <v>19482.75</v>
      </c>
      <c r="F1671" s="9">
        <f>D1671-E1671</f>
        <v/>
      </c>
      <c r="G1671" s="8" t="inlineStr">
        <is>
          <t>Short</t>
        </is>
      </c>
      <c r="H1671" s="9" t="n">
        <v>19482.75</v>
      </c>
      <c r="I1671" s="9" t="n">
        <v>19524</v>
      </c>
      <c r="J1671" s="9">
        <f>IF(G1671="Long",I1671-H1671,IF(G1671="Short",H1671-I1671,0))</f>
        <v/>
      </c>
      <c r="K1671" s="10" t="n">
        <v>82.8</v>
      </c>
      <c r="L1671" s="8" t="inlineStr">
        <is>
          <t>EOD-Close</t>
        </is>
      </c>
      <c r="M1671" s="9">
        <f>M1670+J1671</f>
        <v/>
      </c>
    </row>
    <row r="1672">
      <c r="A1672" s="2" t="inlineStr">
        <is>
          <t>2025-04-29</t>
        </is>
      </c>
      <c r="B1672" s="2" t="inlineStr">
        <is>
          <t>Tuesday</t>
        </is>
      </c>
      <c r="C1672" s="2" t="inlineStr">
        <is>
          <t>MNQM5</t>
        </is>
      </c>
      <c r="D1672" s="3" t="n">
        <v>19477.5</v>
      </c>
      <c r="E1672" s="3" t="n">
        <v>19404</v>
      </c>
      <c r="F1672" s="3">
        <f>D1672-E1672</f>
        <v/>
      </c>
      <c r="G1672" s="2" t="inlineStr">
        <is>
          <t>Long</t>
        </is>
      </c>
      <c r="H1672" s="3" t="n">
        <v>19477.5</v>
      </c>
      <c r="I1672" s="3" t="n">
        <v>19551</v>
      </c>
      <c r="J1672" s="3">
        <f>IF(G1672="Long",I1672-H1672,IF(G1672="Short",H1672-I1672,0))</f>
        <v/>
      </c>
      <c r="K1672" s="4" t="n">
        <v>11.22</v>
      </c>
      <c r="L1672" s="2" t="inlineStr">
        <is>
          <t>Win</t>
        </is>
      </c>
      <c r="M1672" s="3">
        <f>M1671+J1672</f>
        <v/>
      </c>
    </row>
    <row r="1673">
      <c r="A1673" s="2" t="inlineStr">
        <is>
          <t>2025-04-29</t>
        </is>
      </c>
      <c r="B1673" s="2" t="inlineStr">
        <is>
          <t>Tuesday</t>
        </is>
      </c>
      <c r="C1673" s="2" t="inlineStr">
        <is>
          <t>MNQM5</t>
        </is>
      </c>
      <c r="D1673" s="3" t="n">
        <v>19477.5</v>
      </c>
      <c r="E1673" s="3" t="n">
        <v>19404</v>
      </c>
      <c r="F1673" s="3">
        <f>D1673-E1673</f>
        <v/>
      </c>
      <c r="G1673" s="2" t="inlineStr">
        <is>
          <t>Long</t>
        </is>
      </c>
      <c r="H1673" s="3" t="n">
        <v>19477.5</v>
      </c>
      <c r="I1673" s="3" t="n">
        <v>19551</v>
      </c>
      <c r="J1673" s="3">
        <f>IF(G1673="Long",I1673-H1673,IF(G1673="Short",H1673-I1673,0))</f>
        <v/>
      </c>
      <c r="K1673" s="4" t="n">
        <v>2.04</v>
      </c>
      <c r="L1673" s="2" t="inlineStr">
        <is>
          <t>Win</t>
        </is>
      </c>
      <c r="M1673" s="3">
        <f>M1672+J1673</f>
        <v/>
      </c>
    </row>
    <row r="1674">
      <c r="A1674" s="5" t="inlineStr">
        <is>
          <t>2025-04-30</t>
        </is>
      </c>
      <c r="B1674" s="5" t="inlineStr">
        <is>
          <t>Wednesday</t>
        </is>
      </c>
      <c r="C1674" s="5" t="inlineStr">
        <is>
          <t>MNQM5</t>
        </is>
      </c>
      <c r="D1674" s="6" t="n">
        <v>19304.25</v>
      </c>
      <c r="E1674" s="6" t="n">
        <v>19135.25</v>
      </c>
      <c r="F1674" s="6">
        <f>D1674-E1674</f>
        <v/>
      </c>
      <c r="G1674" s="5" t="inlineStr">
        <is>
          <t>Short</t>
        </is>
      </c>
      <c r="H1674" s="6" t="n">
        <v>19135.25</v>
      </c>
      <c r="I1674" s="6" t="n">
        <v>19304.25</v>
      </c>
      <c r="J1674" s="6">
        <f>IF(G1674="Long",I1674-H1674,IF(G1674="Short",H1674-I1674,0))</f>
        <v/>
      </c>
      <c r="K1674" s="7" t="n">
        <v>100</v>
      </c>
      <c r="L1674" s="5" t="inlineStr">
        <is>
          <t>Loss</t>
        </is>
      </c>
      <c r="M1674" s="6">
        <f>M1673+J1674</f>
        <v/>
      </c>
    </row>
    <row r="1675">
      <c r="A1675" s="2" t="inlineStr">
        <is>
          <t>2025-04-30</t>
        </is>
      </c>
      <c r="B1675" s="2" t="inlineStr">
        <is>
          <t>Wednesday</t>
        </is>
      </c>
      <c r="C1675" s="2" t="inlineStr">
        <is>
          <t>MNQM5</t>
        </is>
      </c>
      <c r="D1675" s="3" t="n">
        <v>19304.25</v>
      </c>
      <c r="E1675" s="3" t="n">
        <v>19135.25</v>
      </c>
      <c r="F1675" s="3">
        <f>D1675-E1675</f>
        <v/>
      </c>
      <c r="G1675" s="2" t="inlineStr">
        <is>
          <t>Long</t>
        </is>
      </c>
      <c r="H1675" s="3" t="n">
        <v>19304.25</v>
      </c>
      <c r="I1675" s="3" t="n">
        <v>19473.25</v>
      </c>
      <c r="J1675" s="3">
        <f>IF(G1675="Long",I1675-H1675,IF(G1675="Short",H1675-I1675,0))</f>
        <v/>
      </c>
      <c r="K1675" s="4" t="n">
        <v>16.86</v>
      </c>
      <c r="L1675" s="2" t="inlineStr">
        <is>
          <t>Win</t>
        </is>
      </c>
      <c r="M1675" s="3">
        <f>M1674+J1675</f>
        <v/>
      </c>
    </row>
    <row r="1676">
      <c r="A1676" s="5" t="inlineStr">
        <is>
          <t>2025-05-01</t>
        </is>
      </c>
      <c r="B1676" s="5" t="inlineStr">
        <is>
          <t>Thursday</t>
        </is>
      </c>
      <c r="C1676" s="5" t="inlineStr">
        <is>
          <t>MNQM5</t>
        </is>
      </c>
      <c r="D1676" s="6" t="n">
        <v>19990.5</v>
      </c>
      <c r="E1676" s="6" t="n">
        <v>19888.5</v>
      </c>
      <c r="F1676" s="6">
        <f>D1676-E1676</f>
        <v/>
      </c>
      <c r="G1676" s="5" t="inlineStr">
        <is>
          <t>Short</t>
        </is>
      </c>
      <c r="H1676" s="6" t="n">
        <v>19888.5</v>
      </c>
      <c r="I1676" s="6" t="n">
        <v>19990.5</v>
      </c>
      <c r="J1676" s="6">
        <f>IF(G1676="Long",I1676-H1676,IF(G1676="Short",H1676-I1676,0))</f>
        <v/>
      </c>
      <c r="K1676" s="7" t="n">
        <v>100</v>
      </c>
      <c r="L1676" s="5" t="inlineStr">
        <is>
          <t>Loss</t>
        </is>
      </c>
      <c r="M1676" s="6">
        <f>M1675+J1676</f>
        <v/>
      </c>
    </row>
    <row r="1677">
      <c r="A1677" s="2" t="inlineStr">
        <is>
          <t>2025-05-01</t>
        </is>
      </c>
      <c r="B1677" s="2" t="inlineStr">
        <is>
          <t>Thursday</t>
        </is>
      </c>
      <c r="C1677" s="2" t="inlineStr">
        <is>
          <t>MNQM5</t>
        </is>
      </c>
      <c r="D1677" s="3" t="n">
        <v>19990.5</v>
      </c>
      <c r="E1677" s="3" t="n">
        <v>19888.5</v>
      </c>
      <c r="F1677" s="3">
        <f>D1677-E1677</f>
        <v/>
      </c>
      <c r="G1677" s="2" t="inlineStr">
        <is>
          <t>Long</t>
        </is>
      </c>
      <c r="H1677" s="3" t="n">
        <v>19990.5</v>
      </c>
      <c r="I1677" s="3" t="n">
        <v>20092.5</v>
      </c>
      <c r="J1677" s="3">
        <f>IF(G1677="Long",I1677-H1677,IF(G1677="Short",H1677-I1677,0))</f>
        <v/>
      </c>
      <c r="K1677" s="4" t="n">
        <v>15.2</v>
      </c>
      <c r="L1677" s="2" t="inlineStr">
        <is>
          <t>Win</t>
        </is>
      </c>
      <c r="M1677" s="3">
        <f>M1676+J1677</f>
        <v/>
      </c>
    </row>
    <row r="1678">
      <c r="A1678" s="2" t="inlineStr">
        <is>
          <t>2025-05-02</t>
        </is>
      </c>
      <c r="B1678" s="2" t="inlineStr">
        <is>
          <t>Friday</t>
        </is>
      </c>
      <c r="C1678" s="2" t="inlineStr">
        <is>
          <t>MNQM5</t>
        </is>
      </c>
      <c r="D1678" s="3" t="n">
        <v>20125</v>
      </c>
      <c r="E1678" s="3" t="n">
        <v>20033</v>
      </c>
      <c r="F1678" s="3">
        <f>D1678-E1678</f>
        <v/>
      </c>
      <c r="G1678" s="2" t="inlineStr">
        <is>
          <t>Long</t>
        </is>
      </c>
      <c r="H1678" s="3" t="n">
        <v>20125</v>
      </c>
      <c r="I1678" s="3" t="n">
        <v>20217</v>
      </c>
      <c r="J1678" s="3">
        <f>IF(G1678="Long",I1678-H1678,IF(G1678="Short",H1678-I1678,0))</f>
        <v/>
      </c>
      <c r="K1678" s="4" t="n">
        <v>14.67</v>
      </c>
      <c r="L1678" s="2" t="inlineStr">
        <is>
          <t>Win</t>
        </is>
      </c>
      <c r="M1678" s="3">
        <f>M1677+J1678</f>
        <v/>
      </c>
    </row>
    <row r="1679">
      <c r="A1679" s="2" t="inlineStr">
        <is>
          <t>2025-05-05</t>
        </is>
      </c>
      <c r="B1679" s="2" t="inlineStr">
        <is>
          <t>Monday</t>
        </is>
      </c>
      <c r="C1679" s="2" t="inlineStr">
        <is>
          <t>MNQM5</t>
        </is>
      </c>
      <c r="D1679" s="3" t="n">
        <v>20053.75</v>
      </c>
      <c r="E1679" s="3" t="n">
        <v>19985.25</v>
      </c>
      <c r="F1679" s="3">
        <f>D1679-E1679</f>
        <v/>
      </c>
      <c r="G1679" s="2" t="inlineStr">
        <is>
          <t>Long</t>
        </is>
      </c>
      <c r="H1679" s="3" t="n">
        <v>20053.75</v>
      </c>
      <c r="I1679" s="3" t="n">
        <v>20122.25</v>
      </c>
      <c r="J1679" s="3">
        <f>IF(G1679="Long",I1679-H1679,IF(G1679="Short",H1679-I1679,0))</f>
        <v/>
      </c>
      <c r="K1679" s="4" t="n">
        <v>65.33</v>
      </c>
      <c r="L1679" s="2" t="inlineStr">
        <is>
          <t>Win</t>
        </is>
      </c>
      <c r="M1679" s="3">
        <f>M1678+J1679</f>
        <v/>
      </c>
    </row>
    <row r="1680">
      <c r="A1680" s="8" t="inlineStr">
        <is>
          <t>2025-05-05</t>
        </is>
      </c>
      <c r="B1680" s="8" t="inlineStr">
        <is>
          <t>Monday</t>
        </is>
      </c>
      <c r="C1680" s="8" t="inlineStr">
        <is>
          <t>MNQM5</t>
        </is>
      </c>
      <c r="D1680" s="9" t="n">
        <v>20053.75</v>
      </c>
      <c r="E1680" s="9" t="n">
        <v>19985.25</v>
      </c>
      <c r="F1680" s="9">
        <f>D1680-E1680</f>
        <v/>
      </c>
      <c r="G1680" s="8" t="inlineStr">
        <is>
          <t>Long</t>
        </is>
      </c>
      <c r="H1680" s="9" t="n">
        <v>20053.75</v>
      </c>
      <c r="I1680" s="9" t="n">
        <v>20065.5</v>
      </c>
      <c r="J1680" s="9">
        <f>IF(G1680="Long",I1680-H1680,IF(G1680="Short",H1680-I1680,0))</f>
        <v/>
      </c>
      <c r="K1680" s="10" t="n">
        <v>13.14</v>
      </c>
      <c r="L1680" s="8" t="inlineStr">
        <is>
          <t>EOD-Close</t>
        </is>
      </c>
      <c r="M1680" s="9">
        <f>M1679+J1680</f>
        <v/>
      </c>
    </row>
    <row r="1681">
      <c r="A1681" s="5" t="inlineStr">
        <is>
          <t>2025-05-06</t>
        </is>
      </c>
      <c r="B1681" s="5" t="inlineStr">
        <is>
          <t>Tuesday</t>
        </is>
      </c>
      <c r="C1681" s="5" t="inlineStr">
        <is>
          <t>MNQM5</t>
        </is>
      </c>
      <c r="D1681" s="6" t="n">
        <v>19864.5</v>
      </c>
      <c r="E1681" s="6" t="n">
        <v>19779.25</v>
      </c>
      <c r="F1681" s="6">
        <f>D1681-E1681</f>
        <v/>
      </c>
      <c r="G1681" s="5" t="inlineStr">
        <is>
          <t>Short</t>
        </is>
      </c>
      <c r="H1681" s="6" t="n">
        <v>19779.25</v>
      </c>
      <c r="I1681" s="6" t="n">
        <v>19864.5</v>
      </c>
      <c r="J1681" s="6">
        <f>IF(G1681="Long",I1681-H1681,IF(G1681="Short",H1681-I1681,0))</f>
        <v/>
      </c>
      <c r="K1681" s="7" t="n">
        <v>100</v>
      </c>
      <c r="L1681" s="5" t="inlineStr">
        <is>
          <t>Loss</t>
        </is>
      </c>
      <c r="M1681" s="6">
        <f>M1680+J1681</f>
        <v/>
      </c>
    </row>
    <row r="1682">
      <c r="A1682" s="2" t="inlineStr">
        <is>
          <t>2025-05-06</t>
        </is>
      </c>
      <c r="B1682" s="2" t="inlineStr">
        <is>
          <t>Tuesday</t>
        </is>
      </c>
      <c r="C1682" s="2" t="inlineStr">
        <is>
          <t>MNQM5</t>
        </is>
      </c>
      <c r="D1682" s="3" t="n">
        <v>19864.5</v>
      </c>
      <c r="E1682" s="3" t="n">
        <v>19779.25</v>
      </c>
      <c r="F1682" s="3">
        <f>D1682-E1682</f>
        <v/>
      </c>
      <c r="G1682" s="2" t="inlineStr">
        <is>
          <t>Long</t>
        </is>
      </c>
      <c r="H1682" s="3" t="n">
        <v>19864.5</v>
      </c>
      <c r="I1682" s="3" t="n">
        <v>19949.75</v>
      </c>
      <c r="J1682" s="3">
        <f>IF(G1682="Long",I1682-H1682,IF(G1682="Short",H1682-I1682,0))</f>
        <v/>
      </c>
      <c r="K1682" s="4" t="n">
        <v>0</v>
      </c>
      <c r="L1682" s="2" t="inlineStr">
        <is>
          <t>Win</t>
        </is>
      </c>
      <c r="M1682" s="3">
        <f>M1681+J1682</f>
        <v/>
      </c>
    </row>
    <row r="1683">
      <c r="A1683" s="5" t="inlineStr">
        <is>
          <t>2025-05-07</t>
        </is>
      </c>
      <c r="B1683" s="5" t="inlineStr">
        <is>
          <t>Wednesday</t>
        </is>
      </c>
      <c r="C1683" s="5" t="inlineStr">
        <is>
          <t>MNQM5</t>
        </is>
      </c>
      <c r="D1683" s="6" t="n">
        <v>19934.25</v>
      </c>
      <c r="E1683" s="6" t="n">
        <v>19866</v>
      </c>
      <c r="F1683" s="6">
        <f>D1683-E1683</f>
        <v/>
      </c>
      <c r="G1683" s="5" t="inlineStr">
        <is>
          <t>Long</t>
        </is>
      </c>
      <c r="H1683" s="6" t="n">
        <v>19934.25</v>
      </c>
      <c r="I1683" s="6" t="n">
        <v>19866</v>
      </c>
      <c r="J1683" s="6">
        <f>IF(G1683="Long",I1683-H1683,IF(G1683="Short",H1683-I1683,0))</f>
        <v/>
      </c>
      <c r="K1683" s="7" t="n">
        <v>100</v>
      </c>
      <c r="L1683" s="5" t="inlineStr">
        <is>
          <t>Loss</t>
        </is>
      </c>
      <c r="M1683" s="6">
        <f>M1682+J1683</f>
        <v/>
      </c>
    </row>
    <row r="1684">
      <c r="A1684" s="2" t="inlineStr">
        <is>
          <t>2025-05-07</t>
        </is>
      </c>
      <c r="B1684" s="2" t="inlineStr">
        <is>
          <t>Wednesday</t>
        </is>
      </c>
      <c r="C1684" s="2" t="inlineStr">
        <is>
          <t>MNQM5</t>
        </is>
      </c>
      <c r="D1684" s="3" t="n">
        <v>19934.25</v>
      </c>
      <c r="E1684" s="3" t="n">
        <v>19866</v>
      </c>
      <c r="F1684" s="3">
        <f>D1684-E1684</f>
        <v/>
      </c>
      <c r="G1684" s="2" t="inlineStr">
        <is>
          <t>Short</t>
        </is>
      </c>
      <c r="H1684" s="3" t="n">
        <v>19866</v>
      </c>
      <c r="I1684" s="3" t="n">
        <v>19797.75</v>
      </c>
      <c r="J1684" s="3">
        <f>IF(G1684="Long",I1684-H1684,IF(G1684="Short",H1684-I1684,0))</f>
        <v/>
      </c>
      <c r="K1684" s="4" t="n">
        <v>0</v>
      </c>
      <c r="L1684" s="2" t="inlineStr">
        <is>
          <t>Win</t>
        </is>
      </c>
      <c r="M1684" s="3">
        <f>M1683+J1684</f>
        <v/>
      </c>
    </row>
    <row r="1685">
      <c r="A1685" s="2" t="inlineStr">
        <is>
          <t>2025-05-08</t>
        </is>
      </c>
      <c r="B1685" s="2" t="inlineStr">
        <is>
          <t>Thursday</t>
        </is>
      </c>
      <c r="C1685" s="2" t="inlineStr">
        <is>
          <t>MNQM5</t>
        </is>
      </c>
      <c r="D1685" s="3" t="n">
        <v>20174.5</v>
      </c>
      <c r="E1685" s="3" t="n">
        <v>20097.75</v>
      </c>
      <c r="F1685" s="3">
        <f>D1685-E1685</f>
        <v/>
      </c>
      <c r="G1685" s="2" t="inlineStr">
        <is>
          <t>Short</t>
        </is>
      </c>
      <c r="H1685" s="3" t="n">
        <v>20097.75</v>
      </c>
      <c r="I1685" s="3" t="n">
        <v>20021</v>
      </c>
      <c r="J1685" s="3">
        <f>IF(G1685="Long",I1685-H1685,IF(G1685="Short",H1685-I1685,0))</f>
        <v/>
      </c>
      <c r="K1685" s="4" t="n">
        <v>35.18</v>
      </c>
      <c r="L1685" s="2" t="inlineStr">
        <is>
          <t>Win</t>
        </is>
      </c>
      <c r="M1685" s="3">
        <f>M1684+J1685</f>
        <v/>
      </c>
    </row>
    <row r="1686">
      <c r="A1686" s="5" t="inlineStr">
        <is>
          <t>2025-05-08</t>
        </is>
      </c>
      <c r="B1686" s="5" t="inlineStr">
        <is>
          <t>Thursday</t>
        </is>
      </c>
      <c r="C1686" s="5" t="inlineStr">
        <is>
          <t>MNQM5</t>
        </is>
      </c>
      <c r="D1686" s="6" t="n">
        <v>20174.5</v>
      </c>
      <c r="E1686" s="6" t="n">
        <v>20097.75</v>
      </c>
      <c r="F1686" s="6">
        <f>D1686-E1686</f>
        <v/>
      </c>
      <c r="G1686" s="5" t="inlineStr">
        <is>
          <t>Short</t>
        </is>
      </c>
      <c r="H1686" s="6" t="n">
        <v>20097.75</v>
      </c>
      <c r="I1686" s="6" t="n">
        <v>20174.5</v>
      </c>
      <c r="J1686" s="6">
        <f>IF(G1686="Long",I1686-H1686,IF(G1686="Short",H1686-I1686,0))</f>
        <v/>
      </c>
      <c r="K1686" s="7" t="n">
        <v>100</v>
      </c>
      <c r="L1686" s="5" t="inlineStr">
        <is>
          <t>Loss</t>
        </is>
      </c>
      <c r="M1686" s="6">
        <f>M1685+J1686</f>
        <v/>
      </c>
    </row>
    <row r="1687">
      <c r="A1687" s="2" t="inlineStr">
        <is>
          <t>2025-05-09</t>
        </is>
      </c>
      <c r="B1687" s="2" t="inlineStr">
        <is>
          <t>Friday</t>
        </is>
      </c>
      <c r="C1687" s="2" t="inlineStr">
        <is>
          <t>MNQM5</t>
        </is>
      </c>
      <c r="D1687" s="3" t="n">
        <v>20279.75</v>
      </c>
      <c r="E1687" s="3" t="n">
        <v>20220</v>
      </c>
      <c r="F1687" s="3">
        <f>D1687-E1687</f>
        <v/>
      </c>
      <c r="G1687" s="2" t="inlineStr">
        <is>
          <t>Short</t>
        </is>
      </c>
      <c r="H1687" s="3" t="n">
        <v>20220</v>
      </c>
      <c r="I1687" s="3" t="n">
        <v>20160.25</v>
      </c>
      <c r="J1687" s="3">
        <f>IF(G1687="Long",I1687-H1687,IF(G1687="Short",H1687-I1687,0))</f>
        <v/>
      </c>
      <c r="K1687" s="4" t="n">
        <v>0</v>
      </c>
      <c r="L1687" s="2" t="inlineStr">
        <is>
          <t>Win</t>
        </is>
      </c>
      <c r="M1687" s="3">
        <f>M1686+J1687</f>
        <v/>
      </c>
    </row>
    <row r="1688">
      <c r="A1688" s="5" t="inlineStr">
        <is>
          <t>2025-05-12</t>
        </is>
      </c>
      <c r="B1688" s="5" t="inlineStr">
        <is>
          <t>Monday</t>
        </is>
      </c>
      <c r="C1688" s="5" t="inlineStr">
        <is>
          <t>MNQM5</t>
        </is>
      </c>
      <c r="D1688" s="6" t="n">
        <v>20922.25</v>
      </c>
      <c r="E1688" s="6" t="n">
        <v>20746.5</v>
      </c>
      <c r="F1688" s="6">
        <f>D1688-E1688</f>
        <v/>
      </c>
      <c r="G1688" s="5" t="inlineStr">
        <is>
          <t>Short</t>
        </is>
      </c>
      <c r="H1688" s="6" t="n">
        <v>20746.5</v>
      </c>
      <c r="I1688" s="6" t="n">
        <v>20922.25</v>
      </c>
      <c r="J1688" s="6">
        <f>IF(G1688="Long",I1688-H1688,IF(G1688="Short",H1688-I1688,0))</f>
        <v/>
      </c>
      <c r="K1688" s="7" t="n">
        <v>100</v>
      </c>
      <c r="L1688" s="5" t="inlineStr">
        <is>
          <t>Loss</t>
        </is>
      </c>
      <c r="M1688" s="6">
        <f>M1687+J1688</f>
        <v/>
      </c>
    </row>
    <row r="1689">
      <c r="A1689" s="8" t="inlineStr">
        <is>
          <t>2025-05-12</t>
        </is>
      </c>
      <c r="B1689" s="8" t="inlineStr">
        <is>
          <t>Monday</t>
        </is>
      </c>
      <c r="C1689" s="8" t="inlineStr">
        <is>
          <t>MNQM5</t>
        </is>
      </c>
      <c r="D1689" s="9" t="n">
        <v>20922.25</v>
      </c>
      <c r="E1689" s="9" t="n">
        <v>20746.5</v>
      </c>
      <c r="F1689" s="9">
        <f>D1689-E1689</f>
        <v/>
      </c>
      <c r="G1689" s="8" t="inlineStr">
        <is>
          <t>Long</t>
        </is>
      </c>
      <c r="H1689" s="9" t="n">
        <v>20922.25</v>
      </c>
      <c r="I1689" s="9" t="n">
        <v>20949.75</v>
      </c>
      <c r="J1689" s="9">
        <f>IF(G1689="Long",I1689-H1689,IF(G1689="Short",H1689-I1689,0))</f>
        <v/>
      </c>
      <c r="K1689" s="10" t="n">
        <v>36.84</v>
      </c>
      <c r="L1689" s="8" t="inlineStr">
        <is>
          <t>EOD-Close</t>
        </is>
      </c>
      <c r="M1689" s="9">
        <f>M1688+J1689</f>
        <v/>
      </c>
    </row>
    <row r="1690">
      <c r="A1690" s="2" t="inlineStr">
        <is>
          <t>2025-05-13</t>
        </is>
      </c>
      <c r="B1690" s="2" t="inlineStr">
        <is>
          <t>Tuesday</t>
        </is>
      </c>
      <c r="C1690" s="2" t="inlineStr">
        <is>
          <t>MNQM5</t>
        </is>
      </c>
      <c r="D1690" s="3" t="n">
        <v>21080.5</v>
      </c>
      <c r="E1690" s="3" t="n">
        <v>20973.25</v>
      </c>
      <c r="F1690" s="3">
        <f>D1690-E1690</f>
        <v/>
      </c>
      <c r="G1690" s="2" t="inlineStr">
        <is>
          <t>Long</t>
        </is>
      </c>
      <c r="H1690" s="3" t="n">
        <v>21080.5</v>
      </c>
      <c r="I1690" s="3" t="n">
        <v>21187.75</v>
      </c>
      <c r="J1690" s="3">
        <f>IF(G1690="Long",I1690-H1690,IF(G1690="Short",H1690-I1690,0))</f>
        <v/>
      </c>
      <c r="K1690" s="4" t="n">
        <v>0</v>
      </c>
      <c r="L1690" s="2" t="inlineStr">
        <is>
          <t>Win</t>
        </is>
      </c>
      <c r="M1690" s="3">
        <f>M1689+J1690</f>
        <v/>
      </c>
    </row>
    <row r="1691">
      <c r="A1691" s="5" t="inlineStr">
        <is>
          <t>2025-05-14</t>
        </is>
      </c>
      <c r="B1691" s="5" t="inlineStr">
        <is>
          <t>Wednesday</t>
        </is>
      </c>
      <c r="C1691" s="5" t="inlineStr">
        <is>
          <t>MNQM5</t>
        </is>
      </c>
      <c r="D1691" s="6" t="n">
        <v>21404.75</v>
      </c>
      <c r="E1691" s="6" t="n">
        <v>21314</v>
      </c>
      <c r="F1691" s="6">
        <f>D1691-E1691</f>
        <v/>
      </c>
      <c r="G1691" s="5" t="inlineStr">
        <is>
          <t>Short</t>
        </is>
      </c>
      <c r="H1691" s="6" t="n">
        <v>21314</v>
      </c>
      <c r="I1691" s="6" t="n">
        <v>21404.75</v>
      </c>
      <c r="J1691" s="6">
        <f>IF(G1691="Long",I1691-H1691,IF(G1691="Short",H1691-I1691,0))</f>
        <v/>
      </c>
      <c r="K1691" s="7" t="n">
        <v>100</v>
      </c>
      <c r="L1691" s="5" t="inlineStr">
        <is>
          <t>Loss</t>
        </is>
      </c>
      <c r="M1691" s="6">
        <f>M1690+J1691</f>
        <v/>
      </c>
    </row>
    <row r="1692">
      <c r="A1692" s="5" t="inlineStr">
        <is>
          <t>2025-05-14</t>
        </is>
      </c>
      <c r="B1692" s="5" t="inlineStr">
        <is>
          <t>Wednesday</t>
        </is>
      </c>
      <c r="C1692" s="5" t="inlineStr">
        <is>
          <t>MNQM5</t>
        </is>
      </c>
      <c r="D1692" s="6" t="n">
        <v>21404.75</v>
      </c>
      <c r="E1692" s="6" t="n">
        <v>21314</v>
      </c>
      <c r="F1692" s="6">
        <f>D1692-E1692</f>
        <v/>
      </c>
      <c r="G1692" s="5" t="inlineStr">
        <is>
          <t>Long</t>
        </is>
      </c>
      <c r="H1692" s="6" t="n">
        <v>21404.75</v>
      </c>
      <c r="I1692" s="6" t="n">
        <v>21314</v>
      </c>
      <c r="J1692" s="6">
        <f>IF(G1692="Long",I1692-H1692,IF(G1692="Short",H1692-I1692,0))</f>
        <v/>
      </c>
      <c r="K1692" s="7" t="n">
        <v>100</v>
      </c>
      <c r="L1692" s="5" t="inlineStr">
        <is>
          <t>Loss</t>
        </is>
      </c>
      <c r="M1692" s="6">
        <f>M1691+J1692</f>
        <v/>
      </c>
    </row>
    <row r="1693">
      <c r="A1693" s="5" t="inlineStr">
        <is>
          <t>2025-05-15</t>
        </is>
      </c>
      <c r="B1693" s="5" t="inlineStr">
        <is>
          <t>Thursday</t>
        </is>
      </c>
      <c r="C1693" s="5" t="inlineStr">
        <is>
          <t>MNQM5</t>
        </is>
      </c>
      <c r="D1693" s="6" t="n">
        <v>21339.5</v>
      </c>
      <c r="E1693" s="6" t="n">
        <v>21276.75</v>
      </c>
      <c r="F1693" s="6">
        <f>D1693-E1693</f>
        <v/>
      </c>
      <c r="G1693" s="5" t="inlineStr">
        <is>
          <t>Short</t>
        </is>
      </c>
      <c r="H1693" s="6" t="n">
        <v>21276.75</v>
      </c>
      <c r="I1693" s="6" t="n">
        <v>21339.5</v>
      </c>
      <c r="J1693" s="6">
        <f>IF(G1693="Long",I1693-H1693,IF(G1693="Short",H1693-I1693,0))</f>
        <v/>
      </c>
      <c r="K1693" s="7" t="n">
        <v>100</v>
      </c>
      <c r="L1693" s="5" t="inlineStr">
        <is>
          <t>Loss</t>
        </is>
      </c>
      <c r="M1693" s="6">
        <f>M1692+J1693</f>
        <v/>
      </c>
    </row>
    <row r="1694">
      <c r="A1694" s="5" t="inlineStr">
        <is>
          <t>2025-05-15</t>
        </is>
      </c>
      <c r="B1694" s="5" t="inlineStr">
        <is>
          <t>Thursday</t>
        </is>
      </c>
      <c r="C1694" s="5" t="inlineStr">
        <is>
          <t>MNQM5</t>
        </is>
      </c>
      <c r="D1694" s="6" t="n">
        <v>21339.5</v>
      </c>
      <c r="E1694" s="6" t="n">
        <v>21276.75</v>
      </c>
      <c r="F1694" s="6">
        <f>D1694-E1694</f>
        <v/>
      </c>
      <c r="G1694" s="5" t="inlineStr">
        <is>
          <t>Short</t>
        </is>
      </c>
      <c r="H1694" s="6" t="n">
        <v>21276.75</v>
      </c>
      <c r="I1694" s="6" t="n">
        <v>21339.5</v>
      </c>
      <c r="J1694" s="6">
        <f>IF(G1694="Long",I1694-H1694,IF(G1694="Short",H1694-I1694,0))</f>
        <v/>
      </c>
      <c r="K1694" s="7" t="n">
        <v>100</v>
      </c>
      <c r="L1694" s="5" t="inlineStr">
        <is>
          <t>Loss</t>
        </is>
      </c>
      <c r="M1694" s="6">
        <f>M1693+J1694</f>
        <v/>
      </c>
    </row>
    <row r="1695">
      <c r="A1695" s="5" t="inlineStr">
        <is>
          <t>2025-05-16</t>
        </is>
      </c>
      <c r="B1695" s="5" t="inlineStr">
        <is>
          <t>Friday</t>
        </is>
      </c>
      <c r="C1695" s="5" t="inlineStr">
        <is>
          <t>MNQM5</t>
        </is>
      </c>
      <c r="D1695" s="6" t="n">
        <v>21470.25</v>
      </c>
      <c r="E1695" s="6" t="n">
        <v>21388.75</v>
      </c>
      <c r="F1695" s="6">
        <f>D1695-E1695</f>
        <v/>
      </c>
      <c r="G1695" s="5" t="inlineStr">
        <is>
          <t>Short</t>
        </is>
      </c>
      <c r="H1695" s="6" t="n">
        <v>21388.75</v>
      </c>
      <c r="I1695" s="6" t="n">
        <v>21470.25</v>
      </c>
      <c r="J1695" s="6">
        <f>IF(G1695="Long",I1695-H1695,IF(G1695="Short",H1695-I1695,0))</f>
        <v/>
      </c>
      <c r="K1695" s="7" t="n">
        <v>100</v>
      </c>
      <c r="L1695" s="5" t="inlineStr">
        <is>
          <t>Loss</t>
        </is>
      </c>
      <c r="M1695" s="6">
        <f>M1694+J1695</f>
        <v/>
      </c>
    </row>
    <row r="1696">
      <c r="A1696" s="8" t="inlineStr">
        <is>
          <t>2025-05-16</t>
        </is>
      </c>
      <c r="B1696" s="8" t="inlineStr">
        <is>
          <t>Friday</t>
        </is>
      </c>
      <c r="C1696" s="8" t="inlineStr">
        <is>
          <t>MNQM5</t>
        </is>
      </c>
      <c r="D1696" s="9" t="n">
        <v>21470.25</v>
      </c>
      <c r="E1696" s="9" t="n">
        <v>21388.75</v>
      </c>
      <c r="F1696" s="9">
        <f>D1696-E1696</f>
        <v/>
      </c>
      <c r="G1696" s="8" t="inlineStr">
        <is>
          <t>Long</t>
        </is>
      </c>
      <c r="H1696" s="9" t="n">
        <v>21470.25</v>
      </c>
      <c r="I1696" s="9" t="n">
        <v>21505.25</v>
      </c>
      <c r="J1696" s="9">
        <f>IF(G1696="Long",I1696-H1696,IF(G1696="Short",H1696-I1696,0))</f>
        <v/>
      </c>
      <c r="K1696" s="10" t="n">
        <v>43.87</v>
      </c>
      <c r="L1696" s="8" t="inlineStr">
        <is>
          <t>EOD-Close</t>
        </is>
      </c>
      <c r="M1696" s="9">
        <f>M1695+J1696</f>
        <v/>
      </c>
    </row>
    <row r="1697">
      <c r="A1697" s="2" t="inlineStr">
        <is>
          <t>2025-05-19</t>
        </is>
      </c>
      <c r="B1697" s="2" t="inlineStr">
        <is>
          <t>Monday</t>
        </is>
      </c>
      <c r="C1697" s="2" t="inlineStr">
        <is>
          <t>MNQM5</t>
        </is>
      </c>
      <c r="D1697" s="3" t="n">
        <v>21335</v>
      </c>
      <c r="E1697" s="3" t="n">
        <v>21201.5</v>
      </c>
      <c r="F1697" s="3">
        <f>D1697-E1697</f>
        <v/>
      </c>
      <c r="G1697" s="2" t="inlineStr">
        <is>
          <t>Long</t>
        </is>
      </c>
      <c r="H1697" s="3" t="n">
        <v>21335</v>
      </c>
      <c r="I1697" s="3" t="n">
        <v>21468.5</v>
      </c>
      <c r="J1697" s="3">
        <f>IF(G1697="Long",I1697-H1697,IF(G1697="Short",H1697-I1697,0))</f>
        <v/>
      </c>
      <c r="K1697" s="4" t="n">
        <v>0</v>
      </c>
      <c r="L1697" s="2" t="inlineStr">
        <is>
          <t>Win</t>
        </is>
      </c>
      <c r="M1697" s="3">
        <f>M1696+J1697</f>
        <v/>
      </c>
    </row>
    <row r="1698">
      <c r="A1698" s="5" t="inlineStr">
        <is>
          <t>2025-05-20</t>
        </is>
      </c>
      <c r="B1698" s="5" t="inlineStr">
        <is>
          <t>Tuesday</t>
        </is>
      </c>
      <c r="C1698" s="5" t="inlineStr">
        <is>
          <t>MNQM5</t>
        </is>
      </c>
      <c r="D1698" s="6" t="n">
        <v>21439.75</v>
      </c>
      <c r="E1698" s="6" t="n">
        <v>21390.5</v>
      </c>
      <c r="F1698" s="6">
        <f>D1698-E1698</f>
        <v/>
      </c>
      <c r="G1698" s="5" t="inlineStr">
        <is>
          <t>Short</t>
        </is>
      </c>
      <c r="H1698" s="6" t="n">
        <v>21390.5</v>
      </c>
      <c r="I1698" s="6" t="n">
        <v>21439.75</v>
      </c>
      <c r="J1698" s="6">
        <f>IF(G1698="Long",I1698-H1698,IF(G1698="Short",H1698-I1698,0))</f>
        <v/>
      </c>
      <c r="K1698" s="7" t="n">
        <v>100</v>
      </c>
      <c r="L1698" s="5" t="inlineStr">
        <is>
          <t>Loss</t>
        </is>
      </c>
      <c r="M1698" s="6">
        <f>M1697+J1698</f>
        <v/>
      </c>
    </row>
    <row r="1699">
      <c r="A1699" s="5" t="inlineStr">
        <is>
          <t>2025-05-20</t>
        </is>
      </c>
      <c r="B1699" s="5" t="inlineStr">
        <is>
          <t>Tuesday</t>
        </is>
      </c>
      <c r="C1699" s="5" t="inlineStr">
        <is>
          <t>MNQM5</t>
        </is>
      </c>
      <c r="D1699" s="6" t="n">
        <v>21439.75</v>
      </c>
      <c r="E1699" s="6" t="n">
        <v>21390.5</v>
      </c>
      <c r="F1699" s="6">
        <f>D1699-E1699</f>
        <v/>
      </c>
      <c r="G1699" s="5" t="inlineStr">
        <is>
          <t>Long</t>
        </is>
      </c>
      <c r="H1699" s="6" t="n">
        <v>21439.75</v>
      </c>
      <c r="I1699" s="6" t="n">
        <v>21390.5</v>
      </c>
      <c r="J1699" s="6">
        <f>IF(G1699="Long",I1699-H1699,IF(G1699="Short",H1699-I1699,0))</f>
        <v/>
      </c>
      <c r="K1699" s="7" t="n">
        <v>100</v>
      </c>
      <c r="L1699" s="5" t="inlineStr">
        <is>
          <t>Loss</t>
        </is>
      </c>
      <c r="M1699" s="6">
        <f>M1698+J1699</f>
        <v/>
      </c>
    </row>
    <row r="1700">
      <c r="A1700" s="2" t="inlineStr">
        <is>
          <t>2025-05-21</t>
        </is>
      </c>
      <c r="B1700" s="2" t="inlineStr">
        <is>
          <t>Wednesday</t>
        </is>
      </c>
      <c r="C1700" s="2" t="inlineStr">
        <is>
          <t>MNQM5</t>
        </is>
      </c>
      <c r="D1700" s="3" t="n">
        <v>21372.25</v>
      </c>
      <c r="E1700" s="3" t="n">
        <v>21277</v>
      </c>
      <c r="F1700" s="3">
        <f>D1700-E1700</f>
        <v/>
      </c>
      <c r="G1700" s="2" t="inlineStr">
        <is>
          <t>Long</t>
        </is>
      </c>
      <c r="H1700" s="3" t="n">
        <v>21372.25</v>
      </c>
      <c r="I1700" s="3" t="n">
        <v>21467.5</v>
      </c>
      <c r="J1700" s="3">
        <f>IF(G1700="Long",I1700-H1700,IF(G1700="Short",H1700-I1700,0))</f>
        <v/>
      </c>
      <c r="K1700" s="4" t="n">
        <v>10.5</v>
      </c>
      <c r="L1700" s="2" t="inlineStr">
        <is>
          <t>Win</t>
        </is>
      </c>
      <c r="M1700" s="3">
        <f>M1699+J1700</f>
        <v/>
      </c>
    </row>
    <row r="1701">
      <c r="A1701" s="5" t="inlineStr">
        <is>
          <t>2025-05-21</t>
        </is>
      </c>
      <c r="B1701" s="5" t="inlineStr">
        <is>
          <t>Wednesday</t>
        </is>
      </c>
      <c r="C1701" s="5" t="inlineStr">
        <is>
          <t>MNQM5</t>
        </is>
      </c>
      <c r="D1701" s="6" t="n">
        <v>21372.25</v>
      </c>
      <c r="E1701" s="6" t="n">
        <v>21277</v>
      </c>
      <c r="F1701" s="6">
        <f>D1701-E1701</f>
        <v/>
      </c>
      <c r="G1701" s="5" t="inlineStr">
        <is>
          <t>Long</t>
        </is>
      </c>
      <c r="H1701" s="6" t="n">
        <v>21372.25</v>
      </c>
      <c r="I1701" s="6" t="n">
        <v>21277</v>
      </c>
      <c r="J1701" s="6">
        <f>IF(G1701="Long",I1701-H1701,IF(G1701="Short",H1701-I1701,0))</f>
        <v/>
      </c>
      <c r="K1701" s="7" t="n">
        <v>100</v>
      </c>
      <c r="L1701" s="5" t="inlineStr">
        <is>
          <t>Loss</t>
        </is>
      </c>
      <c r="M1701" s="6">
        <f>M1700+J1701</f>
        <v/>
      </c>
    </row>
    <row r="1702">
      <c r="A1702" s="2" t="inlineStr">
        <is>
          <t>2025-05-22</t>
        </is>
      </c>
      <c r="B1702" s="2" t="inlineStr">
        <is>
          <t>Thursday</t>
        </is>
      </c>
      <c r="C1702" s="2" t="inlineStr">
        <is>
          <t>MNQM5</t>
        </is>
      </c>
      <c r="D1702" s="3" t="n">
        <v>21219.5</v>
      </c>
      <c r="E1702" s="3" t="n">
        <v>21113.75</v>
      </c>
      <c r="F1702" s="3">
        <f>D1702-E1702</f>
        <v/>
      </c>
      <c r="G1702" s="2" t="inlineStr">
        <is>
          <t>Long</t>
        </is>
      </c>
      <c r="H1702" s="3" t="n">
        <v>21219.5</v>
      </c>
      <c r="I1702" s="3" t="n">
        <v>21325.25</v>
      </c>
      <c r="J1702" s="3">
        <f>IF(G1702="Long",I1702-H1702,IF(G1702="Short",H1702-I1702,0))</f>
        <v/>
      </c>
      <c r="K1702" s="4" t="n">
        <v>0</v>
      </c>
      <c r="L1702" s="2" t="inlineStr">
        <is>
          <t>Win</t>
        </is>
      </c>
      <c r="M1702" s="3">
        <f>M1701+J1702</f>
        <v/>
      </c>
    </row>
    <row r="1703">
      <c r="A1703" s="2" t="inlineStr">
        <is>
          <t>2025-05-22</t>
        </is>
      </c>
      <c r="B1703" s="2" t="inlineStr">
        <is>
          <t>Thursday</t>
        </is>
      </c>
      <c r="C1703" s="2" t="inlineStr">
        <is>
          <t>MNQM5</t>
        </is>
      </c>
      <c r="D1703" s="3" t="n">
        <v>21219.5</v>
      </c>
      <c r="E1703" s="3" t="n">
        <v>21113.75</v>
      </c>
      <c r="F1703" s="3">
        <f>D1703-E1703</f>
        <v/>
      </c>
      <c r="G1703" s="2" t="inlineStr">
        <is>
          <t>Long</t>
        </is>
      </c>
      <c r="H1703" s="3" t="n">
        <v>21219.5</v>
      </c>
      <c r="I1703" s="3" t="n">
        <v>21325.25</v>
      </c>
      <c r="J1703" s="3">
        <f>IF(G1703="Long",I1703-H1703,IF(G1703="Short",H1703-I1703,0))</f>
        <v/>
      </c>
      <c r="K1703" s="4" t="n">
        <v>50.12</v>
      </c>
      <c r="L1703" s="2" t="inlineStr">
        <is>
          <t>Win</t>
        </is>
      </c>
      <c r="M1703" s="3">
        <f>M1702+J1703</f>
        <v/>
      </c>
    </row>
    <row r="1704">
      <c r="A1704" s="8" t="inlineStr">
        <is>
          <t>2025-05-23</t>
        </is>
      </c>
      <c r="B1704" s="8" t="inlineStr">
        <is>
          <t>Friday</t>
        </is>
      </c>
      <c r="C1704" s="8" t="inlineStr">
        <is>
          <t>MNQM5</t>
        </is>
      </c>
      <c r="D1704" s="9" t="n">
        <v>20953.5</v>
      </c>
      <c r="E1704" s="9" t="n">
        <v>20821.5</v>
      </c>
      <c r="F1704" s="9">
        <f>D1704-E1704</f>
        <v/>
      </c>
      <c r="G1704" s="8" t="inlineStr">
        <is>
          <t>Long</t>
        </is>
      </c>
      <c r="H1704" s="9" t="n">
        <v>20953.5</v>
      </c>
      <c r="I1704" s="9" t="n">
        <v>20978.75</v>
      </c>
      <c r="J1704" s="9">
        <f>IF(G1704="Long",I1704-H1704,IF(G1704="Short",H1704-I1704,0))</f>
        <v/>
      </c>
      <c r="K1704" s="10" t="n">
        <v>52.84</v>
      </c>
      <c r="L1704" s="8" t="inlineStr">
        <is>
          <t>EOD-Close</t>
        </is>
      </c>
      <c r="M1704" s="9">
        <f>M1703+J1704</f>
        <v/>
      </c>
    </row>
    <row r="1705">
      <c r="A1705" s="8" t="inlineStr">
        <is>
          <t>2025-05-26</t>
        </is>
      </c>
      <c r="B1705" s="8" t="inlineStr">
        <is>
          <t>Monday</t>
        </is>
      </c>
      <c r="C1705" s="8" t="inlineStr">
        <is>
          <t>MNQM5</t>
        </is>
      </c>
      <c r="D1705" s="9" t="n">
        <v>21307.75</v>
      </c>
      <c r="E1705" s="9" t="n">
        <v>21258.75</v>
      </c>
      <c r="F1705" s="9">
        <f>D1705-E1705</f>
        <v/>
      </c>
      <c r="G1705" s="8" t="inlineStr">
        <is>
          <t>Short</t>
        </is>
      </c>
      <c r="H1705" s="9" t="n">
        <v>21258.75</v>
      </c>
      <c r="I1705" s="9" t="n">
        <v>21284.5</v>
      </c>
      <c r="J1705" s="9">
        <f>IF(G1705="Long",I1705-H1705,IF(G1705="Short",H1705-I1705,0))</f>
        <v/>
      </c>
      <c r="K1705" s="10" t="n">
        <v>76.53</v>
      </c>
      <c r="L1705" s="8" t="inlineStr">
        <is>
          <t>EOD-Close</t>
        </is>
      </c>
      <c r="M1705" s="9">
        <f>M1704+J1705</f>
        <v/>
      </c>
    </row>
    <row r="1706">
      <c r="A1706" s="2" t="inlineStr">
        <is>
          <t>2025-05-27</t>
        </is>
      </c>
      <c r="B1706" s="2" t="inlineStr">
        <is>
          <t>Tuesday</t>
        </is>
      </c>
      <c r="C1706" s="2" t="inlineStr">
        <is>
          <t>MNQM5</t>
        </is>
      </c>
      <c r="D1706" s="3" t="n">
        <v>21284.5</v>
      </c>
      <c r="E1706" s="3" t="n">
        <v>21193.25</v>
      </c>
      <c r="F1706" s="3">
        <f>D1706-E1706</f>
        <v/>
      </c>
      <c r="G1706" s="2" t="inlineStr">
        <is>
          <t>Long</t>
        </is>
      </c>
      <c r="H1706" s="3" t="n">
        <v>21284.5</v>
      </c>
      <c r="I1706" s="3" t="n">
        <v>21375.75</v>
      </c>
      <c r="J1706" s="3">
        <f>IF(G1706="Long",I1706-H1706,IF(G1706="Short",H1706-I1706,0))</f>
        <v/>
      </c>
      <c r="K1706" s="4" t="n">
        <v>0</v>
      </c>
      <c r="L1706" s="2" t="inlineStr">
        <is>
          <t>Win</t>
        </is>
      </c>
      <c r="M1706" s="3">
        <f>M1705+J1706</f>
        <v/>
      </c>
    </row>
    <row r="1707">
      <c r="A1707" s="2" t="inlineStr">
        <is>
          <t>2025-05-28</t>
        </is>
      </c>
      <c r="B1707" s="2" t="inlineStr">
        <is>
          <t>Wednesday</t>
        </is>
      </c>
      <c r="C1707" s="2" t="inlineStr">
        <is>
          <t>MNQM5</t>
        </is>
      </c>
      <c r="D1707" s="3" t="n">
        <v>21564.75</v>
      </c>
      <c r="E1707" s="3" t="n">
        <v>21490.25</v>
      </c>
      <c r="F1707" s="3">
        <f>D1707-E1707</f>
        <v/>
      </c>
      <c r="G1707" s="2" t="inlineStr">
        <is>
          <t>Short</t>
        </is>
      </c>
      <c r="H1707" s="3" t="n">
        <v>21490.25</v>
      </c>
      <c r="I1707" s="3" t="n">
        <v>21415.75</v>
      </c>
      <c r="J1707" s="3">
        <f>IF(G1707="Long",I1707-H1707,IF(G1707="Short",H1707-I1707,0))</f>
        <v/>
      </c>
      <c r="K1707" s="4" t="n">
        <v>19.46</v>
      </c>
      <c r="L1707" s="2" t="inlineStr">
        <is>
          <t>Win</t>
        </is>
      </c>
      <c r="M1707" s="3">
        <f>M1706+J1707</f>
        <v/>
      </c>
    </row>
    <row r="1708">
      <c r="A1708" s="2" t="inlineStr">
        <is>
          <t>2025-05-28</t>
        </is>
      </c>
      <c r="B1708" s="2" t="inlineStr">
        <is>
          <t>Wednesday</t>
        </is>
      </c>
      <c r="C1708" s="2" t="inlineStr">
        <is>
          <t>MNQM5</t>
        </is>
      </c>
      <c r="D1708" s="3" t="n">
        <v>21564.75</v>
      </c>
      <c r="E1708" s="3" t="n">
        <v>21490.25</v>
      </c>
      <c r="F1708" s="3">
        <f>D1708-E1708</f>
        <v/>
      </c>
      <c r="G1708" s="2" t="inlineStr">
        <is>
          <t>Short</t>
        </is>
      </c>
      <c r="H1708" s="3" t="n">
        <v>21490.25</v>
      </c>
      <c r="I1708" s="3" t="n">
        <v>21415.75</v>
      </c>
      <c r="J1708" s="3">
        <f>IF(G1708="Long",I1708-H1708,IF(G1708="Short",H1708-I1708,0))</f>
        <v/>
      </c>
      <c r="K1708" s="4" t="n">
        <v>31.88</v>
      </c>
      <c r="L1708" s="2" t="inlineStr">
        <is>
          <t>Win</t>
        </is>
      </c>
      <c r="M1708" s="3">
        <f>M1707+J1708</f>
        <v/>
      </c>
    </row>
    <row r="1709">
      <c r="A1709" s="2" t="inlineStr">
        <is>
          <t>2025-05-29</t>
        </is>
      </c>
      <c r="B1709" s="2" t="inlineStr">
        <is>
          <t>Thursday</t>
        </is>
      </c>
      <c r="C1709" s="2" t="inlineStr">
        <is>
          <t>MNQM5</t>
        </is>
      </c>
      <c r="D1709" s="3" t="n">
        <v>21679.25</v>
      </c>
      <c r="E1709" s="3" t="n">
        <v>21522.5</v>
      </c>
      <c r="F1709" s="3">
        <f>D1709-E1709</f>
        <v/>
      </c>
      <c r="G1709" s="2" t="inlineStr">
        <is>
          <t>Short</t>
        </is>
      </c>
      <c r="H1709" s="3" t="n">
        <v>21522.5</v>
      </c>
      <c r="I1709" s="3" t="n">
        <v>21365.75</v>
      </c>
      <c r="J1709" s="3">
        <f>IF(G1709="Long",I1709-H1709,IF(G1709="Short",H1709-I1709,0))</f>
        <v/>
      </c>
      <c r="K1709" s="4" t="n">
        <v>22.49</v>
      </c>
      <c r="L1709" s="2" t="inlineStr">
        <is>
          <t>Win</t>
        </is>
      </c>
      <c r="M1709" s="3">
        <f>M1708+J1709</f>
        <v/>
      </c>
    </row>
    <row r="1710">
      <c r="A1710" s="5" t="inlineStr">
        <is>
          <t>2025-05-30</t>
        </is>
      </c>
      <c r="B1710" s="5" t="inlineStr">
        <is>
          <t>Friday</t>
        </is>
      </c>
      <c r="C1710" s="5" t="inlineStr">
        <is>
          <t>MNQM5</t>
        </is>
      </c>
      <c r="D1710" s="6" t="n">
        <v>21390.75</v>
      </c>
      <c r="E1710" s="6" t="n">
        <v>21295.25</v>
      </c>
      <c r="F1710" s="6">
        <f>D1710-E1710</f>
        <v/>
      </c>
      <c r="G1710" s="5" t="inlineStr">
        <is>
          <t>Short</t>
        </is>
      </c>
      <c r="H1710" s="6" t="n">
        <v>21295.25</v>
      </c>
      <c r="I1710" s="6" t="n">
        <v>21390.75</v>
      </c>
      <c r="J1710" s="6">
        <f>IF(G1710="Long",I1710-H1710,IF(G1710="Short",H1710-I1710,0))</f>
        <v/>
      </c>
      <c r="K1710" s="7" t="n">
        <v>100</v>
      </c>
      <c r="L1710" s="5" t="inlineStr">
        <is>
          <t>Loss</t>
        </is>
      </c>
      <c r="M1710" s="6">
        <f>M1709+J1710</f>
        <v/>
      </c>
    </row>
    <row r="1711">
      <c r="A1711" s="5" t="inlineStr">
        <is>
          <t>2025-05-30</t>
        </is>
      </c>
      <c r="B1711" s="5" t="inlineStr">
        <is>
          <t>Friday</t>
        </is>
      </c>
      <c r="C1711" s="5" t="inlineStr">
        <is>
          <t>MNQM5</t>
        </is>
      </c>
      <c r="D1711" s="6" t="n">
        <v>21390.75</v>
      </c>
      <c r="E1711" s="6" t="n">
        <v>21295.25</v>
      </c>
      <c r="F1711" s="6">
        <f>D1711-E1711</f>
        <v/>
      </c>
      <c r="G1711" s="5" t="inlineStr">
        <is>
          <t>Long</t>
        </is>
      </c>
      <c r="H1711" s="6" t="n">
        <v>21390.75</v>
      </c>
      <c r="I1711" s="6" t="n">
        <v>21295.25</v>
      </c>
      <c r="J1711" s="6">
        <f>IF(G1711="Long",I1711-H1711,IF(G1711="Short",H1711-I1711,0))</f>
        <v/>
      </c>
      <c r="K1711" s="7" t="n">
        <v>100</v>
      </c>
      <c r="L1711" s="5" t="inlineStr">
        <is>
          <t>Loss</t>
        </is>
      </c>
      <c r="M1711" s="6">
        <f>M1710+J1711</f>
        <v/>
      </c>
    </row>
    <row r="1712">
      <c r="A1712" s="5" t="inlineStr">
        <is>
          <t>2025-06-02</t>
        </is>
      </c>
      <c r="B1712" s="5" t="inlineStr">
        <is>
          <t>Monday</t>
        </is>
      </c>
      <c r="C1712" s="5" t="inlineStr">
        <is>
          <t>MNQM5</t>
        </is>
      </c>
      <c r="D1712" s="6" t="n">
        <v>21458</v>
      </c>
      <c r="E1712" s="6" t="n">
        <v>21286.75</v>
      </c>
      <c r="F1712" s="6">
        <f>D1712-E1712</f>
        <v/>
      </c>
      <c r="G1712" s="5" t="inlineStr">
        <is>
          <t>Short</t>
        </is>
      </c>
      <c r="H1712" s="6" t="n">
        <v>21286.75</v>
      </c>
      <c r="I1712" s="6" t="n">
        <v>21458</v>
      </c>
      <c r="J1712" s="6">
        <f>IF(G1712="Long",I1712-H1712,IF(G1712="Short",H1712-I1712,0))</f>
        <v/>
      </c>
      <c r="K1712" s="7" t="n">
        <v>100</v>
      </c>
      <c r="L1712" s="5" t="inlineStr">
        <is>
          <t>Loss</t>
        </is>
      </c>
      <c r="M1712" s="6">
        <f>M1711+J1712</f>
        <v/>
      </c>
    </row>
    <row r="1713">
      <c r="A1713" s="8" t="inlineStr">
        <is>
          <t>2025-06-02</t>
        </is>
      </c>
      <c r="B1713" s="8" t="inlineStr">
        <is>
          <t>Monday</t>
        </is>
      </c>
      <c r="C1713" s="8" t="inlineStr">
        <is>
          <t>MNQM5</t>
        </is>
      </c>
      <c r="D1713" s="9" t="n">
        <v>21458</v>
      </c>
      <c r="E1713" s="9" t="n">
        <v>21286.75</v>
      </c>
      <c r="F1713" s="9">
        <f>D1713-E1713</f>
        <v/>
      </c>
      <c r="G1713" s="8" t="inlineStr">
        <is>
          <t>Long</t>
        </is>
      </c>
      <c r="H1713" s="9" t="n">
        <v>21458</v>
      </c>
      <c r="I1713" s="9" t="n">
        <v>21533.25</v>
      </c>
      <c r="J1713" s="9">
        <f>IF(G1713="Long",I1713-H1713,IF(G1713="Short",H1713-I1713,0))</f>
        <v/>
      </c>
      <c r="K1713" s="10" t="n">
        <v>19.56</v>
      </c>
      <c r="L1713" s="8" t="inlineStr">
        <is>
          <t>EOD-Close</t>
        </is>
      </c>
      <c r="M1713" s="9">
        <f>M1712+J1713</f>
        <v/>
      </c>
    </row>
    <row r="1714">
      <c r="A1714" s="2" t="inlineStr">
        <is>
          <t>2025-06-03</t>
        </is>
      </c>
      <c r="B1714" s="2" t="inlineStr">
        <is>
          <t>Tuesday</t>
        </is>
      </c>
      <c r="C1714" s="2" t="inlineStr">
        <is>
          <t>MNQM5</t>
        </is>
      </c>
      <c r="D1714" s="3" t="n">
        <v>21595.75</v>
      </c>
      <c r="E1714" s="3" t="n">
        <v>21510</v>
      </c>
      <c r="F1714" s="3">
        <f>D1714-E1714</f>
        <v/>
      </c>
      <c r="G1714" s="2" t="inlineStr">
        <is>
          <t>Long</t>
        </is>
      </c>
      <c r="H1714" s="3" t="n">
        <v>21595.75</v>
      </c>
      <c r="I1714" s="3" t="n">
        <v>21681.5</v>
      </c>
      <c r="J1714" s="3">
        <f>IF(G1714="Long",I1714-H1714,IF(G1714="Short",H1714-I1714,0))</f>
        <v/>
      </c>
      <c r="K1714" s="4" t="n">
        <v>44.61</v>
      </c>
      <c r="L1714" s="2" t="inlineStr">
        <is>
          <t>Win</t>
        </is>
      </c>
      <c r="M1714" s="3">
        <f>M1713+J1714</f>
        <v/>
      </c>
    </row>
    <row r="1715">
      <c r="A1715" s="5" t="inlineStr">
        <is>
          <t>2025-06-04</t>
        </is>
      </c>
      <c r="B1715" s="5" t="inlineStr">
        <is>
          <t>Wednesday</t>
        </is>
      </c>
      <c r="C1715" s="5" t="inlineStr">
        <is>
          <t>MNQM5</t>
        </is>
      </c>
      <c r="D1715" s="6" t="n">
        <v>21793.5</v>
      </c>
      <c r="E1715" s="6" t="n">
        <v>21716.75</v>
      </c>
      <c r="F1715" s="6">
        <f>D1715-E1715</f>
        <v/>
      </c>
      <c r="G1715" s="5" t="inlineStr">
        <is>
          <t>Short</t>
        </is>
      </c>
      <c r="H1715" s="6" t="n">
        <v>21716.75</v>
      </c>
      <c r="I1715" s="6" t="n">
        <v>21793.5</v>
      </c>
      <c r="J1715" s="6">
        <f>IF(G1715="Long",I1715-H1715,IF(G1715="Short",H1715-I1715,0))</f>
        <v/>
      </c>
      <c r="K1715" s="7" t="n">
        <v>100</v>
      </c>
      <c r="L1715" s="5" t="inlineStr">
        <is>
          <t>Loss</t>
        </is>
      </c>
      <c r="M1715" s="6">
        <f>M1714+J1715</f>
        <v/>
      </c>
    </row>
    <row r="1716">
      <c r="A1716" s="8" t="inlineStr">
        <is>
          <t>2025-06-04</t>
        </is>
      </c>
      <c r="B1716" s="8" t="inlineStr">
        <is>
          <t>Wednesday</t>
        </is>
      </c>
      <c r="C1716" s="8" t="inlineStr">
        <is>
          <t>MNQM5</t>
        </is>
      </c>
      <c r="D1716" s="9" t="n">
        <v>21793.5</v>
      </c>
      <c r="E1716" s="9" t="n">
        <v>21716.75</v>
      </c>
      <c r="F1716" s="9">
        <f>D1716-E1716</f>
        <v/>
      </c>
      <c r="G1716" s="8" t="inlineStr">
        <is>
          <t>Long</t>
        </is>
      </c>
      <c r="H1716" s="9" t="n">
        <v>21793.5</v>
      </c>
      <c r="I1716" s="9" t="n">
        <v>21757.5</v>
      </c>
      <c r="J1716" s="9">
        <f>IF(G1716="Long",I1716-H1716,IF(G1716="Short",H1716-I1716,0))</f>
        <v/>
      </c>
      <c r="K1716" s="10" t="n">
        <v>58.96</v>
      </c>
      <c r="L1716" s="8" t="inlineStr">
        <is>
          <t>EOD-Close</t>
        </is>
      </c>
      <c r="M1716" s="9">
        <f>M1715+J1716</f>
        <v/>
      </c>
    </row>
    <row r="1717">
      <c r="A1717" s="5" t="inlineStr">
        <is>
          <t>2025-06-05</t>
        </is>
      </c>
      <c r="B1717" s="5" t="inlineStr">
        <is>
          <t>Thursday</t>
        </is>
      </c>
      <c r="C1717" s="5" t="inlineStr">
        <is>
          <t>MNQM5</t>
        </is>
      </c>
      <c r="D1717" s="6" t="n">
        <v>21840</v>
      </c>
      <c r="E1717" s="6" t="n">
        <v>21735</v>
      </c>
      <c r="F1717" s="6">
        <f>D1717-E1717</f>
        <v/>
      </c>
      <c r="G1717" s="5" t="inlineStr">
        <is>
          <t>Short</t>
        </is>
      </c>
      <c r="H1717" s="6" t="n">
        <v>21735</v>
      </c>
      <c r="I1717" s="6" t="n">
        <v>21840</v>
      </c>
      <c r="J1717" s="6">
        <f>IF(G1717="Long",I1717-H1717,IF(G1717="Short",H1717-I1717,0))</f>
        <v/>
      </c>
      <c r="K1717" s="7" t="n">
        <v>100</v>
      </c>
      <c r="L1717" s="5" t="inlineStr">
        <is>
          <t>Loss</t>
        </is>
      </c>
      <c r="M1717" s="6">
        <f>M1716+J1717</f>
        <v/>
      </c>
    </row>
    <row r="1718">
      <c r="A1718" s="5" t="inlineStr">
        <is>
          <t>2025-06-05</t>
        </is>
      </c>
      <c r="B1718" s="5" t="inlineStr">
        <is>
          <t>Thursday</t>
        </is>
      </c>
      <c r="C1718" s="5" t="inlineStr">
        <is>
          <t>MNQM5</t>
        </is>
      </c>
      <c r="D1718" s="6" t="n">
        <v>21840</v>
      </c>
      <c r="E1718" s="6" t="n">
        <v>21735</v>
      </c>
      <c r="F1718" s="6">
        <f>D1718-E1718</f>
        <v/>
      </c>
      <c r="G1718" s="5" t="inlineStr">
        <is>
          <t>Long</t>
        </is>
      </c>
      <c r="H1718" s="6" t="n">
        <v>21840</v>
      </c>
      <c r="I1718" s="6" t="n">
        <v>21735</v>
      </c>
      <c r="J1718" s="6">
        <f>IF(G1718="Long",I1718-H1718,IF(G1718="Short",H1718-I1718,0))</f>
        <v/>
      </c>
      <c r="K1718" s="7" t="n">
        <v>100</v>
      </c>
      <c r="L1718" s="5" t="inlineStr">
        <is>
          <t>Loss</t>
        </is>
      </c>
      <c r="M1718" s="6">
        <f>M1717+J1718</f>
        <v/>
      </c>
    </row>
    <row r="1719">
      <c r="A1719" s="5" t="inlineStr">
        <is>
          <t>2025-06-06</t>
        </is>
      </c>
      <c r="B1719" s="5" t="inlineStr">
        <is>
          <t>Friday</t>
        </is>
      </c>
      <c r="C1719" s="5" t="inlineStr">
        <is>
          <t>MNQM5</t>
        </is>
      </c>
      <c r="D1719" s="6" t="n">
        <v>21852.25</v>
      </c>
      <c r="E1719" s="6" t="n">
        <v>21768</v>
      </c>
      <c r="F1719" s="6">
        <f>D1719-E1719</f>
        <v/>
      </c>
      <c r="G1719" s="5" t="inlineStr">
        <is>
          <t>Long</t>
        </is>
      </c>
      <c r="H1719" s="6" t="n">
        <v>21852.25</v>
      </c>
      <c r="I1719" s="6" t="n">
        <v>21768</v>
      </c>
      <c r="J1719" s="6">
        <f>IF(G1719="Long",I1719-H1719,IF(G1719="Short",H1719-I1719,0))</f>
        <v/>
      </c>
      <c r="K1719" s="7" t="n">
        <v>100</v>
      </c>
      <c r="L1719" s="5" t="inlineStr">
        <is>
          <t>Loss</t>
        </is>
      </c>
      <c r="M1719" s="6">
        <f>M1718+J1719</f>
        <v/>
      </c>
    </row>
    <row r="1720">
      <c r="A1720" s="5" t="inlineStr">
        <is>
          <t>2025-06-06</t>
        </is>
      </c>
      <c r="B1720" s="5" t="inlineStr">
        <is>
          <t>Friday</t>
        </is>
      </c>
      <c r="C1720" s="5" t="inlineStr">
        <is>
          <t>MNQM5</t>
        </is>
      </c>
      <c r="D1720" s="6" t="n">
        <v>21852.25</v>
      </c>
      <c r="E1720" s="6" t="n">
        <v>21768</v>
      </c>
      <c r="F1720" s="6">
        <f>D1720-E1720</f>
        <v/>
      </c>
      <c r="G1720" s="5" t="inlineStr">
        <is>
          <t>Short</t>
        </is>
      </c>
      <c r="H1720" s="6" t="n">
        <v>21768</v>
      </c>
      <c r="I1720" s="6" t="n">
        <v>21852.25</v>
      </c>
      <c r="J1720" s="6">
        <f>IF(G1720="Long",I1720-H1720,IF(G1720="Short",H1720-I1720,0))</f>
        <v/>
      </c>
      <c r="K1720" s="7" t="n">
        <v>100</v>
      </c>
      <c r="L1720" s="5" t="inlineStr">
        <is>
          <t>Loss</t>
        </is>
      </c>
      <c r="M1720" s="6">
        <f>M1719+J1720</f>
        <v/>
      </c>
    </row>
    <row r="1721">
      <c r="A1721" s="2" t="inlineStr">
        <is>
          <t>2025-06-09</t>
        </is>
      </c>
      <c r="B1721" s="2" t="inlineStr">
        <is>
          <t>Monday</t>
        </is>
      </c>
      <c r="C1721" s="2" t="inlineStr">
        <is>
          <t>MNQM5</t>
        </is>
      </c>
      <c r="D1721" s="3" t="n">
        <v>21815</v>
      </c>
      <c r="E1721" s="3" t="n">
        <v>21750.25</v>
      </c>
      <c r="F1721" s="3">
        <f>D1721-E1721</f>
        <v/>
      </c>
      <c r="G1721" s="2" t="inlineStr">
        <is>
          <t>Long</t>
        </is>
      </c>
      <c r="H1721" s="3" t="n">
        <v>21815</v>
      </c>
      <c r="I1721" s="3" t="n">
        <v>21879.75</v>
      </c>
      <c r="J1721" s="3">
        <f>IF(G1721="Long",I1721-H1721,IF(G1721="Short",H1721-I1721,0))</f>
        <v/>
      </c>
      <c r="K1721" s="4" t="n">
        <v>48.65</v>
      </c>
      <c r="L1721" s="2" t="inlineStr">
        <is>
          <t>Win</t>
        </is>
      </c>
      <c r="M1721" s="3">
        <f>M1720+J1721</f>
        <v/>
      </c>
    </row>
    <row r="1722">
      <c r="A1722" s="2" t="inlineStr">
        <is>
          <t>2025-06-09</t>
        </is>
      </c>
      <c r="B1722" s="2" t="inlineStr">
        <is>
          <t>Monday</t>
        </is>
      </c>
      <c r="C1722" s="2" t="inlineStr">
        <is>
          <t>MNQM5</t>
        </is>
      </c>
      <c r="D1722" s="3" t="n">
        <v>21815</v>
      </c>
      <c r="E1722" s="3" t="n">
        <v>21750.25</v>
      </c>
      <c r="F1722" s="3">
        <f>D1722-E1722</f>
        <v/>
      </c>
      <c r="G1722" s="2" t="inlineStr">
        <is>
          <t>Long</t>
        </is>
      </c>
      <c r="H1722" s="3" t="n">
        <v>21815</v>
      </c>
      <c r="I1722" s="3" t="n">
        <v>21879.75</v>
      </c>
      <c r="J1722" s="3">
        <f>IF(G1722="Long",I1722-H1722,IF(G1722="Short",H1722-I1722,0))</f>
        <v/>
      </c>
      <c r="K1722" s="4" t="n">
        <v>2.7</v>
      </c>
      <c r="L1722" s="2" t="inlineStr">
        <is>
          <t>Win</t>
        </is>
      </c>
      <c r="M1722" s="3">
        <f>M1721+J1722</f>
        <v/>
      </c>
    </row>
    <row r="1723">
      <c r="A1723" s="5" t="inlineStr">
        <is>
          <t>2025-06-10</t>
        </is>
      </c>
      <c r="B1723" s="5" t="inlineStr">
        <is>
          <t>Tuesday</t>
        </is>
      </c>
      <c r="C1723" s="5" t="inlineStr">
        <is>
          <t>MNQM5</t>
        </is>
      </c>
      <c r="D1723" s="6" t="n">
        <v>21886.5</v>
      </c>
      <c r="E1723" s="6" t="n">
        <v>21818</v>
      </c>
      <c r="F1723" s="6">
        <f>D1723-E1723</f>
        <v/>
      </c>
      <c r="G1723" s="5" t="inlineStr">
        <is>
          <t>Short</t>
        </is>
      </c>
      <c r="H1723" s="6" t="n">
        <v>21818</v>
      </c>
      <c r="I1723" s="6" t="n">
        <v>21886.5</v>
      </c>
      <c r="J1723" s="6">
        <f>IF(G1723="Long",I1723-H1723,IF(G1723="Short",H1723-I1723,0))</f>
        <v/>
      </c>
      <c r="K1723" s="7" t="n">
        <v>100</v>
      </c>
      <c r="L1723" s="5" t="inlineStr">
        <is>
          <t>Loss</t>
        </is>
      </c>
      <c r="M1723" s="6">
        <f>M1722+J1723</f>
        <v/>
      </c>
    </row>
    <row r="1724">
      <c r="A1724" s="2" t="inlineStr">
        <is>
          <t>2025-06-10</t>
        </is>
      </c>
      <c r="B1724" s="2" t="inlineStr">
        <is>
          <t>Tuesday</t>
        </is>
      </c>
      <c r="C1724" s="2" t="inlineStr">
        <is>
          <t>MNQM5</t>
        </is>
      </c>
      <c r="D1724" s="3" t="n">
        <v>21886.5</v>
      </c>
      <c r="E1724" s="3" t="n">
        <v>21818</v>
      </c>
      <c r="F1724" s="3">
        <f>D1724-E1724</f>
        <v/>
      </c>
      <c r="G1724" s="2" t="inlineStr">
        <is>
          <t>Long</t>
        </is>
      </c>
      <c r="H1724" s="3" t="n">
        <v>21886.5</v>
      </c>
      <c r="I1724" s="3" t="n">
        <v>21955</v>
      </c>
      <c r="J1724" s="3">
        <f>IF(G1724="Long",I1724-H1724,IF(G1724="Short",H1724-I1724,0))</f>
        <v/>
      </c>
      <c r="K1724" s="4" t="n">
        <v>95.62</v>
      </c>
      <c r="L1724" s="2" t="inlineStr">
        <is>
          <t>Win</t>
        </is>
      </c>
      <c r="M1724" s="3">
        <f>M1723+J1724</f>
        <v/>
      </c>
    </row>
    <row r="1725">
      <c r="A1725" s="5" t="inlineStr">
        <is>
          <t>2025-06-11</t>
        </is>
      </c>
      <c r="B1725" s="5" t="inlineStr">
        <is>
          <t>Wednesday</t>
        </is>
      </c>
      <c r="C1725" s="5" t="inlineStr">
        <is>
          <t>MNQM5</t>
        </is>
      </c>
      <c r="D1725" s="6" t="n">
        <v>22024.75</v>
      </c>
      <c r="E1725" s="6" t="n">
        <v>21960</v>
      </c>
      <c r="F1725" s="6">
        <f>D1725-E1725</f>
        <v/>
      </c>
      <c r="G1725" s="5" t="inlineStr">
        <is>
          <t>Short</t>
        </is>
      </c>
      <c r="H1725" s="6" t="n">
        <v>21960</v>
      </c>
      <c r="I1725" s="6" t="n">
        <v>22024.75</v>
      </c>
      <c r="J1725" s="6">
        <f>IF(G1725="Long",I1725-H1725,IF(G1725="Short",H1725-I1725,0))</f>
        <v/>
      </c>
      <c r="K1725" s="7" t="n">
        <v>100</v>
      </c>
      <c r="L1725" s="5" t="inlineStr">
        <is>
          <t>Loss</t>
        </is>
      </c>
      <c r="M1725" s="6">
        <f>M1724+J1725</f>
        <v/>
      </c>
    </row>
    <row r="1726">
      <c r="A1726" s="5" t="inlineStr">
        <is>
          <t>2025-06-11</t>
        </is>
      </c>
      <c r="B1726" s="5" t="inlineStr">
        <is>
          <t>Wednesday</t>
        </is>
      </c>
      <c r="C1726" s="5" t="inlineStr">
        <is>
          <t>MNQM5</t>
        </is>
      </c>
      <c r="D1726" s="6" t="n">
        <v>22024.75</v>
      </c>
      <c r="E1726" s="6" t="n">
        <v>21960</v>
      </c>
      <c r="F1726" s="6">
        <f>D1726-E1726</f>
        <v/>
      </c>
      <c r="G1726" s="5" t="inlineStr">
        <is>
          <t>Long</t>
        </is>
      </c>
      <c r="H1726" s="6" t="n">
        <v>22024.75</v>
      </c>
      <c r="I1726" s="6" t="n">
        <v>21960</v>
      </c>
      <c r="J1726" s="6">
        <f>IF(G1726="Long",I1726-H1726,IF(G1726="Short",H1726-I1726,0))</f>
        <v/>
      </c>
      <c r="K1726" s="7" t="n">
        <v>100</v>
      </c>
      <c r="L1726" s="5" t="inlineStr">
        <is>
          <t>Loss</t>
        </is>
      </c>
      <c r="M1726" s="6">
        <f>M1725+J1726</f>
        <v/>
      </c>
    </row>
    <row r="1727">
      <c r="A1727" s="2" t="inlineStr">
        <is>
          <t>2025-06-12</t>
        </is>
      </c>
      <c r="B1727" s="2" t="inlineStr">
        <is>
          <t>Thursday</t>
        </is>
      </c>
      <c r="C1727" s="2" t="inlineStr">
        <is>
          <t>MNQM5</t>
        </is>
      </c>
      <c r="D1727" s="3" t="n">
        <v>21884.75</v>
      </c>
      <c r="E1727" s="3" t="n">
        <v>21816</v>
      </c>
      <c r="F1727" s="3">
        <f>D1727-E1727</f>
        <v/>
      </c>
      <c r="G1727" s="2" t="inlineStr">
        <is>
          <t>Long</t>
        </is>
      </c>
      <c r="H1727" s="3" t="n">
        <v>21884.75</v>
      </c>
      <c r="I1727" s="3" t="n">
        <v>21953.5</v>
      </c>
      <c r="J1727" s="3">
        <f>IF(G1727="Long",I1727-H1727,IF(G1727="Short",H1727-I1727,0))</f>
        <v/>
      </c>
      <c r="K1727" s="4" t="n">
        <v>65.45</v>
      </c>
      <c r="L1727" s="2" t="inlineStr">
        <is>
          <t>Win</t>
        </is>
      </c>
      <c r="M1727" s="3">
        <f>M1726+J1727</f>
        <v/>
      </c>
    </row>
    <row r="1728">
      <c r="A1728" s="2" t="inlineStr">
        <is>
          <t>2025-06-12</t>
        </is>
      </c>
      <c r="B1728" s="2" t="inlineStr">
        <is>
          <t>Thursday</t>
        </is>
      </c>
      <c r="C1728" s="2" t="inlineStr">
        <is>
          <t>MNQM5</t>
        </is>
      </c>
      <c r="D1728" s="3" t="n">
        <v>21884.75</v>
      </c>
      <c r="E1728" s="3" t="n">
        <v>21816</v>
      </c>
      <c r="F1728" s="3">
        <f>D1728-E1728</f>
        <v/>
      </c>
      <c r="G1728" s="2" t="inlineStr">
        <is>
          <t>Long</t>
        </is>
      </c>
      <c r="H1728" s="3" t="n">
        <v>21884.75</v>
      </c>
      <c r="I1728" s="3" t="n">
        <v>21953.5</v>
      </c>
      <c r="J1728" s="3">
        <f>IF(G1728="Long",I1728-H1728,IF(G1728="Short",H1728-I1728,0))</f>
        <v/>
      </c>
      <c r="K1728" s="4" t="n">
        <v>4.36</v>
      </c>
      <c r="L1728" s="2" t="inlineStr">
        <is>
          <t>Win</t>
        </is>
      </c>
      <c r="M1728" s="3">
        <f>M1727+J1728</f>
        <v/>
      </c>
    </row>
    <row r="1729">
      <c r="A1729" s="5" t="inlineStr">
        <is>
          <t>2025-06-13</t>
        </is>
      </c>
      <c r="B1729" s="5" t="inlineStr">
        <is>
          <t>Friday</t>
        </is>
      </c>
      <c r="C1729" s="5" t="inlineStr">
        <is>
          <t>MNQM5</t>
        </is>
      </c>
      <c r="D1729" s="6" t="n">
        <v>21788.25</v>
      </c>
      <c r="E1729" s="6" t="n">
        <v>21663.5</v>
      </c>
      <c r="F1729" s="6">
        <f>D1729-E1729</f>
        <v/>
      </c>
      <c r="G1729" s="5" t="inlineStr">
        <is>
          <t>Short</t>
        </is>
      </c>
      <c r="H1729" s="6" t="n">
        <v>21663.5</v>
      </c>
      <c r="I1729" s="6" t="n">
        <v>21788.25</v>
      </c>
      <c r="J1729" s="6">
        <f>IF(G1729="Long",I1729-H1729,IF(G1729="Short",H1729-I1729,0))</f>
        <v/>
      </c>
      <c r="K1729" s="7" t="n">
        <v>100</v>
      </c>
      <c r="L1729" s="5" t="inlineStr">
        <is>
          <t>Loss</t>
        </is>
      </c>
      <c r="M1729" s="6">
        <f>M1728+J1729</f>
        <v/>
      </c>
    </row>
    <row r="1730">
      <c r="A1730" s="5" t="inlineStr">
        <is>
          <t>2025-06-13</t>
        </is>
      </c>
      <c r="B1730" s="5" t="inlineStr">
        <is>
          <t>Friday</t>
        </is>
      </c>
      <c r="C1730" s="5" t="inlineStr">
        <is>
          <t>MNQM5</t>
        </is>
      </c>
      <c r="D1730" s="6" t="n">
        <v>21788.25</v>
      </c>
      <c r="E1730" s="6" t="n">
        <v>21663.5</v>
      </c>
      <c r="F1730" s="6">
        <f>D1730-E1730</f>
        <v/>
      </c>
      <c r="G1730" s="5" t="inlineStr">
        <is>
          <t>Long</t>
        </is>
      </c>
      <c r="H1730" s="6" t="n">
        <v>21788.25</v>
      </c>
      <c r="I1730" s="6" t="n">
        <v>21663.5</v>
      </c>
      <c r="J1730" s="6">
        <f>IF(G1730="Long",I1730-H1730,IF(G1730="Short",H1730-I1730,0))</f>
        <v/>
      </c>
      <c r="K1730" s="7" t="n">
        <v>100</v>
      </c>
      <c r="L1730" s="5" t="inlineStr">
        <is>
          <t>Loss</t>
        </is>
      </c>
      <c r="M1730" s="6">
        <f>M1729+J1730</f>
        <v/>
      </c>
    </row>
    <row r="1731">
      <c r="A1731" s="2" t="inlineStr">
        <is>
          <t>2025-06-16</t>
        </is>
      </c>
      <c r="B1731" s="2" t="inlineStr">
        <is>
          <t>Monday</t>
        </is>
      </c>
      <c r="C1731" s="2" t="inlineStr">
        <is>
          <t>MNQU5</t>
        </is>
      </c>
      <c r="D1731" s="3" t="n">
        <v>22098.75</v>
      </c>
      <c r="E1731" s="3" t="n">
        <v>22013.5</v>
      </c>
      <c r="F1731" s="3">
        <f>D1731-E1731</f>
        <v/>
      </c>
      <c r="G1731" s="2" t="inlineStr">
        <is>
          <t>Long</t>
        </is>
      </c>
      <c r="H1731" s="3" t="n">
        <v>22098.75</v>
      </c>
      <c r="I1731" s="3" t="n">
        <v>22184</v>
      </c>
      <c r="J1731" s="3">
        <f>IF(G1731="Long",I1731-H1731,IF(G1731="Short",H1731-I1731,0))</f>
        <v/>
      </c>
      <c r="K1731" s="4" t="n">
        <v>2.93</v>
      </c>
      <c r="L1731" s="2" t="inlineStr">
        <is>
          <t>Win</t>
        </is>
      </c>
      <c r="M1731" s="3">
        <f>M1730+J1731</f>
        <v/>
      </c>
    </row>
    <row r="1732">
      <c r="A1732" s="5" t="inlineStr">
        <is>
          <t>2025-06-17</t>
        </is>
      </c>
      <c r="B1732" s="5" t="inlineStr">
        <is>
          <t>Tuesday</t>
        </is>
      </c>
      <c r="C1732" s="5" t="inlineStr">
        <is>
          <t>MNQU5</t>
        </is>
      </c>
      <c r="D1732" s="6" t="n">
        <v>22110</v>
      </c>
      <c r="E1732" s="6" t="n">
        <v>22029</v>
      </c>
      <c r="F1732" s="6">
        <f>D1732-E1732</f>
        <v/>
      </c>
      <c r="G1732" s="5" t="inlineStr">
        <is>
          <t>Long</t>
        </is>
      </c>
      <c r="H1732" s="6" t="n">
        <v>22110</v>
      </c>
      <c r="I1732" s="6" t="n">
        <v>22029</v>
      </c>
      <c r="J1732" s="6">
        <f>IF(G1732="Long",I1732-H1732,IF(G1732="Short",H1732-I1732,0))</f>
        <v/>
      </c>
      <c r="K1732" s="7" t="n">
        <v>100</v>
      </c>
      <c r="L1732" s="5" t="inlineStr">
        <is>
          <t>Loss</t>
        </is>
      </c>
      <c r="M1732" s="6">
        <f>M1731+J1732</f>
        <v/>
      </c>
    </row>
    <row r="1733">
      <c r="A1733" s="2" t="inlineStr">
        <is>
          <t>2025-06-17</t>
        </is>
      </c>
      <c r="B1733" s="2" t="inlineStr">
        <is>
          <t>Tuesday</t>
        </is>
      </c>
      <c r="C1733" s="2" t="inlineStr">
        <is>
          <t>MNQU5</t>
        </is>
      </c>
      <c r="D1733" s="3" t="n">
        <v>22110</v>
      </c>
      <c r="E1733" s="3" t="n">
        <v>22029</v>
      </c>
      <c r="F1733" s="3">
        <f>D1733-E1733</f>
        <v/>
      </c>
      <c r="G1733" s="2" t="inlineStr">
        <is>
          <t>Short</t>
        </is>
      </c>
      <c r="H1733" s="3" t="n">
        <v>22029</v>
      </c>
      <c r="I1733" s="3" t="n">
        <v>21948</v>
      </c>
      <c r="J1733" s="3">
        <f>IF(G1733="Long",I1733-H1733,IF(G1733="Short",H1733-I1733,0))</f>
        <v/>
      </c>
      <c r="K1733" s="4" t="n">
        <v>25.31</v>
      </c>
      <c r="L1733" s="2" t="inlineStr">
        <is>
          <t>Win</t>
        </is>
      </c>
      <c r="M1733" s="3">
        <f>M1732+J1733</f>
        <v/>
      </c>
    </row>
    <row r="1734">
      <c r="A1734" s="2" t="inlineStr">
        <is>
          <t>2025-06-18</t>
        </is>
      </c>
      <c r="B1734" s="2" t="inlineStr">
        <is>
          <t>Wednesday</t>
        </is>
      </c>
      <c r="C1734" s="2" t="inlineStr">
        <is>
          <t>MNQU5</t>
        </is>
      </c>
      <c r="D1734" s="3" t="n">
        <v>21995.75</v>
      </c>
      <c r="E1734" s="3" t="n">
        <v>21926.5</v>
      </c>
      <c r="F1734" s="3">
        <f>D1734-E1734</f>
        <v/>
      </c>
      <c r="G1734" s="2" t="inlineStr">
        <is>
          <t>Long</t>
        </is>
      </c>
      <c r="H1734" s="3" t="n">
        <v>21995.75</v>
      </c>
      <c r="I1734" s="3" t="n">
        <v>22065</v>
      </c>
      <c r="J1734" s="3">
        <f>IF(G1734="Long",I1734-H1734,IF(G1734="Short",H1734-I1734,0))</f>
        <v/>
      </c>
      <c r="K1734" s="4" t="n">
        <v>22.02</v>
      </c>
      <c r="L1734" s="2" t="inlineStr">
        <is>
          <t>Win</t>
        </is>
      </c>
      <c r="M1734" s="3">
        <f>M1733+J1734</f>
        <v/>
      </c>
    </row>
    <row r="1735">
      <c r="A1735" s="2" t="inlineStr">
        <is>
          <t>2025-06-18</t>
        </is>
      </c>
      <c r="B1735" s="2" t="inlineStr">
        <is>
          <t>Wednesday</t>
        </is>
      </c>
      <c r="C1735" s="2" t="inlineStr">
        <is>
          <t>MNQU5</t>
        </is>
      </c>
      <c r="D1735" s="3" t="n">
        <v>21995.75</v>
      </c>
      <c r="E1735" s="3" t="n">
        <v>21926.5</v>
      </c>
      <c r="F1735" s="3">
        <f>D1735-E1735</f>
        <v/>
      </c>
      <c r="G1735" s="2" t="inlineStr">
        <is>
          <t>Long</t>
        </is>
      </c>
      <c r="H1735" s="3" t="n">
        <v>21995.75</v>
      </c>
      <c r="I1735" s="3" t="n">
        <v>22065</v>
      </c>
      <c r="J1735" s="3">
        <f>IF(G1735="Long",I1735-H1735,IF(G1735="Short",H1735-I1735,0))</f>
        <v/>
      </c>
      <c r="K1735" s="4" t="n">
        <v>80.51000000000001</v>
      </c>
      <c r="L1735" s="2" t="inlineStr">
        <is>
          <t>Win</t>
        </is>
      </c>
      <c r="M1735" s="3">
        <f>M1734+J1735</f>
        <v/>
      </c>
    </row>
    <row r="1736">
      <c r="A1736" s="8" t="inlineStr">
        <is>
          <t>2025-06-19</t>
        </is>
      </c>
      <c r="B1736" s="8" t="inlineStr">
        <is>
          <t>Thursday</t>
        </is>
      </c>
      <c r="C1736" s="8" t="inlineStr">
        <is>
          <t>MNQU5</t>
        </is>
      </c>
      <c r="D1736" s="9" t="n">
        <v>21786.75</v>
      </c>
      <c r="E1736" s="9" t="n">
        <v>21716</v>
      </c>
      <c r="F1736" s="9">
        <f>D1736-E1736</f>
        <v/>
      </c>
      <c r="G1736" s="8" t="inlineStr">
        <is>
          <t>Short</t>
        </is>
      </c>
      <c r="H1736" s="9" t="n">
        <v>21716</v>
      </c>
      <c r="I1736" s="9" t="n">
        <v>21704.25</v>
      </c>
      <c r="J1736" s="9">
        <f>IF(G1736="Long",I1736-H1736,IF(G1736="Short",H1736-I1736,0))</f>
        <v/>
      </c>
      <c r="K1736" s="10" t="n">
        <v>36.75</v>
      </c>
      <c r="L1736" s="8" t="inlineStr">
        <is>
          <t>EOD-Close</t>
        </is>
      </c>
      <c r="M1736" s="9">
        <f>M1735+J1736</f>
        <v/>
      </c>
    </row>
    <row r="1737">
      <c r="A1737" s="2" t="inlineStr">
        <is>
          <t>2025-06-20</t>
        </is>
      </c>
      <c r="B1737" s="2" t="inlineStr">
        <is>
          <t>Friday</t>
        </is>
      </c>
      <c r="C1737" s="2" t="inlineStr">
        <is>
          <t>MNQU5</t>
        </is>
      </c>
      <c r="D1737" s="3" t="n">
        <v>22130.75</v>
      </c>
      <c r="E1737" s="3" t="n">
        <v>22040</v>
      </c>
      <c r="F1737" s="3">
        <f>D1737-E1737</f>
        <v/>
      </c>
      <c r="G1737" s="2" t="inlineStr">
        <is>
          <t>Short</t>
        </is>
      </c>
      <c r="H1737" s="3" t="n">
        <v>22040</v>
      </c>
      <c r="I1737" s="3" t="n">
        <v>21949.25</v>
      </c>
      <c r="J1737" s="3">
        <f>IF(G1737="Long",I1737-H1737,IF(G1737="Short",H1737-I1737,0))</f>
        <v/>
      </c>
      <c r="K1737" s="4" t="n">
        <v>0</v>
      </c>
      <c r="L1737" s="2" t="inlineStr">
        <is>
          <t>Win</t>
        </is>
      </c>
      <c r="M1737" s="3">
        <f>M1736+J1737</f>
        <v/>
      </c>
    </row>
    <row r="1738">
      <c r="A1738" s="2" t="inlineStr">
        <is>
          <t>2025-06-23</t>
        </is>
      </c>
      <c r="B1738" s="2" t="inlineStr">
        <is>
          <t>Monday</t>
        </is>
      </c>
      <c r="C1738" s="2" t="inlineStr">
        <is>
          <t>MNQU5</t>
        </is>
      </c>
      <c r="D1738" s="3" t="n">
        <v>21885.5</v>
      </c>
      <c r="E1738" s="3" t="n">
        <v>21758.5</v>
      </c>
      <c r="F1738" s="3">
        <f>D1738-E1738</f>
        <v/>
      </c>
      <c r="G1738" s="2" t="inlineStr">
        <is>
          <t>Long</t>
        </is>
      </c>
      <c r="H1738" s="3" t="n">
        <v>21885.5</v>
      </c>
      <c r="I1738" s="3" t="n">
        <v>22012.5</v>
      </c>
      <c r="J1738" s="3">
        <f>IF(G1738="Long",I1738-H1738,IF(G1738="Short",H1738-I1738,0))</f>
        <v/>
      </c>
      <c r="K1738" s="4" t="n">
        <v>0</v>
      </c>
      <c r="L1738" s="2" t="inlineStr">
        <is>
          <t>Win</t>
        </is>
      </c>
      <c r="M1738" s="3">
        <f>M1737+J1738</f>
        <v/>
      </c>
    </row>
    <row r="1739">
      <c r="A1739" s="5" t="inlineStr">
        <is>
          <t>2025-06-23</t>
        </is>
      </c>
      <c r="B1739" s="5" t="inlineStr">
        <is>
          <t>Monday</t>
        </is>
      </c>
      <c r="C1739" s="5" t="inlineStr">
        <is>
          <t>MNQU5</t>
        </is>
      </c>
      <c r="D1739" s="6" t="n">
        <v>21885.5</v>
      </c>
      <c r="E1739" s="6" t="n">
        <v>21758.5</v>
      </c>
      <c r="F1739" s="6">
        <f>D1739-E1739</f>
        <v/>
      </c>
      <c r="G1739" s="5" t="inlineStr">
        <is>
          <t>Long</t>
        </is>
      </c>
      <c r="H1739" s="6" t="n">
        <v>21885.5</v>
      </c>
      <c r="I1739" s="6" t="n">
        <v>21758.5</v>
      </c>
      <c r="J1739" s="6">
        <f>IF(G1739="Long",I1739-H1739,IF(G1739="Short",H1739-I1739,0))</f>
        <v/>
      </c>
      <c r="K1739" s="7" t="n">
        <v>100</v>
      </c>
      <c r="L1739" s="5" t="inlineStr">
        <is>
          <t>Loss</t>
        </is>
      </c>
      <c r="M1739" s="6">
        <f>M1738+J1739</f>
        <v/>
      </c>
    </row>
    <row r="1740">
      <c r="A1740" s="2" t="inlineStr">
        <is>
          <t>2025-06-24</t>
        </is>
      </c>
      <c r="B1740" s="2" t="inlineStr">
        <is>
          <t>Tuesday</t>
        </is>
      </c>
      <c r="C1740" s="2" t="inlineStr">
        <is>
          <t>MNQU5</t>
        </is>
      </c>
      <c r="D1740" s="3" t="n">
        <v>22327.75</v>
      </c>
      <c r="E1740" s="3" t="n">
        <v>22260</v>
      </c>
      <c r="F1740" s="3">
        <f>D1740-E1740</f>
        <v/>
      </c>
      <c r="G1740" s="2" t="inlineStr">
        <is>
          <t>Long</t>
        </is>
      </c>
      <c r="H1740" s="3" t="n">
        <v>22327.75</v>
      </c>
      <c r="I1740" s="3" t="n">
        <v>22395.5</v>
      </c>
      <c r="J1740" s="3">
        <f>IF(G1740="Long",I1740-H1740,IF(G1740="Short",H1740-I1740,0))</f>
        <v/>
      </c>
      <c r="K1740" s="4" t="n">
        <v>40.96</v>
      </c>
      <c r="L1740" s="2" t="inlineStr">
        <is>
          <t>Win</t>
        </is>
      </c>
      <c r="M1740" s="3">
        <f>M1739+J1740</f>
        <v/>
      </c>
    </row>
    <row r="1741">
      <c r="A1741" s="2" t="inlineStr">
        <is>
          <t>2025-06-25</t>
        </is>
      </c>
      <c r="B1741" s="2" t="inlineStr">
        <is>
          <t>Wednesday</t>
        </is>
      </c>
      <c r="C1741" s="2" t="inlineStr">
        <is>
          <t>MNQU5</t>
        </is>
      </c>
      <c r="D1741" s="3" t="n">
        <v>22548.25</v>
      </c>
      <c r="E1741" s="3" t="n">
        <v>22490.25</v>
      </c>
      <c r="F1741" s="3">
        <f>D1741-E1741</f>
        <v/>
      </c>
      <c r="G1741" s="2" t="inlineStr">
        <is>
          <t>Short</t>
        </is>
      </c>
      <c r="H1741" s="3" t="n">
        <v>22490.25</v>
      </c>
      <c r="I1741" s="3" t="n">
        <v>22432.25</v>
      </c>
      <c r="J1741" s="3">
        <f>IF(G1741="Long",I1741-H1741,IF(G1741="Short",H1741-I1741,0))</f>
        <v/>
      </c>
      <c r="K1741" s="4" t="n">
        <v>59.05</v>
      </c>
      <c r="L1741" s="2" t="inlineStr">
        <is>
          <t>Win</t>
        </is>
      </c>
      <c r="M1741" s="3">
        <f>M1740+J1741</f>
        <v/>
      </c>
    </row>
    <row r="1742">
      <c r="A1742" s="2" t="inlineStr">
        <is>
          <t>2025-06-26</t>
        </is>
      </c>
      <c r="B1742" s="2" t="inlineStr">
        <is>
          <t>Thursday</t>
        </is>
      </c>
      <c r="C1742" s="2" t="inlineStr">
        <is>
          <t>MNQU5</t>
        </is>
      </c>
      <c r="D1742" s="3" t="n">
        <v>22566.5</v>
      </c>
      <c r="E1742" s="3" t="n">
        <v>22495</v>
      </c>
      <c r="F1742" s="3">
        <f>D1742-E1742</f>
        <v/>
      </c>
      <c r="G1742" s="2" t="inlineStr">
        <is>
          <t>Long</t>
        </is>
      </c>
      <c r="H1742" s="3" t="n">
        <v>22566.5</v>
      </c>
      <c r="I1742" s="3" t="n">
        <v>22638</v>
      </c>
      <c r="J1742" s="3">
        <f>IF(G1742="Long",I1742-H1742,IF(G1742="Short",H1742-I1742,0))</f>
        <v/>
      </c>
      <c r="K1742" s="4" t="n">
        <v>23.43</v>
      </c>
      <c r="L1742" s="2" t="inlineStr">
        <is>
          <t>Win</t>
        </is>
      </c>
      <c r="M1742" s="3">
        <f>M1741+J1742</f>
        <v/>
      </c>
    </row>
    <row r="1743">
      <c r="A1743" s="2" t="inlineStr">
        <is>
          <t>2025-06-27</t>
        </is>
      </c>
      <c r="B1743" s="2" t="inlineStr">
        <is>
          <t>Friday</t>
        </is>
      </c>
      <c r="C1743" s="2" t="inlineStr">
        <is>
          <t>MNQU5</t>
        </is>
      </c>
      <c r="D1743" s="3" t="n">
        <v>22743</v>
      </c>
      <c r="E1743" s="3" t="n">
        <v>22682</v>
      </c>
      <c r="F1743" s="3">
        <f>D1743-E1743</f>
        <v/>
      </c>
      <c r="G1743" s="2" t="inlineStr">
        <is>
          <t>Long</t>
        </is>
      </c>
      <c r="H1743" s="3" t="n">
        <v>22743</v>
      </c>
      <c r="I1743" s="3" t="n">
        <v>22804</v>
      </c>
      <c r="J1743" s="3">
        <f>IF(G1743="Long",I1743-H1743,IF(G1743="Short",H1743-I1743,0))</f>
        <v/>
      </c>
      <c r="K1743" s="4" t="n">
        <v>0</v>
      </c>
      <c r="L1743" s="2" t="inlineStr">
        <is>
          <t>Win</t>
        </is>
      </c>
      <c r="M1743" s="3">
        <f>M1742+J1743</f>
        <v/>
      </c>
    </row>
    <row r="1744">
      <c r="A1744" s="5" t="inlineStr">
        <is>
          <t>2025-06-27</t>
        </is>
      </c>
      <c r="B1744" s="5" t="inlineStr">
        <is>
          <t>Friday</t>
        </is>
      </c>
      <c r="C1744" s="5" t="inlineStr">
        <is>
          <t>MNQU5</t>
        </is>
      </c>
      <c r="D1744" s="6" t="n">
        <v>22743</v>
      </c>
      <c r="E1744" s="6" t="n">
        <v>22682</v>
      </c>
      <c r="F1744" s="6">
        <f>D1744-E1744</f>
        <v/>
      </c>
      <c r="G1744" s="5" t="inlineStr">
        <is>
          <t>Long</t>
        </is>
      </c>
      <c r="H1744" s="6" t="n">
        <v>22743</v>
      </c>
      <c r="I1744" s="6" t="n">
        <v>22682</v>
      </c>
      <c r="J1744" s="6">
        <f>IF(G1744="Long",I1744-H1744,IF(G1744="Short",H1744-I1744,0))</f>
        <v/>
      </c>
      <c r="K1744" s="7" t="n">
        <v>100</v>
      </c>
      <c r="L1744" s="5" t="inlineStr">
        <is>
          <t>Loss</t>
        </is>
      </c>
      <c r="M1744" s="6">
        <f>M1743+J1744</f>
        <v/>
      </c>
    </row>
    <row r="1745">
      <c r="A1745" s="5" t="inlineStr">
        <is>
          <t>2025-06-30</t>
        </is>
      </c>
      <c r="B1745" s="5" t="inlineStr">
        <is>
          <t>Monday</t>
        </is>
      </c>
      <c r="C1745" s="5" t="inlineStr">
        <is>
          <t>MNQU5</t>
        </is>
      </c>
      <c r="D1745" s="6" t="n">
        <v>22875.5</v>
      </c>
      <c r="E1745" s="6" t="n">
        <v>22801.25</v>
      </c>
      <c r="F1745" s="6">
        <f>D1745-E1745</f>
        <v/>
      </c>
      <c r="G1745" s="5" t="inlineStr">
        <is>
          <t>Short</t>
        </is>
      </c>
      <c r="H1745" s="6" t="n">
        <v>22801.25</v>
      </c>
      <c r="I1745" s="6" t="n">
        <v>22875.5</v>
      </c>
      <c r="J1745" s="6">
        <f>IF(G1745="Long",I1745-H1745,IF(G1745="Short",H1745-I1745,0))</f>
        <v/>
      </c>
      <c r="K1745" s="7" t="n">
        <v>100</v>
      </c>
      <c r="L1745" s="5" t="inlineStr">
        <is>
          <t>Loss</t>
        </is>
      </c>
      <c r="M1745" s="6">
        <f>M1744+J1745</f>
        <v/>
      </c>
    </row>
    <row r="1746">
      <c r="A1746" s="8" t="inlineStr">
        <is>
          <t>2025-06-30</t>
        </is>
      </c>
      <c r="B1746" s="8" t="inlineStr">
        <is>
          <t>Monday</t>
        </is>
      </c>
      <c r="C1746" s="8" t="inlineStr">
        <is>
          <t>MNQU5</t>
        </is>
      </c>
      <c r="D1746" s="9" t="n">
        <v>22875.5</v>
      </c>
      <c r="E1746" s="9" t="n">
        <v>22801.25</v>
      </c>
      <c r="F1746" s="9">
        <f>D1746-E1746</f>
        <v/>
      </c>
      <c r="G1746" s="8" t="inlineStr">
        <is>
          <t>Long</t>
        </is>
      </c>
      <c r="H1746" s="9" t="n">
        <v>22875.5</v>
      </c>
      <c r="I1746" s="9" t="n">
        <v>22885.75</v>
      </c>
      <c r="J1746" s="9">
        <f>IF(G1746="Long",I1746-H1746,IF(G1746="Short",H1746-I1746,0))</f>
        <v/>
      </c>
      <c r="K1746" s="10" t="n">
        <v>12.79</v>
      </c>
      <c r="L1746" s="8" t="inlineStr">
        <is>
          <t>EOD-Close</t>
        </is>
      </c>
      <c r="M1746" s="9">
        <f>M1745+J1746</f>
        <v/>
      </c>
    </row>
    <row r="1747">
      <c r="A1747" s="5" t="inlineStr">
        <is>
          <t>2025-07-01</t>
        </is>
      </c>
      <c r="B1747" s="5" t="inlineStr">
        <is>
          <t>Tuesday</t>
        </is>
      </c>
      <c r="C1747" s="5" t="inlineStr">
        <is>
          <t>MNQU5</t>
        </is>
      </c>
      <c r="D1747" s="6" t="n">
        <v>22821.25</v>
      </c>
      <c r="E1747" s="6" t="n">
        <v>22779.75</v>
      </c>
      <c r="F1747" s="6">
        <f>D1747-E1747</f>
        <v/>
      </c>
      <c r="G1747" s="5" t="inlineStr">
        <is>
          <t>Long</t>
        </is>
      </c>
      <c r="H1747" s="6" t="n">
        <v>22821.25</v>
      </c>
      <c r="I1747" s="6" t="n">
        <v>22779.75</v>
      </c>
      <c r="J1747" s="6">
        <f>IF(G1747="Long",I1747-H1747,IF(G1747="Short",H1747-I1747,0))</f>
        <v/>
      </c>
      <c r="K1747" s="7" t="n">
        <v>100</v>
      </c>
      <c r="L1747" s="5" t="inlineStr">
        <is>
          <t>Loss</t>
        </is>
      </c>
      <c r="M1747" s="6">
        <f>M1746+J1747</f>
        <v/>
      </c>
    </row>
    <row r="1748">
      <c r="A1748" s="2" t="inlineStr">
        <is>
          <t>2025-07-01</t>
        </is>
      </c>
      <c r="B1748" s="2" t="inlineStr">
        <is>
          <t>Tuesday</t>
        </is>
      </c>
      <c r="C1748" s="2" t="inlineStr">
        <is>
          <t>MNQU5</t>
        </is>
      </c>
      <c r="D1748" s="3" t="n">
        <v>22821.25</v>
      </c>
      <c r="E1748" s="3" t="n">
        <v>22779.75</v>
      </c>
      <c r="F1748" s="3">
        <f>D1748-E1748</f>
        <v/>
      </c>
      <c r="G1748" s="2" t="inlineStr">
        <is>
          <t>Short</t>
        </is>
      </c>
      <c r="H1748" s="3" t="n">
        <v>22779.75</v>
      </c>
      <c r="I1748" s="3" t="n">
        <v>22738.25</v>
      </c>
      <c r="J1748" s="3">
        <f>IF(G1748="Long",I1748-H1748,IF(G1748="Short",H1748-I1748,0))</f>
        <v/>
      </c>
      <c r="K1748" s="4" t="n">
        <v>9.039999999999999</v>
      </c>
      <c r="L1748" s="2" t="inlineStr">
        <is>
          <t>Win</t>
        </is>
      </c>
      <c r="M1748" s="3">
        <f>M1747+J1748</f>
        <v/>
      </c>
    </row>
    <row r="1749">
      <c r="A1749" s="2" t="inlineStr">
        <is>
          <t>2025-07-02</t>
        </is>
      </c>
      <c r="B1749" s="2" t="inlineStr">
        <is>
          <t>Wednesday</t>
        </is>
      </c>
      <c r="C1749" s="2" t="inlineStr">
        <is>
          <t>MNQU5</t>
        </is>
      </c>
      <c r="D1749" s="3" t="n">
        <v>22707.25</v>
      </c>
      <c r="E1749" s="3" t="n">
        <v>22650.75</v>
      </c>
      <c r="F1749" s="3">
        <f>D1749-E1749</f>
        <v/>
      </c>
      <c r="G1749" s="2" t="inlineStr">
        <is>
          <t>Long</t>
        </is>
      </c>
      <c r="H1749" s="3" t="n">
        <v>22707.25</v>
      </c>
      <c r="I1749" s="3" t="n">
        <v>22763.75</v>
      </c>
      <c r="J1749" s="3">
        <f>IF(G1749="Long",I1749-H1749,IF(G1749="Short",H1749-I1749,0))</f>
        <v/>
      </c>
      <c r="K1749" s="4" t="n">
        <v>7.96</v>
      </c>
      <c r="L1749" s="2" t="inlineStr">
        <is>
          <t>Win</t>
        </is>
      </c>
      <c r="M1749" s="3">
        <f>M1748+J1749</f>
        <v/>
      </c>
    </row>
    <row r="1750">
      <c r="A1750" s="2" t="inlineStr">
        <is>
          <t>2025-07-03</t>
        </is>
      </c>
      <c r="B1750" s="2" t="inlineStr">
        <is>
          <t>Thursday</t>
        </is>
      </c>
      <c r="C1750" s="2" t="inlineStr">
        <is>
          <t>MNQU5</t>
        </is>
      </c>
      <c r="D1750" s="3" t="n">
        <v>22986</v>
      </c>
      <c r="E1750" s="3" t="n">
        <v>22929.75</v>
      </c>
      <c r="F1750" s="3">
        <f>D1750-E1750</f>
        <v/>
      </c>
      <c r="G1750" s="2" t="inlineStr">
        <is>
          <t>Long</t>
        </is>
      </c>
      <c r="H1750" s="3" t="n">
        <v>22986</v>
      </c>
      <c r="I1750" s="3" t="n">
        <v>23042.25</v>
      </c>
      <c r="J1750" s="3">
        <f>IF(G1750="Long",I1750-H1750,IF(G1750="Short",H1750-I1750,0))</f>
        <v/>
      </c>
      <c r="K1750" s="4" t="n">
        <v>0</v>
      </c>
      <c r="L1750" s="2" t="inlineStr">
        <is>
          <t>Win</t>
        </is>
      </c>
      <c r="M1750" s="3">
        <f>M1749+J1750</f>
        <v/>
      </c>
    </row>
    <row r="1751">
      <c r="A1751" s="8" t="inlineStr">
        <is>
          <t>2025-07-04</t>
        </is>
      </c>
      <c r="B1751" s="8" t="inlineStr">
        <is>
          <t>Friday</t>
        </is>
      </c>
      <c r="C1751" s="8" t="inlineStr">
        <is>
          <t>MNQU5</t>
        </is>
      </c>
      <c r="D1751" s="9" t="n">
        <v>22929.25</v>
      </c>
      <c r="E1751" s="9" t="n">
        <v>22887.5</v>
      </c>
      <c r="F1751" s="9">
        <f>D1751-E1751</f>
        <v/>
      </c>
      <c r="G1751" s="8" t="inlineStr">
        <is>
          <t>Long</t>
        </is>
      </c>
      <c r="H1751" s="9" t="n">
        <v>22929.25</v>
      </c>
      <c r="I1751" s="9" t="n">
        <v>22904.5</v>
      </c>
      <c r="J1751" s="9">
        <f>IF(G1751="Long",I1751-H1751,IF(G1751="Short",H1751-I1751,0))</f>
        <v/>
      </c>
      <c r="K1751" s="10" t="n">
        <v>92.22</v>
      </c>
      <c r="L1751" s="8" t="inlineStr">
        <is>
          <t>EOD-Close</t>
        </is>
      </c>
      <c r="M1751" s="9">
        <f>M1750+J1751</f>
        <v/>
      </c>
    </row>
    <row r="1752">
      <c r="A1752" s="2" t="inlineStr">
        <is>
          <t>2025-07-07</t>
        </is>
      </c>
      <c r="B1752" s="2" t="inlineStr">
        <is>
          <t>Monday</t>
        </is>
      </c>
      <c r="C1752" s="2" t="inlineStr">
        <is>
          <t>MNQU5</t>
        </is>
      </c>
      <c r="D1752" s="3" t="n">
        <v>22975.5</v>
      </c>
      <c r="E1752" s="3" t="n">
        <v>22900.25</v>
      </c>
      <c r="F1752" s="3">
        <f>D1752-E1752</f>
        <v/>
      </c>
      <c r="G1752" s="2" t="inlineStr">
        <is>
          <t>Short</t>
        </is>
      </c>
      <c r="H1752" s="3" t="n">
        <v>22900.25</v>
      </c>
      <c r="I1752" s="3" t="n">
        <v>22825</v>
      </c>
      <c r="J1752" s="3">
        <f>IF(G1752="Long",I1752-H1752,IF(G1752="Short",H1752-I1752,0))</f>
        <v/>
      </c>
      <c r="K1752" s="4" t="n">
        <v>83.06</v>
      </c>
      <c r="L1752" s="2" t="inlineStr">
        <is>
          <t>Win</t>
        </is>
      </c>
      <c r="M1752" s="3">
        <f>M1751+J1752</f>
        <v/>
      </c>
    </row>
    <row r="1753">
      <c r="A1753" s="5" t="inlineStr">
        <is>
          <t>2025-07-08</t>
        </is>
      </c>
      <c r="B1753" s="5" t="inlineStr">
        <is>
          <t>Tuesday</t>
        </is>
      </c>
      <c r="C1753" s="5" t="inlineStr">
        <is>
          <t>MNQU5</t>
        </is>
      </c>
      <c r="D1753" s="6" t="n">
        <v>22944</v>
      </c>
      <c r="E1753" s="6" t="n">
        <v>22889</v>
      </c>
      <c r="F1753" s="6">
        <f>D1753-E1753</f>
        <v/>
      </c>
      <c r="G1753" s="5" t="inlineStr">
        <is>
          <t>Short</t>
        </is>
      </c>
      <c r="H1753" s="6" t="n">
        <v>22889</v>
      </c>
      <c r="I1753" s="6" t="n">
        <v>22944</v>
      </c>
      <c r="J1753" s="6">
        <f>IF(G1753="Long",I1753-H1753,IF(G1753="Short",H1753-I1753,0))</f>
        <v/>
      </c>
      <c r="K1753" s="7" t="n">
        <v>100</v>
      </c>
      <c r="L1753" s="5" t="inlineStr">
        <is>
          <t>Loss</t>
        </is>
      </c>
      <c r="M1753" s="6">
        <f>M1752+J1753</f>
        <v/>
      </c>
    </row>
    <row r="1754">
      <c r="A1754" s="5" t="inlineStr">
        <is>
          <t>2025-07-08</t>
        </is>
      </c>
      <c r="B1754" s="5" t="inlineStr">
        <is>
          <t>Tuesday</t>
        </is>
      </c>
      <c r="C1754" s="5" t="inlineStr">
        <is>
          <t>MNQU5</t>
        </is>
      </c>
      <c r="D1754" s="6" t="n">
        <v>22944</v>
      </c>
      <c r="E1754" s="6" t="n">
        <v>22889</v>
      </c>
      <c r="F1754" s="6">
        <f>D1754-E1754</f>
        <v/>
      </c>
      <c r="G1754" s="5" t="inlineStr">
        <is>
          <t>Long</t>
        </is>
      </c>
      <c r="H1754" s="6" t="n">
        <v>22944</v>
      </c>
      <c r="I1754" s="6" t="n">
        <v>22889</v>
      </c>
      <c r="J1754" s="6">
        <f>IF(G1754="Long",I1754-H1754,IF(G1754="Short",H1754-I1754,0))</f>
        <v/>
      </c>
      <c r="K1754" s="7" t="n">
        <v>100</v>
      </c>
      <c r="L1754" s="5" t="inlineStr">
        <is>
          <t>Loss</t>
        </is>
      </c>
      <c r="M1754" s="6">
        <f>M1753+J1754</f>
        <v/>
      </c>
    </row>
    <row r="1755">
      <c r="A1755" s="5" t="inlineStr">
        <is>
          <t>2025-07-09</t>
        </is>
      </c>
      <c r="B1755" s="5" t="inlineStr">
        <is>
          <t>Wednesday</t>
        </is>
      </c>
      <c r="C1755" s="5" t="inlineStr">
        <is>
          <t>MNQU5</t>
        </is>
      </c>
      <c r="D1755" s="6" t="n">
        <v>23064.75</v>
      </c>
      <c r="E1755" s="6" t="n">
        <v>22977.75</v>
      </c>
      <c r="F1755" s="6">
        <f>D1755-E1755</f>
        <v/>
      </c>
      <c r="G1755" s="5" t="inlineStr">
        <is>
          <t>Long</t>
        </is>
      </c>
      <c r="H1755" s="6" t="n">
        <v>23064.75</v>
      </c>
      <c r="I1755" s="6" t="n">
        <v>22977.75</v>
      </c>
      <c r="J1755" s="6">
        <f>IF(G1755="Long",I1755-H1755,IF(G1755="Short",H1755-I1755,0))</f>
        <v/>
      </c>
      <c r="K1755" s="7" t="n">
        <v>100</v>
      </c>
      <c r="L1755" s="5" t="inlineStr">
        <is>
          <t>Loss</t>
        </is>
      </c>
      <c r="M1755" s="6">
        <f>M1754+J1755</f>
        <v/>
      </c>
    </row>
    <row r="1756">
      <c r="A1756" s="8" t="inlineStr">
        <is>
          <t>2025-07-09</t>
        </is>
      </c>
      <c r="B1756" s="8" t="inlineStr">
        <is>
          <t>Wednesday</t>
        </is>
      </c>
      <c r="C1756" s="8" t="inlineStr">
        <is>
          <t>MNQU5</t>
        </is>
      </c>
      <c r="D1756" s="9" t="n">
        <v>23064.75</v>
      </c>
      <c r="E1756" s="9" t="n">
        <v>22977.75</v>
      </c>
      <c r="F1756" s="9">
        <f>D1756-E1756</f>
        <v/>
      </c>
      <c r="G1756" s="8" t="inlineStr">
        <is>
          <t>Short</t>
        </is>
      </c>
      <c r="H1756" s="9" t="n">
        <v>22977.75</v>
      </c>
      <c r="I1756" s="9" t="n">
        <v>23051</v>
      </c>
      <c r="J1756" s="9">
        <f>IF(G1756="Long",I1756-H1756,IF(G1756="Short",H1756-I1756,0))</f>
        <v/>
      </c>
      <c r="K1756" s="10" t="n">
        <v>91.67</v>
      </c>
      <c r="L1756" s="8" t="inlineStr">
        <is>
          <t>EOD-Close</t>
        </is>
      </c>
      <c r="M1756" s="9">
        <f>M1755+J1756</f>
        <v/>
      </c>
    </row>
    <row r="1757">
      <c r="A1757" s="2" t="inlineStr">
        <is>
          <t>2025-07-10</t>
        </is>
      </c>
      <c r="B1757" s="2" t="inlineStr">
        <is>
          <t>Thursday</t>
        </is>
      </c>
      <c r="C1757" s="2" t="inlineStr">
        <is>
          <t>MNQU5</t>
        </is>
      </c>
      <c r="D1757" s="3" t="n">
        <v>23089.75</v>
      </c>
      <c r="E1757" s="3" t="n">
        <v>23022</v>
      </c>
      <c r="F1757" s="3">
        <f>D1757-E1757</f>
        <v/>
      </c>
      <c r="G1757" s="2" t="inlineStr">
        <is>
          <t>Short</t>
        </is>
      </c>
      <c r="H1757" s="3" t="n">
        <v>23022</v>
      </c>
      <c r="I1757" s="3" t="n">
        <v>22954.25</v>
      </c>
      <c r="J1757" s="3">
        <f>IF(G1757="Long",I1757-H1757,IF(G1757="Short",H1757-I1757,0))</f>
        <v/>
      </c>
      <c r="K1757" s="4" t="n">
        <v>0</v>
      </c>
      <c r="L1757" s="2" t="inlineStr">
        <is>
          <t>Win</t>
        </is>
      </c>
      <c r="M1757" s="3">
        <f>M1756+J1757</f>
        <v/>
      </c>
    </row>
    <row r="1758">
      <c r="A1758" s="8" t="inlineStr">
        <is>
          <t>2025-07-10</t>
        </is>
      </c>
      <c r="B1758" s="8" t="inlineStr">
        <is>
          <t>Thursday</t>
        </is>
      </c>
      <c r="C1758" s="8" t="inlineStr">
        <is>
          <t>MNQU5</t>
        </is>
      </c>
      <c r="D1758" s="9" t="n">
        <v>23089.75</v>
      </c>
      <c r="E1758" s="9" t="n">
        <v>23022</v>
      </c>
      <c r="F1758" s="9">
        <f>D1758-E1758</f>
        <v/>
      </c>
      <c r="G1758" s="8" t="inlineStr">
        <is>
          <t>Short</t>
        </is>
      </c>
      <c r="H1758" s="9" t="n">
        <v>23022</v>
      </c>
      <c r="I1758" s="9" t="n">
        <v>23015</v>
      </c>
      <c r="J1758" s="9">
        <f>IF(G1758="Long",I1758-H1758,IF(G1758="Short",H1758-I1758,0))</f>
        <v/>
      </c>
      <c r="K1758" s="10" t="n">
        <v>41.33</v>
      </c>
      <c r="L1758" s="8" t="inlineStr">
        <is>
          <t>EOD-Close</t>
        </is>
      </c>
      <c r="M1758" s="9">
        <f>M1757+J1758</f>
        <v/>
      </c>
    </row>
    <row r="1759">
      <c r="A1759" s="8" t="inlineStr">
        <is>
          <t>2025-07-11</t>
        </is>
      </c>
      <c r="B1759" s="8" t="inlineStr">
        <is>
          <t>Friday</t>
        </is>
      </c>
      <c r="C1759" s="8" t="inlineStr">
        <is>
          <t>MNQU5</t>
        </is>
      </c>
      <c r="D1759" s="9" t="n">
        <v>22958.25</v>
      </c>
      <c r="E1759" s="9" t="n">
        <v>22870</v>
      </c>
      <c r="F1759" s="9">
        <f>D1759-E1759</f>
        <v/>
      </c>
      <c r="G1759" s="8" t="inlineStr">
        <is>
          <t>Long</t>
        </is>
      </c>
      <c r="H1759" s="9" t="n">
        <v>22958.25</v>
      </c>
      <c r="I1759" s="9" t="n">
        <v>22955.25</v>
      </c>
      <c r="J1759" s="9">
        <f>IF(G1759="Long",I1759-H1759,IF(G1759="Short",H1759-I1759,0))</f>
        <v/>
      </c>
      <c r="K1759" s="10" t="n">
        <v>56.09</v>
      </c>
      <c r="L1759" s="8" t="inlineStr">
        <is>
          <t>EOD-Close</t>
        </is>
      </c>
      <c r="M1759" s="9">
        <f>M1758+J1759</f>
        <v/>
      </c>
    </row>
    <row r="1760">
      <c r="A1760" s="8" t="inlineStr">
        <is>
          <t>2025-07-14</t>
        </is>
      </c>
      <c r="B1760" s="8" t="inlineStr">
        <is>
          <t>Monday</t>
        </is>
      </c>
      <c r="C1760" s="8" t="inlineStr">
        <is>
          <t>MNQU5</t>
        </is>
      </c>
      <c r="D1760" s="9" t="n">
        <v>22979</v>
      </c>
      <c r="E1760" s="9" t="n">
        <v>22852</v>
      </c>
      <c r="F1760" s="9">
        <f>D1760-E1760</f>
        <v/>
      </c>
      <c r="G1760" s="8" t="inlineStr">
        <is>
          <t>Long</t>
        </is>
      </c>
      <c r="H1760" s="9" t="n">
        <v>22979</v>
      </c>
      <c r="I1760" s="9" t="n">
        <v>23034.5</v>
      </c>
      <c r="J1760" s="9">
        <f>IF(G1760="Long",I1760-H1760,IF(G1760="Short",H1760-I1760,0))</f>
        <v/>
      </c>
      <c r="K1760" s="10" t="n">
        <v>0</v>
      </c>
      <c r="L1760" s="8" t="inlineStr">
        <is>
          <t>EOD-Close</t>
        </is>
      </c>
      <c r="M1760" s="9">
        <f>M1759+J1760</f>
        <v/>
      </c>
    </row>
    <row r="1761">
      <c r="A1761" s="8" t="inlineStr">
        <is>
          <t>2025-07-15</t>
        </is>
      </c>
      <c r="B1761" s="8" t="inlineStr">
        <is>
          <t>Tuesday</t>
        </is>
      </c>
      <c r="C1761" s="8" t="inlineStr">
        <is>
          <t>MNQU5</t>
        </is>
      </c>
      <c r="D1761" s="9" t="n">
        <v>23222.75</v>
      </c>
      <c r="E1761" s="9" t="n">
        <v>23122.75</v>
      </c>
      <c r="F1761" s="9">
        <f>D1761-E1761</f>
        <v/>
      </c>
      <c r="G1761" s="8" t="inlineStr">
        <is>
          <t>Short</t>
        </is>
      </c>
      <c r="H1761" s="9" t="n">
        <v>23122.75</v>
      </c>
      <c r="I1761" s="9" t="n">
        <v>23052</v>
      </c>
      <c r="J1761" s="9">
        <f>IF(G1761="Long",I1761-H1761,IF(G1761="Short",H1761-I1761,0))</f>
        <v/>
      </c>
      <c r="K1761" s="10" t="n">
        <v>58.25</v>
      </c>
      <c r="L1761" s="8" t="inlineStr">
        <is>
          <t>EOD-Close</t>
        </is>
      </c>
      <c r="M1761" s="9">
        <f>M1760+J1761</f>
        <v/>
      </c>
    </row>
    <row r="1762">
      <c r="A1762" s="2" t="inlineStr">
        <is>
          <t>2025-07-16</t>
        </is>
      </c>
      <c r="B1762" s="2" t="inlineStr">
        <is>
          <t>Wednesday</t>
        </is>
      </c>
      <c r="C1762" s="2" t="inlineStr">
        <is>
          <t>MNQU5</t>
        </is>
      </c>
      <c r="D1762" s="3" t="n">
        <v>23090</v>
      </c>
      <c r="E1762" s="3" t="n">
        <v>23004.25</v>
      </c>
      <c r="F1762" s="3">
        <f>D1762-E1762</f>
        <v/>
      </c>
      <c r="G1762" s="2" t="inlineStr">
        <is>
          <t>Short</t>
        </is>
      </c>
      <c r="H1762" s="3" t="n">
        <v>23004.25</v>
      </c>
      <c r="I1762" s="3" t="n">
        <v>22918.5</v>
      </c>
      <c r="J1762" s="3">
        <f>IF(G1762="Long",I1762-H1762,IF(G1762="Short",H1762-I1762,0))</f>
        <v/>
      </c>
      <c r="K1762" s="4" t="n">
        <v>47.52</v>
      </c>
      <c r="L1762" s="2" t="inlineStr">
        <is>
          <t>Win</t>
        </is>
      </c>
      <c r="M1762" s="3">
        <f>M1761+J1762</f>
        <v/>
      </c>
    </row>
    <row r="1763">
      <c r="A1763" s="5" t="inlineStr">
        <is>
          <t>2025-07-16</t>
        </is>
      </c>
      <c r="B1763" s="5" t="inlineStr">
        <is>
          <t>Wednesday</t>
        </is>
      </c>
      <c r="C1763" s="5" t="inlineStr">
        <is>
          <t>MNQU5</t>
        </is>
      </c>
      <c r="D1763" s="6" t="n">
        <v>23090</v>
      </c>
      <c r="E1763" s="6" t="n">
        <v>23004.25</v>
      </c>
      <c r="F1763" s="6">
        <f>D1763-E1763</f>
        <v/>
      </c>
      <c r="G1763" s="5" t="inlineStr">
        <is>
          <t>Short</t>
        </is>
      </c>
      <c r="H1763" s="6" t="n">
        <v>23004.25</v>
      </c>
      <c r="I1763" s="6" t="n">
        <v>23090</v>
      </c>
      <c r="J1763" s="6">
        <f>IF(G1763="Long",I1763-H1763,IF(G1763="Short",H1763-I1763,0))</f>
        <v/>
      </c>
      <c r="K1763" s="7" t="n">
        <v>100</v>
      </c>
      <c r="L1763" s="5" t="inlineStr">
        <is>
          <t>Loss</t>
        </is>
      </c>
      <c r="M1763" s="6">
        <f>M1762+J1763</f>
        <v/>
      </c>
    </row>
    <row r="1764">
      <c r="A1764" s="2" t="inlineStr">
        <is>
          <t>2025-07-17</t>
        </is>
      </c>
      <c r="B1764" s="2" t="inlineStr">
        <is>
          <t>Thursday</t>
        </is>
      </c>
      <c r="C1764" s="2" t="inlineStr">
        <is>
          <t>MNQU5</t>
        </is>
      </c>
      <c r="D1764" s="3" t="n">
        <v>23128.25</v>
      </c>
      <c r="E1764" s="3" t="n">
        <v>23065.75</v>
      </c>
      <c r="F1764" s="3">
        <f>D1764-E1764</f>
        <v/>
      </c>
      <c r="G1764" s="2" t="inlineStr">
        <is>
          <t>Long</t>
        </is>
      </c>
      <c r="H1764" s="3" t="n">
        <v>23128.25</v>
      </c>
      <c r="I1764" s="3" t="n">
        <v>23190.75</v>
      </c>
      <c r="J1764" s="3">
        <f>IF(G1764="Long",I1764-H1764,IF(G1764="Short",H1764-I1764,0))</f>
        <v/>
      </c>
      <c r="K1764" s="4" t="n">
        <v>22</v>
      </c>
      <c r="L1764" s="2" t="inlineStr">
        <is>
          <t>Win</t>
        </is>
      </c>
      <c r="M1764" s="3">
        <f>M1763+J1764</f>
        <v/>
      </c>
    </row>
    <row r="1765">
      <c r="A1765" s="2" t="inlineStr">
        <is>
          <t>2025-07-18</t>
        </is>
      </c>
      <c r="B1765" s="2" t="inlineStr">
        <is>
          <t>Friday</t>
        </is>
      </c>
      <c r="C1765" s="2" t="inlineStr">
        <is>
          <t>MNQU5</t>
        </is>
      </c>
      <c r="D1765" s="3" t="n">
        <v>23310</v>
      </c>
      <c r="E1765" s="3" t="n">
        <v>23257.25</v>
      </c>
      <c r="F1765" s="3">
        <f>D1765-E1765</f>
        <v/>
      </c>
      <c r="G1765" s="2" t="inlineStr">
        <is>
          <t>Short</t>
        </is>
      </c>
      <c r="H1765" s="3" t="n">
        <v>23257.25</v>
      </c>
      <c r="I1765" s="3" t="n">
        <v>23204.5</v>
      </c>
      <c r="J1765" s="3">
        <f>IF(G1765="Long",I1765-H1765,IF(G1765="Short",H1765-I1765,0))</f>
        <v/>
      </c>
      <c r="K1765" s="4" t="n">
        <v>0</v>
      </c>
      <c r="L1765" s="2" t="inlineStr">
        <is>
          <t>Win</t>
        </is>
      </c>
      <c r="M1765" s="3">
        <f>M1764+J1765</f>
        <v/>
      </c>
    </row>
    <row r="1766">
      <c r="A1766" s="8" t="inlineStr">
        <is>
          <t>2025-07-21</t>
        </is>
      </c>
      <c r="B1766" s="8" t="inlineStr">
        <is>
          <t>Monday</t>
        </is>
      </c>
      <c r="C1766" s="8" t="inlineStr">
        <is>
          <t>MNQU5</t>
        </is>
      </c>
      <c r="D1766" s="9" t="n">
        <v>23348.75</v>
      </c>
      <c r="E1766" s="9" t="n">
        <v>23255</v>
      </c>
      <c r="F1766" s="9">
        <f>D1766-E1766</f>
        <v/>
      </c>
      <c r="G1766" s="8" t="inlineStr">
        <is>
          <t>Long</t>
        </is>
      </c>
      <c r="H1766" s="9" t="n">
        <v>23348.75</v>
      </c>
      <c r="I1766" s="9" t="n">
        <v>23344.25</v>
      </c>
      <c r="J1766" s="9">
        <f>IF(G1766="Long",I1766-H1766,IF(G1766="Short",H1766-I1766,0))</f>
        <v/>
      </c>
      <c r="K1766" s="10" t="n">
        <v>21.87</v>
      </c>
      <c r="L1766" s="8" t="inlineStr">
        <is>
          <t>EOD-Close</t>
        </is>
      </c>
      <c r="M1766" s="9">
        <f>M1765+J1766</f>
        <v/>
      </c>
    </row>
    <row r="1767">
      <c r="A1767" s="2" t="inlineStr">
        <is>
          <t>2025-07-22</t>
        </is>
      </c>
      <c r="B1767" s="2" t="inlineStr">
        <is>
          <t>Tuesday</t>
        </is>
      </c>
      <c r="C1767" s="2" t="inlineStr">
        <is>
          <t>MNQU5</t>
        </is>
      </c>
      <c r="D1767" s="3" t="n">
        <v>23349.75</v>
      </c>
      <c r="E1767" s="3" t="n">
        <v>23258.75</v>
      </c>
      <c r="F1767" s="3">
        <f>D1767-E1767</f>
        <v/>
      </c>
      <c r="G1767" s="2" t="inlineStr">
        <is>
          <t>Short</t>
        </is>
      </c>
      <c r="H1767" s="3" t="n">
        <v>23258.75</v>
      </c>
      <c r="I1767" s="3" t="n">
        <v>23167.75</v>
      </c>
      <c r="J1767" s="3">
        <f>IF(G1767="Long",I1767-H1767,IF(G1767="Short",H1767-I1767,0))</f>
        <v/>
      </c>
      <c r="K1767" s="4" t="n">
        <v>0</v>
      </c>
      <c r="L1767" s="2" t="inlineStr">
        <is>
          <t>Win</t>
        </is>
      </c>
      <c r="M1767" s="3">
        <f>M1766+J1767</f>
        <v/>
      </c>
    </row>
    <row r="1768">
      <c r="A1768" s="5" t="inlineStr">
        <is>
          <t>2025-07-23</t>
        </is>
      </c>
      <c r="B1768" s="5" t="inlineStr">
        <is>
          <t>Wednesday</t>
        </is>
      </c>
      <c r="C1768" s="5" t="inlineStr">
        <is>
          <t>MNQU5</t>
        </is>
      </c>
      <c r="D1768" s="6" t="n">
        <v>23264.25</v>
      </c>
      <c r="E1768" s="6" t="n">
        <v>23183</v>
      </c>
      <c r="F1768" s="6">
        <f>D1768-E1768</f>
        <v/>
      </c>
      <c r="G1768" s="5" t="inlineStr">
        <is>
          <t>Short</t>
        </is>
      </c>
      <c r="H1768" s="6" t="n">
        <v>23183</v>
      </c>
      <c r="I1768" s="6" t="n">
        <v>23264.25</v>
      </c>
      <c r="J1768" s="6">
        <f>IF(G1768="Long",I1768-H1768,IF(G1768="Short",H1768-I1768,0))</f>
        <v/>
      </c>
      <c r="K1768" s="7" t="n">
        <v>100</v>
      </c>
      <c r="L1768" s="5" t="inlineStr">
        <is>
          <t>Loss</t>
        </is>
      </c>
      <c r="M1768" s="6">
        <f>M1767+J1768</f>
        <v/>
      </c>
    </row>
    <row r="1769">
      <c r="A1769" s="8" t="inlineStr">
        <is>
          <t>2025-07-23</t>
        </is>
      </c>
      <c r="B1769" s="8" t="inlineStr">
        <is>
          <t>Wednesday</t>
        </is>
      </c>
      <c r="C1769" s="8" t="inlineStr">
        <is>
          <t>MNQU5</t>
        </is>
      </c>
      <c r="D1769" s="9" t="n">
        <v>23264.25</v>
      </c>
      <c r="E1769" s="9" t="n">
        <v>23183</v>
      </c>
      <c r="F1769" s="9">
        <f>D1769-E1769</f>
        <v/>
      </c>
      <c r="G1769" s="8" t="inlineStr">
        <is>
          <t>Long</t>
        </is>
      </c>
      <c r="H1769" s="9" t="n">
        <v>23264.25</v>
      </c>
      <c r="I1769" s="9" t="n">
        <v>23324.5</v>
      </c>
      <c r="J1769" s="9">
        <f>IF(G1769="Long",I1769-H1769,IF(G1769="Short",H1769-I1769,0))</f>
        <v/>
      </c>
      <c r="K1769" s="10" t="n">
        <v>0</v>
      </c>
      <c r="L1769" s="8" t="inlineStr">
        <is>
          <t>EOD-Close</t>
        </is>
      </c>
      <c r="M1769" s="9">
        <f>M1768+J1769</f>
        <v/>
      </c>
    </row>
    <row r="1770">
      <c r="A1770" s="5" t="inlineStr">
        <is>
          <t>2025-07-24</t>
        </is>
      </c>
      <c r="B1770" s="5" t="inlineStr">
        <is>
          <t>Thursday</t>
        </is>
      </c>
      <c r="C1770" s="5" t="inlineStr">
        <is>
          <t>MNQU5</t>
        </is>
      </c>
      <c r="D1770" s="6" t="n">
        <v>23399.5</v>
      </c>
      <c r="E1770" s="6" t="n">
        <v>23333.5</v>
      </c>
      <c r="F1770" s="6">
        <f>D1770-E1770</f>
        <v/>
      </c>
      <c r="G1770" s="5" t="inlineStr">
        <is>
          <t>Short</t>
        </is>
      </c>
      <c r="H1770" s="6" t="n">
        <v>23333.5</v>
      </c>
      <c r="I1770" s="6" t="n">
        <v>23399.5</v>
      </c>
      <c r="J1770" s="6">
        <f>IF(G1770="Long",I1770-H1770,IF(G1770="Short",H1770-I1770,0))</f>
        <v/>
      </c>
      <c r="K1770" s="7" t="n">
        <v>100</v>
      </c>
      <c r="L1770" s="5" t="inlineStr">
        <is>
          <t>Loss</t>
        </is>
      </c>
      <c r="M1770" s="6">
        <f>M1769+J1770</f>
        <v/>
      </c>
    </row>
    <row r="1771">
      <c r="A1771" s="8" t="inlineStr">
        <is>
          <t>2025-07-24</t>
        </is>
      </c>
      <c r="B1771" s="8" t="inlineStr">
        <is>
          <t>Thursday</t>
        </is>
      </c>
      <c r="C1771" s="8" t="inlineStr">
        <is>
          <t>MNQU5</t>
        </is>
      </c>
      <c r="D1771" s="9" t="n">
        <v>23399.5</v>
      </c>
      <c r="E1771" s="9" t="n">
        <v>23333.5</v>
      </c>
      <c r="F1771" s="9">
        <f>D1771-E1771</f>
        <v/>
      </c>
      <c r="G1771" s="8" t="inlineStr">
        <is>
          <t>Long</t>
        </is>
      </c>
      <c r="H1771" s="9" t="n">
        <v>23399.5</v>
      </c>
      <c r="I1771" s="9" t="n">
        <v>23376.5</v>
      </c>
      <c r="J1771" s="9">
        <f>IF(G1771="Long",I1771-H1771,IF(G1771="Short",H1771-I1771,0))</f>
        <v/>
      </c>
      <c r="K1771" s="10" t="n">
        <v>41.29</v>
      </c>
      <c r="L1771" s="8" t="inlineStr">
        <is>
          <t>EOD-Close</t>
        </is>
      </c>
      <c r="M1771" s="9">
        <f>M1770+J1771</f>
        <v/>
      </c>
    </row>
    <row r="1772">
      <c r="A1772" s="2" t="inlineStr">
        <is>
          <t>2025-07-25</t>
        </is>
      </c>
      <c r="B1772" s="2" t="inlineStr">
        <is>
          <t>Friday</t>
        </is>
      </c>
      <c r="C1772" s="2" t="inlineStr">
        <is>
          <t>MNQU5</t>
        </is>
      </c>
      <c r="D1772" s="3" t="n">
        <v>23378.5</v>
      </c>
      <c r="E1772" s="3" t="n">
        <v>23330.25</v>
      </c>
      <c r="F1772" s="3">
        <f>D1772-E1772</f>
        <v/>
      </c>
      <c r="G1772" s="2" t="inlineStr">
        <is>
          <t>Long</t>
        </is>
      </c>
      <c r="H1772" s="3" t="n">
        <v>23378.5</v>
      </c>
      <c r="I1772" s="3" t="n">
        <v>23426.75</v>
      </c>
      <c r="J1772" s="3">
        <f>IF(G1772="Long",I1772-H1772,IF(G1772="Short",H1772-I1772,0))</f>
        <v/>
      </c>
      <c r="K1772" s="4" t="n">
        <v>11.92</v>
      </c>
      <c r="L1772" s="2" t="inlineStr">
        <is>
          <t>Win</t>
        </is>
      </c>
      <c r="M1772" s="3">
        <f>M1771+J1772</f>
        <v/>
      </c>
    </row>
    <row r="1773">
      <c r="A1773" s="5" t="inlineStr">
        <is>
          <t>2025-07-28</t>
        </is>
      </c>
      <c r="B1773" s="5" t="inlineStr">
        <is>
          <t>Monday</t>
        </is>
      </c>
      <c r="C1773" s="5" t="inlineStr">
        <is>
          <t>MNQU5</t>
        </is>
      </c>
      <c r="D1773" s="6" t="n">
        <v>23505</v>
      </c>
      <c r="E1773" s="6" t="n">
        <v>23462.5</v>
      </c>
      <c r="F1773" s="6">
        <f>D1773-E1773</f>
        <v/>
      </c>
      <c r="G1773" s="5" t="inlineStr">
        <is>
          <t>Long</t>
        </is>
      </c>
      <c r="H1773" s="6" t="n">
        <v>23505</v>
      </c>
      <c r="I1773" s="6" t="n">
        <v>23462.5</v>
      </c>
      <c r="J1773" s="6">
        <f>IF(G1773="Long",I1773-H1773,IF(G1773="Short",H1773-I1773,0))</f>
        <v/>
      </c>
      <c r="K1773" s="7" t="n">
        <v>100</v>
      </c>
      <c r="L1773" s="5" t="inlineStr">
        <is>
          <t>Loss</t>
        </is>
      </c>
      <c r="M1773" s="6">
        <f>M1772+J1773</f>
        <v/>
      </c>
    </row>
    <row r="1774">
      <c r="A1774" s="5" t="inlineStr">
        <is>
          <t>2025-07-28</t>
        </is>
      </c>
      <c r="B1774" s="5" t="inlineStr">
        <is>
          <t>Monday</t>
        </is>
      </c>
      <c r="C1774" s="5" t="inlineStr">
        <is>
          <t>MNQU5</t>
        </is>
      </c>
      <c r="D1774" s="6" t="n">
        <v>23505</v>
      </c>
      <c r="E1774" s="6" t="n">
        <v>23462.5</v>
      </c>
      <c r="F1774" s="6">
        <f>D1774-E1774</f>
        <v/>
      </c>
      <c r="G1774" s="5" t="inlineStr">
        <is>
          <t>Short</t>
        </is>
      </c>
      <c r="H1774" s="6" t="n">
        <v>23462.5</v>
      </c>
      <c r="I1774" s="6" t="n">
        <v>23505</v>
      </c>
      <c r="J1774" s="6">
        <f>IF(G1774="Long",I1774-H1774,IF(G1774="Short",H1774-I1774,0))</f>
        <v/>
      </c>
      <c r="K1774" s="7" t="n">
        <v>100</v>
      </c>
      <c r="L1774" s="5" t="inlineStr">
        <is>
          <t>Loss</t>
        </is>
      </c>
      <c r="M1774" s="6">
        <f>M1773+J1774</f>
        <v/>
      </c>
    </row>
    <row r="1775">
      <c r="A1775" s="2" t="inlineStr">
        <is>
          <t>2025-07-29</t>
        </is>
      </c>
      <c r="B1775" s="2" t="inlineStr">
        <is>
          <t>Tuesday</t>
        </is>
      </c>
      <c r="C1775" s="2" t="inlineStr">
        <is>
          <t>MNQU5</t>
        </is>
      </c>
      <c r="D1775" s="3" t="n">
        <v>23652.25</v>
      </c>
      <c r="E1775" s="3" t="n">
        <v>23592.75</v>
      </c>
      <c r="F1775" s="3">
        <f>D1775-E1775</f>
        <v/>
      </c>
      <c r="G1775" s="2" t="inlineStr">
        <is>
          <t>Short</t>
        </is>
      </c>
      <c r="H1775" s="3" t="n">
        <v>23592.75</v>
      </c>
      <c r="I1775" s="3" t="n">
        <v>23533.25</v>
      </c>
      <c r="J1775" s="3">
        <f>IF(G1775="Long",I1775-H1775,IF(G1775="Short",H1775-I1775,0))</f>
        <v/>
      </c>
      <c r="K1775" s="4" t="n">
        <v>8.82</v>
      </c>
      <c r="L1775" s="2" t="inlineStr">
        <is>
          <t>Win</t>
        </is>
      </c>
      <c r="M1775" s="3">
        <f>M1774+J1775</f>
        <v/>
      </c>
    </row>
    <row r="1776">
      <c r="A1776" s="2" t="inlineStr">
        <is>
          <t>2025-07-30</t>
        </is>
      </c>
      <c r="B1776" s="2" t="inlineStr">
        <is>
          <t>Wednesday</t>
        </is>
      </c>
      <c r="C1776" s="2" t="inlineStr">
        <is>
          <t>MNQU5</t>
        </is>
      </c>
      <c r="D1776" s="3" t="n">
        <v>23509.75</v>
      </c>
      <c r="E1776" s="3" t="n">
        <v>23450.25</v>
      </c>
      <c r="F1776" s="3">
        <f>D1776-E1776</f>
        <v/>
      </c>
      <c r="G1776" s="2" t="inlineStr">
        <is>
          <t>Long</t>
        </is>
      </c>
      <c r="H1776" s="3" t="n">
        <v>23509.75</v>
      </c>
      <c r="I1776" s="3" t="n">
        <v>23569.25</v>
      </c>
      <c r="J1776" s="3">
        <f>IF(G1776="Long",I1776-H1776,IF(G1776="Short",H1776-I1776,0))</f>
        <v/>
      </c>
      <c r="K1776" s="4" t="n">
        <v>58.4</v>
      </c>
      <c r="L1776" s="2" t="inlineStr">
        <is>
          <t>Win</t>
        </is>
      </c>
      <c r="M1776" s="3">
        <f>M1775+J1776</f>
        <v/>
      </c>
    </row>
    <row r="1777">
      <c r="A1777" s="5" t="inlineStr">
        <is>
          <t>2025-07-30</t>
        </is>
      </c>
      <c r="B1777" s="5" t="inlineStr">
        <is>
          <t>Wednesday</t>
        </is>
      </c>
      <c r="C1777" s="5" t="inlineStr">
        <is>
          <t>MNQU5</t>
        </is>
      </c>
      <c r="D1777" s="6" t="n">
        <v>23509.75</v>
      </c>
      <c r="E1777" s="6" t="n">
        <v>23450.25</v>
      </c>
      <c r="F1777" s="6">
        <f>D1777-E1777</f>
        <v/>
      </c>
      <c r="G1777" s="5" t="inlineStr">
        <is>
          <t>Long</t>
        </is>
      </c>
      <c r="H1777" s="6" t="n">
        <v>23509.75</v>
      </c>
      <c r="I1777" s="6" t="n">
        <v>23450.25</v>
      </c>
      <c r="J1777" s="6">
        <f>IF(G1777="Long",I1777-H1777,IF(G1777="Short",H1777-I1777,0))</f>
        <v/>
      </c>
      <c r="K1777" s="7" t="n">
        <v>100</v>
      </c>
      <c r="L1777" s="5" t="inlineStr">
        <is>
          <t>Loss</t>
        </is>
      </c>
      <c r="M1777" s="6">
        <f>M1776+J1777</f>
        <v/>
      </c>
    </row>
    <row r="1778">
      <c r="A1778" s="2" t="inlineStr">
        <is>
          <t>2025-07-31</t>
        </is>
      </c>
      <c r="B1778" s="2" t="inlineStr">
        <is>
          <t>Thursday</t>
        </is>
      </c>
      <c r="C1778" s="2" t="inlineStr">
        <is>
          <t>MNQU5</t>
        </is>
      </c>
      <c r="D1778" s="3" t="n">
        <v>23752.25</v>
      </c>
      <c r="E1778" s="3" t="n">
        <v>23620.5</v>
      </c>
      <c r="F1778" s="3">
        <f>D1778-E1778</f>
        <v/>
      </c>
      <c r="G1778" s="2" t="inlineStr">
        <is>
          <t>Short</t>
        </is>
      </c>
      <c r="H1778" s="3" t="n">
        <v>23620.5</v>
      </c>
      <c r="I1778" s="3" t="n">
        <v>23488.75</v>
      </c>
      <c r="J1778" s="3">
        <f>IF(G1778="Long",I1778-H1778,IF(G1778="Short",H1778-I1778,0))</f>
        <v/>
      </c>
      <c r="K1778" s="4" t="n">
        <v>1.14</v>
      </c>
      <c r="L1778" s="2" t="inlineStr">
        <is>
          <t>Win</t>
        </is>
      </c>
      <c r="M1778" s="3">
        <f>M1777+J1778</f>
        <v/>
      </c>
    </row>
    <row r="1779">
      <c r="A1779" s="8" t="inlineStr">
        <is>
          <t>2025-08-01</t>
        </is>
      </c>
      <c r="B1779" s="8" t="inlineStr">
        <is>
          <t>Friday</t>
        </is>
      </c>
      <c r="C1779" s="8" t="inlineStr">
        <is>
          <t>MNQU5</t>
        </is>
      </c>
      <c r="D1779" s="9" t="n">
        <v>23095.5</v>
      </c>
      <c r="E1779" s="9" t="n">
        <v>22917.75</v>
      </c>
      <c r="F1779" s="9">
        <f>D1779-E1779</f>
        <v/>
      </c>
      <c r="G1779" s="8" t="inlineStr">
        <is>
          <t>Short</t>
        </is>
      </c>
      <c r="H1779" s="9" t="n">
        <v>22917.75</v>
      </c>
      <c r="I1779" s="9" t="n">
        <v>22880.75</v>
      </c>
      <c r="J1779" s="9">
        <f>IF(G1779="Long",I1779-H1779,IF(G1779="Short",H1779-I1779,0))</f>
        <v/>
      </c>
      <c r="K1779" s="10" t="n">
        <v>71.87</v>
      </c>
      <c r="L1779" s="8" t="inlineStr">
        <is>
          <t>EOD-Close</t>
        </is>
      </c>
      <c r="M1779" s="9">
        <f>M1778+J1779</f>
        <v/>
      </c>
    </row>
    <row r="1780">
      <c r="A1780" s="2" t="inlineStr">
        <is>
          <t>2025-08-04</t>
        </is>
      </c>
      <c r="B1780" s="2" t="inlineStr">
        <is>
          <t>Monday</t>
        </is>
      </c>
      <c r="C1780" s="2" t="inlineStr">
        <is>
          <t>MNQU5</t>
        </is>
      </c>
      <c r="D1780" s="3" t="n">
        <v>23197</v>
      </c>
      <c r="E1780" s="3" t="n">
        <v>23088.75</v>
      </c>
      <c r="F1780" s="3">
        <f>D1780-E1780</f>
        <v/>
      </c>
      <c r="G1780" s="2" t="inlineStr">
        <is>
          <t>Long</t>
        </is>
      </c>
      <c r="H1780" s="3" t="n">
        <v>23197</v>
      </c>
      <c r="I1780" s="3" t="n">
        <v>23305.25</v>
      </c>
      <c r="J1780" s="3">
        <f>IF(G1780="Long",I1780-H1780,IF(G1780="Short",H1780-I1780,0))</f>
        <v/>
      </c>
      <c r="K1780" s="4" t="n">
        <v>8.779999999999999</v>
      </c>
      <c r="L1780" s="2" t="inlineStr">
        <is>
          <t>Win</t>
        </is>
      </c>
      <c r="M1780" s="3">
        <f>M1779+J1780</f>
        <v/>
      </c>
    </row>
    <row r="1781">
      <c r="A1781" s="5" t="inlineStr">
        <is>
          <t>2025-08-05</t>
        </is>
      </c>
      <c r="B1781" s="5" t="inlineStr">
        <is>
          <t>Tuesday</t>
        </is>
      </c>
      <c r="C1781" s="5" t="inlineStr">
        <is>
          <t>MNQU5</t>
        </is>
      </c>
      <c r="D1781" s="6" t="n">
        <v>23366.75</v>
      </c>
      <c r="E1781" s="6" t="n">
        <v>23303.5</v>
      </c>
      <c r="F1781" s="6">
        <f>D1781-E1781</f>
        <v/>
      </c>
      <c r="G1781" s="5" t="inlineStr">
        <is>
          <t>Long</t>
        </is>
      </c>
      <c r="H1781" s="6" t="n">
        <v>23366.75</v>
      </c>
      <c r="I1781" s="6" t="n">
        <v>23303.5</v>
      </c>
      <c r="J1781" s="6">
        <f>IF(G1781="Long",I1781-H1781,IF(G1781="Short",H1781-I1781,0))</f>
        <v/>
      </c>
      <c r="K1781" s="7" t="n">
        <v>100</v>
      </c>
      <c r="L1781" s="5" t="inlineStr">
        <is>
          <t>Loss</t>
        </is>
      </c>
      <c r="M1781" s="6">
        <f>M1780+J1781</f>
        <v/>
      </c>
    </row>
    <row r="1782">
      <c r="A1782" s="2" t="inlineStr">
        <is>
          <t>2025-08-05</t>
        </is>
      </c>
      <c r="B1782" s="2" t="inlineStr">
        <is>
          <t>Tuesday</t>
        </is>
      </c>
      <c r="C1782" s="2" t="inlineStr">
        <is>
          <t>MNQU5</t>
        </is>
      </c>
      <c r="D1782" s="3" t="n">
        <v>23366.75</v>
      </c>
      <c r="E1782" s="3" t="n">
        <v>23303.5</v>
      </c>
      <c r="F1782" s="3">
        <f>D1782-E1782</f>
        <v/>
      </c>
      <c r="G1782" s="2" t="inlineStr">
        <is>
          <t>Short</t>
        </is>
      </c>
      <c r="H1782" s="3" t="n">
        <v>23303.5</v>
      </c>
      <c r="I1782" s="3" t="n">
        <v>23240.25</v>
      </c>
      <c r="J1782" s="3">
        <f>IF(G1782="Long",I1782-H1782,IF(G1782="Short",H1782-I1782,0))</f>
        <v/>
      </c>
      <c r="K1782" s="4" t="n">
        <v>0</v>
      </c>
      <c r="L1782" s="2" t="inlineStr">
        <is>
          <t>Win</t>
        </is>
      </c>
      <c r="M1782" s="3">
        <f>M1781+J1782</f>
        <v/>
      </c>
    </row>
    <row r="1783">
      <c r="A1783" s="2" t="inlineStr">
        <is>
          <t>2025-08-06</t>
        </is>
      </c>
      <c r="B1783" s="2" t="inlineStr">
        <is>
          <t>Wednesday</t>
        </is>
      </c>
      <c r="C1783" s="2" t="inlineStr">
        <is>
          <t>MNQU5</t>
        </is>
      </c>
      <c r="D1783" s="3" t="n">
        <v>23228</v>
      </c>
      <c r="E1783" s="3" t="n">
        <v>23148.75</v>
      </c>
      <c r="F1783" s="3">
        <f>D1783-E1783</f>
        <v/>
      </c>
      <c r="G1783" s="2" t="inlineStr">
        <is>
          <t>Long</t>
        </is>
      </c>
      <c r="H1783" s="3" t="n">
        <v>23228</v>
      </c>
      <c r="I1783" s="3" t="n">
        <v>23307.25</v>
      </c>
      <c r="J1783" s="3">
        <f>IF(G1783="Long",I1783-H1783,IF(G1783="Short",H1783-I1783,0))</f>
        <v/>
      </c>
      <c r="K1783" s="4" t="n">
        <v>80.44</v>
      </c>
      <c r="L1783" s="2" t="inlineStr">
        <is>
          <t>Win</t>
        </is>
      </c>
      <c r="M1783" s="3">
        <f>M1782+J1783</f>
        <v/>
      </c>
    </row>
    <row r="1784">
      <c r="A1784" s="5" t="inlineStr">
        <is>
          <t>2025-08-07</t>
        </is>
      </c>
      <c r="B1784" s="5" t="inlineStr">
        <is>
          <t>Thursday</t>
        </is>
      </c>
      <c r="C1784" s="5" t="inlineStr">
        <is>
          <t>MNQU5</t>
        </is>
      </c>
      <c r="D1784" s="6" t="n">
        <v>23648</v>
      </c>
      <c r="E1784" s="6" t="n">
        <v>23582.75</v>
      </c>
      <c r="F1784" s="6">
        <f>D1784-E1784</f>
        <v/>
      </c>
      <c r="G1784" s="5" t="inlineStr">
        <is>
          <t>Long</t>
        </is>
      </c>
      <c r="H1784" s="6" t="n">
        <v>23648</v>
      </c>
      <c r="I1784" s="6" t="n">
        <v>23582.75</v>
      </c>
      <c r="J1784" s="6">
        <f>IF(G1784="Long",I1784-H1784,IF(G1784="Short",H1784-I1784,0))</f>
        <v/>
      </c>
      <c r="K1784" s="7" t="n">
        <v>100</v>
      </c>
      <c r="L1784" s="5" t="inlineStr">
        <is>
          <t>Loss</t>
        </is>
      </c>
      <c r="M1784" s="6">
        <f>M1783+J1784</f>
        <v/>
      </c>
    </row>
    <row r="1785">
      <c r="A1785" s="2" t="inlineStr">
        <is>
          <t>2025-08-07</t>
        </is>
      </c>
      <c r="B1785" s="2" t="inlineStr">
        <is>
          <t>Thursday</t>
        </is>
      </c>
      <c r="C1785" s="2" t="inlineStr">
        <is>
          <t>MNQU5</t>
        </is>
      </c>
      <c r="D1785" s="3" t="n">
        <v>23648</v>
      </c>
      <c r="E1785" s="3" t="n">
        <v>23582.75</v>
      </c>
      <c r="F1785" s="3">
        <f>D1785-E1785</f>
        <v/>
      </c>
      <c r="G1785" s="2" t="inlineStr">
        <is>
          <t>Short</t>
        </is>
      </c>
      <c r="H1785" s="3" t="n">
        <v>23582.75</v>
      </c>
      <c r="I1785" s="3" t="n">
        <v>23517.5</v>
      </c>
      <c r="J1785" s="3">
        <f>IF(G1785="Long",I1785-H1785,IF(G1785="Short",H1785-I1785,0))</f>
        <v/>
      </c>
      <c r="K1785" s="4" t="n">
        <v>16.86</v>
      </c>
      <c r="L1785" s="2" t="inlineStr">
        <is>
          <t>Win</t>
        </is>
      </c>
      <c r="M1785" s="3">
        <f>M1784+J1785</f>
        <v/>
      </c>
    </row>
    <row r="1786">
      <c r="A1786" s="2" t="inlineStr">
        <is>
          <t>2025-08-08</t>
        </is>
      </c>
      <c r="B1786" s="2" t="inlineStr">
        <is>
          <t>Friday</t>
        </is>
      </c>
      <c r="C1786" s="2" t="inlineStr">
        <is>
          <t>MNQU5</t>
        </is>
      </c>
      <c r="D1786" s="3" t="n">
        <v>23614.25</v>
      </c>
      <c r="E1786" s="3" t="n">
        <v>23530</v>
      </c>
      <c r="F1786" s="3">
        <f>D1786-E1786</f>
        <v/>
      </c>
      <c r="G1786" s="2" t="inlineStr">
        <is>
          <t>Long</t>
        </is>
      </c>
      <c r="H1786" s="3" t="n">
        <v>23614.25</v>
      </c>
      <c r="I1786" s="3" t="n">
        <v>23698.5</v>
      </c>
      <c r="J1786" s="3">
        <f>IF(G1786="Long",I1786-H1786,IF(G1786="Short",H1786-I1786,0))</f>
        <v/>
      </c>
      <c r="K1786" s="4" t="n">
        <v>1.78</v>
      </c>
      <c r="L1786" s="2" t="inlineStr">
        <is>
          <t>Win</t>
        </is>
      </c>
      <c r="M1786" s="3">
        <f>M1785+J1786</f>
        <v/>
      </c>
    </row>
    <row r="1787">
      <c r="A1787" s="2" t="inlineStr">
        <is>
          <t>2025-08-08</t>
        </is>
      </c>
      <c r="B1787" s="2" t="inlineStr">
        <is>
          <t>Friday</t>
        </is>
      </c>
      <c r="C1787" s="2" t="inlineStr">
        <is>
          <t>MNQU5</t>
        </is>
      </c>
      <c r="D1787" s="3" t="n">
        <v>23614.25</v>
      </c>
      <c r="E1787" s="3" t="n">
        <v>23530</v>
      </c>
      <c r="F1787" s="3">
        <f>D1787-E1787</f>
        <v/>
      </c>
      <c r="G1787" s="2" t="inlineStr">
        <is>
          <t>Long</t>
        </is>
      </c>
      <c r="H1787" s="3" t="n">
        <v>23614.25</v>
      </c>
      <c r="I1787" s="3" t="n">
        <v>23698.5</v>
      </c>
      <c r="J1787" s="3">
        <f>IF(G1787="Long",I1787-H1787,IF(G1787="Short",H1787-I1787,0))</f>
        <v/>
      </c>
      <c r="K1787" s="4" t="n">
        <v>2.67</v>
      </c>
      <c r="L1787" s="2" t="inlineStr">
        <is>
          <t>Win</t>
        </is>
      </c>
      <c r="M1787" s="3">
        <f>M1786+J1787</f>
        <v/>
      </c>
    </row>
    <row r="1788">
      <c r="A1788" s="2" t="inlineStr">
        <is>
          <t>2025-08-11</t>
        </is>
      </c>
      <c r="B1788" s="2" t="inlineStr">
        <is>
          <t>Monday</t>
        </is>
      </c>
      <c r="C1788" s="2" t="inlineStr">
        <is>
          <t>MNQU5</t>
        </is>
      </c>
      <c r="D1788" s="3" t="n">
        <v>23738.5</v>
      </c>
      <c r="E1788" s="3" t="n">
        <v>23681</v>
      </c>
      <c r="F1788" s="3">
        <f>D1788-E1788</f>
        <v/>
      </c>
      <c r="G1788" s="2" t="inlineStr">
        <is>
          <t>Long</t>
        </is>
      </c>
      <c r="H1788" s="3" t="n">
        <v>23738.5</v>
      </c>
      <c r="I1788" s="3" t="n">
        <v>23796</v>
      </c>
      <c r="J1788" s="3">
        <f>IF(G1788="Long",I1788-H1788,IF(G1788="Short",H1788-I1788,0))</f>
        <v/>
      </c>
      <c r="K1788" s="4" t="n">
        <v>48.26</v>
      </c>
      <c r="L1788" s="2" t="inlineStr">
        <is>
          <t>Win</t>
        </is>
      </c>
      <c r="M1788" s="3">
        <f>M1787+J1788</f>
        <v/>
      </c>
    </row>
    <row r="1789">
      <c r="A1789" s="5" t="inlineStr">
        <is>
          <t>2025-08-11</t>
        </is>
      </c>
      <c r="B1789" s="5" t="inlineStr">
        <is>
          <t>Monday</t>
        </is>
      </c>
      <c r="C1789" s="5" t="inlineStr">
        <is>
          <t>MNQU5</t>
        </is>
      </c>
      <c r="D1789" s="6" t="n">
        <v>23738.5</v>
      </c>
      <c r="E1789" s="6" t="n">
        <v>23681</v>
      </c>
      <c r="F1789" s="6">
        <f>D1789-E1789</f>
        <v/>
      </c>
      <c r="G1789" s="5" t="inlineStr">
        <is>
          <t>Long</t>
        </is>
      </c>
      <c r="H1789" s="6" t="n">
        <v>23738.5</v>
      </c>
      <c r="I1789" s="6" t="n">
        <v>23681</v>
      </c>
      <c r="J1789" s="6">
        <f>IF(G1789="Long",I1789-H1789,IF(G1789="Short",H1789-I1789,0))</f>
        <v/>
      </c>
      <c r="K1789" s="7" t="n">
        <v>100</v>
      </c>
      <c r="L1789" s="5" t="inlineStr">
        <is>
          <t>Loss</t>
        </is>
      </c>
      <c r="M1789" s="6">
        <f>M1788+J1789</f>
        <v/>
      </c>
    </row>
    <row r="1790">
      <c r="A1790" s="5" t="inlineStr">
        <is>
          <t>2025-08-12</t>
        </is>
      </c>
      <c r="B1790" s="5" t="inlineStr">
        <is>
          <t>Tuesday</t>
        </is>
      </c>
      <c r="C1790" s="5" t="inlineStr">
        <is>
          <t>MNQU5</t>
        </is>
      </c>
      <c r="D1790" s="6" t="n">
        <v>23808.5</v>
      </c>
      <c r="E1790" s="6" t="n">
        <v>23710</v>
      </c>
      <c r="F1790" s="6">
        <f>D1790-E1790</f>
        <v/>
      </c>
      <c r="G1790" s="5" t="inlineStr">
        <is>
          <t>Short</t>
        </is>
      </c>
      <c r="H1790" s="6" t="n">
        <v>23710</v>
      </c>
      <c r="I1790" s="6" t="n">
        <v>23808.5</v>
      </c>
      <c r="J1790" s="6">
        <f>IF(G1790="Long",I1790-H1790,IF(G1790="Short",H1790-I1790,0))</f>
        <v/>
      </c>
      <c r="K1790" s="7" t="n">
        <v>100</v>
      </c>
      <c r="L1790" s="5" t="inlineStr">
        <is>
          <t>Loss</t>
        </is>
      </c>
      <c r="M1790" s="6">
        <f>M1789+J1790</f>
        <v/>
      </c>
    </row>
    <row r="1791">
      <c r="A1791" s="2" t="inlineStr">
        <is>
          <t>2025-08-12</t>
        </is>
      </c>
      <c r="B1791" s="2" t="inlineStr">
        <is>
          <t>Tuesday</t>
        </is>
      </c>
      <c r="C1791" s="2" t="inlineStr">
        <is>
          <t>MNQU5</t>
        </is>
      </c>
      <c r="D1791" s="3" t="n">
        <v>23808.5</v>
      </c>
      <c r="E1791" s="3" t="n">
        <v>23710</v>
      </c>
      <c r="F1791" s="3">
        <f>D1791-E1791</f>
        <v/>
      </c>
      <c r="G1791" s="2" t="inlineStr">
        <is>
          <t>Long</t>
        </is>
      </c>
      <c r="H1791" s="3" t="n">
        <v>23808.5</v>
      </c>
      <c r="I1791" s="3" t="n">
        <v>23907</v>
      </c>
      <c r="J1791" s="3">
        <f>IF(G1791="Long",I1791-H1791,IF(G1791="Short",H1791-I1791,0))</f>
        <v/>
      </c>
      <c r="K1791" s="4" t="n">
        <v>0</v>
      </c>
      <c r="L1791" s="2" t="inlineStr">
        <is>
          <t>Win</t>
        </is>
      </c>
      <c r="M1791" s="3">
        <f>M1790+J1791</f>
        <v/>
      </c>
    </row>
    <row r="1792">
      <c r="A1792" s="2" t="inlineStr">
        <is>
          <t>2025-08-13</t>
        </is>
      </c>
      <c r="B1792" s="2" t="inlineStr">
        <is>
          <t>Wednesday</t>
        </is>
      </c>
      <c r="C1792" s="2" t="inlineStr">
        <is>
          <t>MNQU5</t>
        </is>
      </c>
      <c r="D1792" s="3" t="n">
        <v>24069</v>
      </c>
      <c r="E1792" s="3" t="n">
        <v>24028.75</v>
      </c>
      <c r="F1792" s="3">
        <f>D1792-E1792</f>
        <v/>
      </c>
      <c r="G1792" s="2" t="inlineStr">
        <is>
          <t>Short</t>
        </is>
      </c>
      <c r="H1792" s="3" t="n">
        <v>24028.75</v>
      </c>
      <c r="I1792" s="3" t="n">
        <v>23988.5</v>
      </c>
      <c r="J1792" s="3">
        <f>IF(G1792="Long",I1792-H1792,IF(G1792="Short",H1792-I1792,0))</f>
        <v/>
      </c>
      <c r="K1792" s="4" t="n">
        <v>0</v>
      </c>
      <c r="L1792" s="2" t="inlineStr">
        <is>
          <t>Win</t>
        </is>
      </c>
      <c r="M1792" s="3">
        <f>M1791+J1792</f>
        <v/>
      </c>
    </row>
    <row r="1793">
      <c r="A1793" s="8" t="inlineStr">
        <is>
          <t>2025-08-14</t>
        </is>
      </c>
      <c r="B1793" s="8" t="inlineStr">
        <is>
          <t>Thursday</t>
        </is>
      </c>
      <c r="C1793" s="8" t="inlineStr">
        <is>
          <t>MNQU5</t>
        </is>
      </c>
      <c r="D1793" s="9" t="n">
        <v>23924</v>
      </c>
      <c r="E1793" s="9" t="n">
        <v>23841.25</v>
      </c>
      <c r="F1793" s="9">
        <f>D1793-E1793</f>
        <v/>
      </c>
      <c r="G1793" s="8" t="inlineStr">
        <is>
          <t>Long</t>
        </is>
      </c>
      <c r="H1793" s="9" t="n">
        <v>23924</v>
      </c>
      <c r="I1793" s="9" t="n">
        <v>23921.5</v>
      </c>
      <c r="J1793" s="9">
        <f>IF(G1793="Long",I1793-H1793,IF(G1793="Short",H1793-I1793,0))</f>
        <v/>
      </c>
      <c r="K1793" s="10" t="n">
        <v>74.02</v>
      </c>
      <c r="L1793" s="8" t="inlineStr">
        <is>
          <t>EOD-Close</t>
        </is>
      </c>
      <c r="M1793" s="9">
        <f>M1792+J1793</f>
        <v/>
      </c>
    </row>
    <row r="1794">
      <c r="A1794" s="2" t="inlineStr">
        <is>
          <t>2025-08-15</t>
        </is>
      </c>
      <c r="B1794" s="2" t="inlineStr">
        <is>
          <t>Friday</t>
        </is>
      </c>
      <c r="C1794" s="2" t="inlineStr">
        <is>
          <t>MNQU5</t>
        </is>
      </c>
      <c r="D1794" s="3" t="n">
        <v>23910.75</v>
      </c>
      <c r="E1794" s="3" t="n">
        <v>23834.75</v>
      </c>
      <c r="F1794" s="3">
        <f>D1794-E1794</f>
        <v/>
      </c>
      <c r="G1794" s="2" t="inlineStr">
        <is>
          <t>Short</t>
        </is>
      </c>
      <c r="H1794" s="3" t="n">
        <v>23834.75</v>
      </c>
      <c r="I1794" s="3" t="n">
        <v>23758.75</v>
      </c>
      <c r="J1794" s="3">
        <f>IF(G1794="Long",I1794-H1794,IF(G1794="Short",H1794-I1794,0))</f>
        <v/>
      </c>
      <c r="K1794" s="4" t="n">
        <v>63.82</v>
      </c>
      <c r="L1794" s="2" t="inlineStr">
        <is>
          <t>Win</t>
        </is>
      </c>
      <c r="M1794" s="3">
        <f>M1793+J1794</f>
        <v/>
      </c>
    </row>
    <row r="1795">
      <c r="A1795" s="8" t="inlineStr">
        <is>
          <t>2025-08-15</t>
        </is>
      </c>
      <c r="B1795" s="8" t="inlineStr">
        <is>
          <t>Friday</t>
        </is>
      </c>
      <c r="C1795" s="8" t="inlineStr">
        <is>
          <t>MNQU5</t>
        </is>
      </c>
      <c r="D1795" s="9" t="n">
        <v>23910.75</v>
      </c>
      <c r="E1795" s="9" t="n">
        <v>23834.75</v>
      </c>
      <c r="F1795" s="9">
        <f>D1795-E1795</f>
        <v/>
      </c>
      <c r="G1795" s="8" t="inlineStr">
        <is>
          <t>Short</t>
        </is>
      </c>
      <c r="H1795" s="9" t="n">
        <v>23834.75</v>
      </c>
      <c r="I1795" s="9" t="n">
        <v>23805.75</v>
      </c>
      <c r="J1795" s="9">
        <f>IF(G1795="Long",I1795-H1795,IF(G1795="Short",H1795-I1795,0))</f>
        <v/>
      </c>
      <c r="K1795" s="10" t="n">
        <v>17.11</v>
      </c>
      <c r="L1795" s="8" t="inlineStr">
        <is>
          <t>EOD-Close</t>
        </is>
      </c>
      <c r="M1795" s="9">
        <f>M1794+J1795</f>
        <v/>
      </c>
    </row>
    <row r="1796">
      <c r="A1796" s="5" t="inlineStr">
        <is>
          <t>2025-08-18</t>
        </is>
      </c>
      <c r="B1796" s="5" t="inlineStr">
        <is>
          <t>Monday</t>
        </is>
      </c>
      <c r="C1796" s="5" t="inlineStr">
        <is>
          <t>MNQU5</t>
        </is>
      </c>
      <c r="D1796" s="6" t="n">
        <v>23818.25</v>
      </c>
      <c r="E1796" s="6" t="n">
        <v>23767.75</v>
      </c>
      <c r="F1796" s="6">
        <f>D1796-E1796</f>
        <v/>
      </c>
      <c r="G1796" s="5" t="inlineStr">
        <is>
          <t>Short</t>
        </is>
      </c>
      <c r="H1796" s="6" t="n">
        <v>23767.75</v>
      </c>
      <c r="I1796" s="6" t="n">
        <v>23818.25</v>
      </c>
      <c r="J1796" s="6">
        <f>IF(G1796="Long",I1796-H1796,IF(G1796="Short",H1796-I1796,0))</f>
        <v/>
      </c>
      <c r="K1796" s="7" t="n">
        <v>100</v>
      </c>
      <c r="L1796" s="5" t="inlineStr">
        <is>
          <t>Loss</t>
        </is>
      </c>
      <c r="M1796" s="6">
        <f>M1795+J1796</f>
        <v/>
      </c>
    </row>
    <row r="1797">
      <c r="A1797" s="8" t="inlineStr">
        <is>
          <t>2025-08-18</t>
        </is>
      </c>
      <c r="B1797" s="8" t="inlineStr">
        <is>
          <t>Monday</t>
        </is>
      </c>
      <c r="C1797" s="8" t="inlineStr">
        <is>
          <t>MNQU5</t>
        </is>
      </c>
      <c r="D1797" s="9" t="n">
        <v>23818.25</v>
      </c>
      <c r="E1797" s="9" t="n">
        <v>23767.75</v>
      </c>
      <c r="F1797" s="9">
        <f>D1797-E1797</f>
        <v/>
      </c>
      <c r="G1797" s="8" t="inlineStr">
        <is>
          <t>Short</t>
        </is>
      </c>
      <c r="H1797" s="9" t="n">
        <v>23767.75</v>
      </c>
      <c r="I1797" s="9" t="n">
        <v>23796.75</v>
      </c>
      <c r="J1797" s="9">
        <f>IF(G1797="Long",I1797-H1797,IF(G1797="Short",H1797-I1797,0))</f>
        <v/>
      </c>
      <c r="K1797" s="10" t="n">
        <v>95.54000000000001</v>
      </c>
      <c r="L1797" s="8" t="inlineStr">
        <is>
          <t>EOD-Close</t>
        </is>
      </c>
      <c r="M1797" s="9">
        <f>M1796+J1797</f>
        <v/>
      </c>
    </row>
    <row r="1798">
      <c r="A1798" s="2" t="inlineStr">
        <is>
          <t>2025-08-19</t>
        </is>
      </c>
      <c r="B1798" s="2" t="inlineStr">
        <is>
          <t>Tuesday</t>
        </is>
      </c>
      <c r="C1798" s="2" t="inlineStr">
        <is>
          <t>MNQU5</t>
        </is>
      </c>
      <c r="D1798" s="3" t="n">
        <v>23770.75</v>
      </c>
      <c r="E1798" s="3" t="n">
        <v>23660</v>
      </c>
      <c r="F1798" s="3">
        <f>D1798-E1798</f>
        <v/>
      </c>
      <c r="G1798" s="2" t="inlineStr">
        <is>
          <t>Short</t>
        </is>
      </c>
      <c r="H1798" s="3" t="n">
        <v>23660</v>
      </c>
      <c r="I1798" s="3" t="n">
        <v>23549.25</v>
      </c>
      <c r="J1798" s="3">
        <f>IF(G1798="Long",I1798-H1798,IF(G1798="Short",H1798-I1798,0))</f>
        <v/>
      </c>
      <c r="K1798" s="4" t="n">
        <v>61.4</v>
      </c>
      <c r="L1798" s="2" t="inlineStr">
        <is>
          <t>Win</t>
        </is>
      </c>
      <c r="M1798" s="3">
        <f>M1797+J1798</f>
        <v/>
      </c>
    </row>
    <row r="1799">
      <c r="A1799" s="2" t="inlineStr">
        <is>
          <t>2025-08-20</t>
        </is>
      </c>
      <c r="B1799" s="2" t="inlineStr">
        <is>
          <t>Wednesday</t>
        </is>
      </c>
      <c r="C1799" s="2" t="inlineStr">
        <is>
          <t>MNQU5</t>
        </is>
      </c>
      <c r="D1799" s="3" t="n">
        <v>23432</v>
      </c>
      <c r="E1799" s="3" t="n">
        <v>23322.5</v>
      </c>
      <c r="F1799" s="3">
        <f>D1799-E1799</f>
        <v/>
      </c>
      <c r="G1799" s="2" t="inlineStr">
        <is>
          <t>Short</t>
        </is>
      </c>
      <c r="H1799" s="3" t="n">
        <v>23322.5</v>
      </c>
      <c r="I1799" s="3" t="n">
        <v>23213</v>
      </c>
      <c r="J1799" s="3">
        <f>IF(G1799="Long",I1799-H1799,IF(G1799="Short",H1799-I1799,0))</f>
        <v/>
      </c>
      <c r="K1799" s="4" t="n">
        <v>0</v>
      </c>
      <c r="L1799" s="2" t="inlineStr">
        <is>
          <t>Win</t>
        </is>
      </c>
      <c r="M1799" s="3">
        <f>M1798+J1799</f>
        <v/>
      </c>
    </row>
    <row r="1800">
      <c r="A1800" s="8" t="inlineStr">
        <is>
          <t>2025-08-20</t>
        </is>
      </c>
      <c r="B1800" s="8" t="inlineStr">
        <is>
          <t>Wednesday</t>
        </is>
      </c>
      <c r="C1800" s="8" t="inlineStr">
        <is>
          <t>MNQU5</t>
        </is>
      </c>
      <c r="D1800" s="9" t="n">
        <v>23432</v>
      </c>
      <c r="E1800" s="9" t="n">
        <v>23322.5</v>
      </c>
      <c r="F1800" s="9">
        <f>D1800-E1800</f>
        <v/>
      </c>
      <c r="G1800" s="8" t="inlineStr">
        <is>
          <t>Short</t>
        </is>
      </c>
      <c r="H1800" s="9" t="n">
        <v>23322.5</v>
      </c>
      <c r="I1800" s="9" t="n">
        <v>23324.75</v>
      </c>
      <c r="J1800" s="9">
        <f>IF(G1800="Long",I1800-H1800,IF(G1800="Short",H1800-I1800,0))</f>
        <v/>
      </c>
      <c r="K1800" s="10" t="n">
        <v>42.01</v>
      </c>
      <c r="L1800" s="8" t="inlineStr">
        <is>
          <t>EOD-Close</t>
        </is>
      </c>
      <c r="M1800" s="9">
        <f>M1799+J1800</f>
        <v/>
      </c>
    </row>
    <row r="1801">
      <c r="A1801" s="5" t="inlineStr">
        <is>
          <t>2025-08-21</t>
        </is>
      </c>
      <c r="B1801" s="5" t="inlineStr">
        <is>
          <t>Thursday</t>
        </is>
      </c>
      <c r="C1801" s="5" t="inlineStr">
        <is>
          <t>MNQU5</t>
        </is>
      </c>
      <c r="D1801" s="6" t="n">
        <v>23290.5</v>
      </c>
      <c r="E1801" s="6" t="n">
        <v>23199.5</v>
      </c>
      <c r="F1801" s="6">
        <f>D1801-E1801</f>
        <v/>
      </c>
      <c r="G1801" s="5" t="inlineStr">
        <is>
          <t>Short</t>
        </is>
      </c>
      <c r="H1801" s="6" t="n">
        <v>23199.5</v>
      </c>
      <c r="I1801" s="6" t="n">
        <v>23290.5</v>
      </c>
      <c r="J1801" s="6">
        <f>IF(G1801="Long",I1801-H1801,IF(G1801="Short",H1801-I1801,0))</f>
        <v/>
      </c>
      <c r="K1801" s="7" t="n">
        <v>100</v>
      </c>
      <c r="L1801" s="5" t="inlineStr">
        <is>
          <t>Loss</t>
        </is>
      </c>
      <c r="M1801" s="6">
        <f>M1800+J1801</f>
        <v/>
      </c>
    </row>
    <row r="1802">
      <c r="A1802" s="5" t="inlineStr">
        <is>
          <t>2025-08-21</t>
        </is>
      </c>
      <c r="B1802" s="5" t="inlineStr">
        <is>
          <t>Thursday</t>
        </is>
      </c>
      <c r="C1802" s="5" t="inlineStr">
        <is>
          <t>MNQU5</t>
        </is>
      </c>
      <c r="D1802" s="6" t="n">
        <v>23290.5</v>
      </c>
      <c r="E1802" s="6" t="n">
        <v>23199.5</v>
      </c>
      <c r="F1802" s="6">
        <f>D1802-E1802</f>
        <v/>
      </c>
      <c r="G1802" s="5" t="inlineStr">
        <is>
          <t>Long</t>
        </is>
      </c>
      <c r="H1802" s="6" t="n">
        <v>23290.5</v>
      </c>
      <c r="I1802" s="6" t="n">
        <v>23199.5</v>
      </c>
      <c r="J1802" s="6">
        <f>IF(G1802="Long",I1802-H1802,IF(G1802="Short",H1802-I1802,0))</f>
        <v/>
      </c>
      <c r="K1802" s="7" t="n">
        <v>100</v>
      </c>
      <c r="L1802" s="5" t="inlineStr">
        <is>
          <t>Loss</t>
        </is>
      </c>
      <c r="M1802" s="6">
        <f>M1801+J1802</f>
        <v/>
      </c>
    </row>
    <row r="1803">
      <c r="A1803" s="2" t="inlineStr">
        <is>
          <t>2025-08-22</t>
        </is>
      </c>
      <c r="B1803" s="2" t="inlineStr">
        <is>
          <t>Friday</t>
        </is>
      </c>
      <c r="C1803" s="2" t="inlineStr">
        <is>
          <t>MNQU5</t>
        </is>
      </c>
      <c r="D1803" s="3" t="n">
        <v>23324</v>
      </c>
      <c r="E1803" s="3" t="n">
        <v>23206.25</v>
      </c>
      <c r="F1803" s="3">
        <f>D1803-E1803</f>
        <v/>
      </c>
      <c r="G1803" s="2" t="inlineStr">
        <is>
          <t>Long</t>
        </is>
      </c>
      <c r="H1803" s="3" t="n">
        <v>23324</v>
      </c>
      <c r="I1803" s="3" t="n">
        <v>23441.75</v>
      </c>
      <c r="J1803" s="3">
        <f>IF(G1803="Long",I1803-H1803,IF(G1803="Short",H1803-I1803,0))</f>
        <v/>
      </c>
      <c r="K1803" s="4" t="n">
        <v>71.34</v>
      </c>
      <c r="L1803" s="2" t="inlineStr">
        <is>
          <t>Win</t>
        </is>
      </c>
      <c r="M1803" s="3">
        <f>M1802+J1803</f>
        <v/>
      </c>
    </row>
    <row r="1804">
      <c r="A1804" s="2" t="inlineStr">
        <is>
          <t>2025-08-22</t>
        </is>
      </c>
      <c r="B1804" s="2" t="inlineStr">
        <is>
          <t>Friday</t>
        </is>
      </c>
      <c r="C1804" s="2" t="inlineStr">
        <is>
          <t>MNQU5</t>
        </is>
      </c>
      <c r="D1804" s="3" t="n">
        <v>23324</v>
      </c>
      <c r="E1804" s="3" t="n">
        <v>23206.25</v>
      </c>
      <c r="F1804" s="3">
        <f>D1804-E1804</f>
        <v/>
      </c>
      <c r="G1804" s="2" t="inlineStr">
        <is>
          <t>Long</t>
        </is>
      </c>
      <c r="H1804" s="3" t="n">
        <v>23324</v>
      </c>
      <c r="I1804" s="3" t="n">
        <v>23441.75</v>
      </c>
      <c r="J1804" s="3">
        <f>IF(G1804="Long",I1804-H1804,IF(G1804="Short",H1804-I1804,0))</f>
        <v/>
      </c>
      <c r="K1804" s="4" t="n">
        <v>0</v>
      </c>
      <c r="L1804" s="2" t="inlineStr">
        <is>
          <t>Win</t>
        </is>
      </c>
      <c r="M1804" s="3">
        <f>M1803+J1804</f>
        <v/>
      </c>
    </row>
    <row r="1805">
      <c r="A1805" s="2" t="inlineStr">
        <is>
          <t>2025-08-25</t>
        </is>
      </c>
      <c r="B1805" s="2" t="inlineStr">
        <is>
          <t>Monday</t>
        </is>
      </c>
      <c r="C1805" s="2" t="inlineStr">
        <is>
          <t>MNQU5</t>
        </is>
      </c>
      <c r="D1805" s="3" t="n">
        <v>23518.5</v>
      </c>
      <c r="E1805" s="3" t="n">
        <v>23445</v>
      </c>
      <c r="F1805" s="3">
        <f>D1805-E1805</f>
        <v/>
      </c>
      <c r="G1805" s="2" t="inlineStr">
        <is>
          <t>Long</t>
        </is>
      </c>
      <c r="H1805" s="3" t="n">
        <v>23518.5</v>
      </c>
      <c r="I1805" s="3" t="n">
        <v>23592</v>
      </c>
      <c r="J1805" s="3">
        <f>IF(G1805="Long",I1805-H1805,IF(G1805="Short",H1805-I1805,0))</f>
        <v/>
      </c>
      <c r="K1805" s="4" t="n">
        <v>19.05</v>
      </c>
      <c r="L1805" s="2" t="inlineStr">
        <is>
          <t>Win</t>
        </is>
      </c>
      <c r="M1805" s="3">
        <f>M1804+J1805</f>
        <v/>
      </c>
    </row>
    <row r="1806">
      <c r="A1806" s="8" t="inlineStr">
        <is>
          <t>2025-08-25</t>
        </is>
      </c>
      <c r="B1806" s="8" t="inlineStr">
        <is>
          <t>Monday</t>
        </is>
      </c>
      <c r="C1806" s="8" t="inlineStr">
        <is>
          <t>MNQU5</t>
        </is>
      </c>
      <c r="D1806" s="9" t="n">
        <v>23518.5</v>
      </c>
      <c r="E1806" s="9" t="n">
        <v>23445</v>
      </c>
      <c r="F1806" s="9">
        <f>D1806-E1806</f>
        <v/>
      </c>
      <c r="G1806" s="8" t="inlineStr">
        <is>
          <t>Long</t>
        </is>
      </c>
      <c r="H1806" s="9" t="n">
        <v>23518.5</v>
      </c>
      <c r="I1806" s="9" t="n">
        <v>23495.5</v>
      </c>
      <c r="J1806" s="9">
        <f>IF(G1806="Long",I1806-H1806,IF(G1806="Short",H1806-I1806,0))</f>
        <v/>
      </c>
      <c r="K1806" s="10" t="n">
        <v>40.48</v>
      </c>
      <c r="L1806" s="8" t="inlineStr">
        <is>
          <t>EOD-Close</t>
        </is>
      </c>
      <c r="M1806" s="9">
        <f>M1805+J1806</f>
        <v/>
      </c>
    </row>
    <row r="1807">
      <c r="A1807" s="5" t="inlineStr">
        <is>
          <t>2025-08-26</t>
        </is>
      </c>
      <c r="B1807" s="5" t="inlineStr">
        <is>
          <t>Tuesday</t>
        </is>
      </c>
      <c r="C1807" s="5" t="inlineStr">
        <is>
          <t>MNQU5</t>
        </is>
      </c>
      <c r="D1807" s="6" t="n">
        <v>23518.5</v>
      </c>
      <c r="E1807" s="6" t="n">
        <v>23463.25</v>
      </c>
      <c r="F1807" s="6">
        <f>D1807-E1807</f>
        <v/>
      </c>
      <c r="G1807" s="5" t="inlineStr">
        <is>
          <t>Short</t>
        </is>
      </c>
      <c r="H1807" s="6" t="n">
        <v>23463.25</v>
      </c>
      <c r="I1807" s="6" t="n">
        <v>23518.5</v>
      </c>
      <c r="J1807" s="6">
        <f>IF(G1807="Long",I1807-H1807,IF(G1807="Short",H1807-I1807,0))</f>
        <v/>
      </c>
      <c r="K1807" s="7" t="n">
        <v>100</v>
      </c>
      <c r="L1807" s="5" t="inlineStr">
        <is>
          <t>Loss</t>
        </is>
      </c>
      <c r="M1807" s="6">
        <f>M1806+J1807</f>
        <v/>
      </c>
    </row>
    <row r="1808">
      <c r="A1808" s="2" t="inlineStr">
        <is>
          <t>2025-08-26</t>
        </is>
      </c>
      <c r="B1808" s="2" t="inlineStr">
        <is>
          <t>Tuesday</t>
        </is>
      </c>
      <c r="C1808" s="2" t="inlineStr">
        <is>
          <t>MNQU5</t>
        </is>
      </c>
      <c r="D1808" s="3" t="n">
        <v>23518.5</v>
      </c>
      <c r="E1808" s="3" t="n">
        <v>23463.25</v>
      </c>
      <c r="F1808" s="3">
        <f>D1808-E1808</f>
        <v/>
      </c>
      <c r="G1808" s="2" t="inlineStr">
        <is>
          <t>Long</t>
        </is>
      </c>
      <c r="H1808" s="3" t="n">
        <v>23518.5</v>
      </c>
      <c r="I1808" s="3" t="n">
        <v>23573.75</v>
      </c>
      <c r="J1808" s="3">
        <f>IF(G1808="Long",I1808-H1808,IF(G1808="Short",H1808-I1808,0))</f>
        <v/>
      </c>
      <c r="K1808" s="4" t="n">
        <v>71.48999999999999</v>
      </c>
      <c r="L1808" s="2" t="inlineStr">
        <is>
          <t>Win</t>
        </is>
      </c>
      <c r="M1808" s="3">
        <f>M1807+J1808</f>
        <v/>
      </c>
    </row>
    <row r="1809">
      <c r="A1809" s="5" t="inlineStr">
        <is>
          <t>2025-08-27</t>
        </is>
      </c>
      <c r="B1809" s="5" t="inlineStr">
        <is>
          <t>Wednesday</t>
        </is>
      </c>
      <c r="C1809" s="5" t="inlineStr">
        <is>
          <t>MNQU5</t>
        </is>
      </c>
      <c r="D1809" s="6" t="n">
        <v>23565.25</v>
      </c>
      <c r="E1809" s="6" t="n">
        <v>23513.75</v>
      </c>
      <c r="F1809" s="6">
        <f>D1809-E1809</f>
        <v/>
      </c>
      <c r="G1809" s="5" t="inlineStr">
        <is>
          <t>Short</t>
        </is>
      </c>
      <c r="H1809" s="6" t="n">
        <v>23513.75</v>
      </c>
      <c r="I1809" s="6" t="n">
        <v>23565.25</v>
      </c>
      <c r="J1809" s="6">
        <f>IF(G1809="Long",I1809-H1809,IF(G1809="Short",H1809-I1809,0))</f>
        <v/>
      </c>
      <c r="K1809" s="7" t="n">
        <v>100</v>
      </c>
      <c r="L1809" s="5" t="inlineStr">
        <is>
          <t>Loss</t>
        </is>
      </c>
      <c r="M1809" s="6">
        <f>M1808+J1809</f>
        <v/>
      </c>
    </row>
    <row r="1810">
      <c r="A1810" s="2" t="inlineStr">
        <is>
          <t>2025-08-27</t>
        </is>
      </c>
      <c r="B1810" s="2" t="inlineStr">
        <is>
          <t>Wednesday</t>
        </is>
      </c>
      <c r="C1810" s="2" t="inlineStr">
        <is>
          <t>MNQU5</t>
        </is>
      </c>
      <c r="D1810" s="3" t="n">
        <v>23565.25</v>
      </c>
      <c r="E1810" s="3" t="n">
        <v>23513.75</v>
      </c>
      <c r="F1810" s="3">
        <f>D1810-E1810</f>
        <v/>
      </c>
      <c r="G1810" s="2" t="inlineStr">
        <is>
          <t>Long</t>
        </is>
      </c>
      <c r="H1810" s="3" t="n">
        <v>23565.25</v>
      </c>
      <c r="I1810" s="3" t="n">
        <v>23616.75</v>
      </c>
      <c r="J1810" s="3">
        <f>IF(G1810="Long",I1810-H1810,IF(G1810="Short",H1810-I1810,0))</f>
        <v/>
      </c>
      <c r="K1810" s="4" t="n">
        <v>0</v>
      </c>
      <c r="L1810" s="2" t="inlineStr">
        <is>
          <t>Win</t>
        </is>
      </c>
      <c r="M1810" s="3">
        <f>M1809+J1810</f>
        <v/>
      </c>
    </row>
    <row r="1811">
      <c r="A1811" s="5" t="inlineStr">
        <is>
          <t>2025-08-28</t>
        </is>
      </c>
      <c r="B1811" s="5" t="inlineStr">
        <is>
          <t>Thursday</t>
        </is>
      </c>
      <c r="C1811" s="5" t="inlineStr">
        <is>
          <t>MNQU5</t>
        </is>
      </c>
      <c r="D1811" s="6" t="n">
        <v>23743.25</v>
      </c>
      <c r="E1811" s="6" t="n">
        <v>23629.25</v>
      </c>
      <c r="F1811" s="6">
        <f>D1811-E1811</f>
        <v/>
      </c>
      <c r="G1811" s="5" t="inlineStr">
        <is>
          <t>Short</t>
        </is>
      </c>
      <c r="H1811" s="6" t="n">
        <v>23629.25</v>
      </c>
      <c r="I1811" s="6" t="n">
        <v>23743.25</v>
      </c>
      <c r="J1811" s="6">
        <f>IF(G1811="Long",I1811-H1811,IF(G1811="Short",H1811-I1811,0))</f>
        <v/>
      </c>
      <c r="K1811" s="7" t="n">
        <v>100</v>
      </c>
      <c r="L1811" s="5" t="inlineStr">
        <is>
          <t>Loss</t>
        </is>
      </c>
      <c r="M1811" s="6">
        <f>M1810+J1811</f>
        <v/>
      </c>
    </row>
    <row r="1812">
      <c r="A1812" s="8" t="inlineStr">
        <is>
          <t>2025-08-28</t>
        </is>
      </c>
      <c r="B1812" s="8" t="inlineStr">
        <is>
          <t>Thursday</t>
        </is>
      </c>
      <c r="C1812" s="8" t="inlineStr">
        <is>
          <t>MNQU5</t>
        </is>
      </c>
      <c r="D1812" s="9" t="n">
        <v>23743.25</v>
      </c>
      <c r="E1812" s="9" t="n">
        <v>23629.25</v>
      </c>
      <c r="F1812" s="9">
        <f>D1812-E1812</f>
        <v/>
      </c>
      <c r="G1812" s="8" t="inlineStr">
        <is>
          <t>Long</t>
        </is>
      </c>
      <c r="H1812" s="9" t="n">
        <v>23743.25</v>
      </c>
      <c r="I1812" s="9" t="n">
        <v>23766.25</v>
      </c>
      <c r="J1812" s="9">
        <f>IF(G1812="Long",I1812-H1812,IF(G1812="Short",H1812-I1812,0))</f>
        <v/>
      </c>
      <c r="K1812" s="10" t="n">
        <v>18.42</v>
      </c>
      <c r="L1812" s="8" t="inlineStr">
        <is>
          <t>EOD-Close</t>
        </is>
      </c>
      <c r="M1812" s="9">
        <f>M1811+J1812</f>
        <v/>
      </c>
    </row>
    <row r="1813">
      <c r="A1813" s="2" t="inlineStr">
        <is>
          <t>2025-08-29</t>
        </is>
      </c>
      <c r="B1813" s="2" t="inlineStr">
        <is>
          <t>Friday</t>
        </is>
      </c>
      <c r="C1813" s="2" t="inlineStr">
        <is>
          <t>MNQU5</t>
        </is>
      </c>
      <c r="D1813" s="3" t="n">
        <v>23668</v>
      </c>
      <c r="E1813" s="3" t="n">
        <v>23585.25</v>
      </c>
      <c r="F1813" s="3">
        <f>D1813-E1813</f>
        <v/>
      </c>
      <c r="G1813" s="2" t="inlineStr">
        <is>
          <t>Short</t>
        </is>
      </c>
      <c r="H1813" s="3" t="n">
        <v>23585.25</v>
      </c>
      <c r="I1813" s="3" t="n">
        <v>23502.5</v>
      </c>
      <c r="J1813" s="3">
        <f>IF(G1813="Long",I1813-H1813,IF(G1813="Short",H1813-I1813,0))</f>
        <v/>
      </c>
      <c r="K1813" s="4" t="n">
        <v>0</v>
      </c>
      <c r="L1813" s="2" t="inlineStr">
        <is>
          <t>Win</t>
        </is>
      </c>
      <c r="M1813" s="3">
        <f>M1812+J1813</f>
        <v/>
      </c>
    </row>
    <row r="1814">
      <c r="A1814" s="8" t="inlineStr">
        <is>
          <t>2025-09-01</t>
        </is>
      </c>
      <c r="B1814" s="8" t="inlineStr">
        <is>
          <t>Monday</t>
        </is>
      </c>
      <c r="C1814" s="8" t="inlineStr">
        <is>
          <t>MNQU5</t>
        </is>
      </c>
      <c r="D1814" s="9" t="n">
        <v>23484</v>
      </c>
      <c r="E1814" s="9" t="n">
        <v>23443.25</v>
      </c>
      <c r="F1814" s="9">
        <f>D1814-E1814</f>
        <v/>
      </c>
      <c r="G1814" s="8" t="inlineStr">
        <is>
          <t>Long</t>
        </is>
      </c>
      <c r="H1814" s="9" t="n">
        <v>23484</v>
      </c>
      <c r="I1814" s="9" t="n">
        <v>23502.75</v>
      </c>
      <c r="J1814" s="9">
        <f>IF(G1814="Long",I1814-H1814,IF(G1814="Short",H1814-I1814,0))</f>
        <v/>
      </c>
      <c r="K1814" s="10" t="n">
        <v>19.63</v>
      </c>
      <c r="L1814" s="8" t="inlineStr">
        <is>
          <t>EOD-Close</t>
        </is>
      </c>
      <c r="M1814" s="9">
        <f>M1813+J1814</f>
        <v/>
      </c>
    </row>
    <row r="1815">
      <c r="A1815" s="8" t="inlineStr">
        <is>
          <t>2025-09-02</t>
        </is>
      </c>
      <c r="B1815" s="8" t="inlineStr">
        <is>
          <t>Tuesday</t>
        </is>
      </c>
      <c r="C1815" s="8" t="inlineStr">
        <is>
          <t>MNQU5</t>
        </is>
      </c>
      <c r="D1815" s="9" t="n">
        <v>23177.5</v>
      </c>
      <c r="E1815" s="9" t="n">
        <v>23025</v>
      </c>
      <c r="F1815" s="9">
        <f>D1815-E1815</f>
        <v/>
      </c>
      <c r="G1815" s="8" t="inlineStr">
        <is>
          <t>Long</t>
        </is>
      </c>
      <c r="H1815" s="9" t="n">
        <v>23177.5</v>
      </c>
      <c r="I1815" s="9" t="n">
        <v>23277.25</v>
      </c>
      <c r="J1815" s="9">
        <f>IF(G1815="Long",I1815-H1815,IF(G1815="Short",H1815-I1815,0))</f>
        <v/>
      </c>
      <c r="K1815" s="10" t="n">
        <v>99.02</v>
      </c>
      <c r="L1815" s="8" t="inlineStr">
        <is>
          <t>EOD-Close</t>
        </is>
      </c>
      <c r="M1815" s="9">
        <f>M1814+J1815</f>
        <v/>
      </c>
    </row>
    <row r="1816">
      <c r="A1816" s="2" t="inlineStr">
        <is>
          <t>2025-09-03</t>
        </is>
      </c>
      <c r="B1816" s="2" t="inlineStr">
        <is>
          <t>Wednesday</t>
        </is>
      </c>
      <c r="C1816" s="2" t="inlineStr">
        <is>
          <t>MNQU5</t>
        </is>
      </c>
      <c r="D1816" s="3" t="n">
        <v>23438</v>
      </c>
      <c r="E1816" s="3" t="n">
        <v>23372</v>
      </c>
      <c r="F1816" s="3">
        <f>D1816-E1816</f>
        <v/>
      </c>
      <c r="G1816" s="2" t="inlineStr">
        <is>
          <t>Long</t>
        </is>
      </c>
      <c r="H1816" s="3" t="n">
        <v>23438</v>
      </c>
      <c r="I1816" s="3" t="n">
        <v>23504</v>
      </c>
      <c r="J1816" s="3">
        <f>IF(G1816="Long",I1816-H1816,IF(G1816="Short",H1816-I1816,0))</f>
        <v/>
      </c>
      <c r="K1816" s="4" t="n">
        <v>11.74</v>
      </c>
      <c r="L1816" s="2" t="inlineStr">
        <is>
          <t>Win</t>
        </is>
      </c>
      <c r="M1816" s="3">
        <f>M1815+J1816</f>
        <v/>
      </c>
    </row>
    <row r="1817">
      <c r="A1817" s="5" t="inlineStr">
        <is>
          <t>2025-09-03</t>
        </is>
      </c>
      <c r="B1817" s="5" t="inlineStr">
        <is>
          <t>Wednesday</t>
        </is>
      </c>
      <c r="C1817" s="5" t="inlineStr">
        <is>
          <t>MNQU5</t>
        </is>
      </c>
      <c r="D1817" s="6" t="n">
        <v>23438</v>
      </c>
      <c r="E1817" s="6" t="n">
        <v>23372</v>
      </c>
      <c r="F1817" s="6">
        <f>D1817-E1817</f>
        <v/>
      </c>
      <c r="G1817" s="5" t="inlineStr">
        <is>
          <t>Long</t>
        </is>
      </c>
      <c r="H1817" s="6" t="n">
        <v>23438</v>
      </c>
      <c r="I1817" s="6" t="n">
        <v>23372</v>
      </c>
      <c r="J1817" s="6">
        <f>IF(G1817="Long",I1817-H1817,IF(G1817="Short",H1817-I1817,0))</f>
        <v/>
      </c>
      <c r="K1817" s="7" t="n">
        <v>100</v>
      </c>
      <c r="L1817" s="5" t="inlineStr">
        <is>
          <t>Loss</t>
        </is>
      </c>
      <c r="M1817" s="6">
        <f>M1816+J1817</f>
        <v/>
      </c>
    </row>
    <row r="1818">
      <c r="A1818" s="5" t="inlineStr">
        <is>
          <t>2025-09-04</t>
        </is>
      </c>
      <c r="B1818" s="5" t="inlineStr">
        <is>
          <t>Thursday</t>
        </is>
      </c>
      <c r="C1818" s="5" t="inlineStr">
        <is>
          <t>MNQU5</t>
        </is>
      </c>
      <c r="D1818" s="6" t="n">
        <v>23548.25</v>
      </c>
      <c r="E1818" s="6" t="n">
        <v>23457.25</v>
      </c>
      <c r="F1818" s="6">
        <f>D1818-E1818</f>
        <v/>
      </c>
      <c r="G1818" s="5" t="inlineStr">
        <is>
          <t>Short</t>
        </is>
      </c>
      <c r="H1818" s="6" t="n">
        <v>23457.25</v>
      </c>
      <c r="I1818" s="6" t="n">
        <v>23548.25</v>
      </c>
      <c r="J1818" s="6">
        <f>IF(G1818="Long",I1818-H1818,IF(G1818="Short",H1818-I1818,0))</f>
        <v/>
      </c>
      <c r="K1818" s="7" t="n">
        <v>100</v>
      </c>
      <c r="L1818" s="5" t="inlineStr">
        <is>
          <t>Loss</t>
        </is>
      </c>
      <c r="M1818" s="6">
        <f>M1817+J1818</f>
        <v/>
      </c>
    </row>
    <row r="1819">
      <c r="A1819" s="2" t="inlineStr">
        <is>
          <t>2025-09-04</t>
        </is>
      </c>
      <c r="B1819" s="2" t="inlineStr">
        <is>
          <t>Thursday</t>
        </is>
      </c>
      <c r="C1819" s="2" t="inlineStr">
        <is>
          <t>MNQU5</t>
        </is>
      </c>
      <c r="D1819" s="3" t="n">
        <v>23548.25</v>
      </c>
      <c r="E1819" s="3" t="n">
        <v>23457.25</v>
      </c>
      <c r="F1819" s="3">
        <f>D1819-E1819</f>
        <v/>
      </c>
      <c r="G1819" s="2" t="inlineStr">
        <is>
          <t>Long</t>
        </is>
      </c>
      <c r="H1819" s="3" t="n">
        <v>23548.25</v>
      </c>
      <c r="I1819" s="3" t="n">
        <v>23639.25</v>
      </c>
      <c r="J1819" s="3">
        <f>IF(G1819="Long",I1819-H1819,IF(G1819="Short",H1819-I1819,0))</f>
        <v/>
      </c>
      <c r="K1819" s="4" t="n">
        <v>39.01</v>
      </c>
      <c r="L1819" s="2" t="inlineStr">
        <is>
          <t>Win</t>
        </is>
      </c>
      <c r="M1819" s="3">
        <f>M1818+J1819</f>
        <v/>
      </c>
    </row>
    <row r="1820">
      <c r="A1820" s="2" t="inlineStr">
        <is>
          <t>2025-09-05</t>
        </is>
      </c>
      <c r="B1820" s="2" t="inlineStr">
        <is>
          <t>Friday</t>
        </is>
      </c>
      <c r="C1820" s="2" t="inlineStr">
        <is>
          <t>MNQU5</t>
        </is>
      </c>
      <c r="D1820" s="3" t="n">
        <v>23902.5</v>
      </c>
      <c r="E1820" s="3" t="n">
        <v>23821.5</v>
      </c>
      <c r="F1820" s="3">
        <f>D1820-E1820</f>
        <v/>
      </c>
      <c r="G1820" s="2" t="inlineStr">
        <is>
          <t>Short</t>
        </is>
      </c>
      <c r="H1820" s="3" t="n">
        <v>23821.5</v>
      </c>
      <c r="I1820" s="3" t="n">
        <v>23740.5</v>
      </c>
      <c r="J1820" s="3">
        <f>IF(G1820="Long",I1820-H1820,IF(G1820="Short",H1820-I1820,0))</f>
        <v/>
      </c>
      <c r="K1820" s="4" t="n">
        <v>0</v>
      </c>
      <c r="L1820" s="2" t="inlineStr">
        <is>
          <t>Win</t>
        </is>
      </c>
      <c r="M1820" s="3">
        <f>M1819+J1820</f>
        <v/>
      </c>
    </row>
    <row r="1821">
      <c r="A1821" s="5" t="inlineStr">
        <is>
          <t>2025-09-08</t>
        </is>
      </c>
      <c r="B1821" s="5" t="inlineStr">
        <is>
          <t>Monday</t>
        </is>
      </c>
      <c r="C1821" s="5" t="inlineStr">
        <is>
          <t>MNQU5</t>
        </is>
      </c>
      <c r="D1821" s="6" t="n">
        <v>23846.75</v>
      </c>
      <c r="E1821" s="6" t="n">
        <v>23771.25</v>
      </c>
      <c r="F1821" s="6">
        <f>D1821-E1821</f>
        <v/>
      </c>
      <c r="G1821" s="5" t="inlineStr">
        <is>
          <t>Long</t>
        </is>
      </c>
      <c r="H1821" s="6" t="n">
        <v>23846.75</v>
      </c>
      <c r="I1821" s="6" t="n">
        <v>23771.25</v>
      </c>
      <c r="J1821" s="6">
        <f>IF(G1821="Long",I1821-H1821,IF(G1821="Short",H1821-I1821,0))</f>
        <v/>
      </c>
      <c r="K1821" s="7" t="n">
        <v>100</v>
      </c>
      <c r="L1821" s="5" t="inlineStr">
        <is>
          <t>Loss</t>
        </is>
      </c>
      <c r="M1821" s="6">
        <f>M1820+J1821</f>
        <v/>
      </c>
    </row>
    <row r="1822">
      <c r="A1822" s="8" t="inlineStr">
        <is>
          <t>2025-09-08</t>
        </is>
      </c>
      <c r="B1822" s="8" t="inlineStr">
        <is>
          <t>Monday</t>
        </is>
      </c>
      <c r="C1822" s="8" t="inlineStr">
        <is>
          <t>MNQU5</t>
        </is>
      </c>
      <c r="D1822" s="9" t="n">
        <v>23846.75</v>
      </c>
      <c r="E1822" s="9" t="n">
        <v>23771.25</v>
      </c>
      <c r="F1822" s="9">
        <f>D1822-E1822</f>
        <v/>
      </c>
      <c r="G1822" s="8" t="inlineStr">
        <is>
          <t>Short</t>
        </is>
      </c>
      <c r="H1822" s="9" t="n">
        <v>23771.25</v>
      </c>
      <c r="I1822" s="9" t="n">
        <v>23803.5</v>
      </c>
      <c r="J1822" s="9">
        <f>IF(G1822="Long",I1822-H1822,IF(G1822="Short",H1822-I1822,0))</f>
        <v/>
      </c>
      <c r="K1822" s="10" t="n">
        <v>54.64</v>
      </c>
      <c r="L1822" s="8" t="inlineStr">
        <is>
          <t>EOD-Close</t>
        </is>
      </c>
      <c r="M1822" s="9">
        <f>M1821+J1822</f>
        <v/>
      </c>
    </row>
    <row r="1823">
      <c r="A1823" s="2" t="inlineStr">
        <is>
          <t>2025-09-09</t>
        </is>
      </c>
      <c r="B1823" s="2" t="inlineStr">
        <is>
          <t>Tuesday</t>
        </is>
      </c>
      <c r="C1823" s="2" t="inlineStr">
        <is>
          <t>MNQU5</t>
        </is>
      </c>
      <c r="D1823" s="3" t="n">
        <v>23857.75</v>
      </c>
      <c r="E1823" s="3" t="n">
        <v>23815</v>
      </c>
      <c r="F1823" s="3">
        <f>D1823-E1823</f>
        <v/>
      </c>
      <c r="G1823" s="2" t="inlineStr">
        <is>
          <t>Short</t>
        </is>
      </c>
      <c r="H1823" s="3" t="n">
        <v>23815</v>
      </c>
      <c r="I1823" s="3" t="n">
        <v>23772.25</v>
      </c>
      <c r="J1823" s="3">
        <f>IF(G1823="Long",I1823-H1823,IF(G1823="Short",H1823-I1823,0))</f>
        <v/>
      </c>
      <c r="K1823" s="4" t="n">
        <v>83.63</v>
      </c>
      <c r="L1823" s="2" t="inlineStr">
        <is>
          <t>Win</t>
        </is>
      </c>
      <c r="M1823" s="3">
        <f>M1822+J1823</f>
        <v/>
      </c>
    </row>
    <row r="1824">
      <c r="A1824" s="5" t="inlineStr">
        <is>
          <t>2025-09-09</t>
        </is>
      </c>
      <c r="B1824" s="5" t="inlineStr">
        <is>
          <t>Tuesday</t>
        </is>
      </c>
      <c r="C1824" s="5" t="inlineStr">
        <is>
          <t>MNQU5</t>
        </is>
      </c>
      <c r="D1824" s="6" t="n">
        <v>23857.75</v>
      </c>
      <c r="E1824" s="6" t="n">
        <v>23815</v>
      </c>
      <c r="F1824" s="6">
        <f>D1824-E1824</f>
        <v/>
      </c>
      <c r="G1824" s="5" t="inlineStr">
        <is>
          <t>Short</t>
        </is>
      </c>
      <c r="H1824" s="6" t="n">
        <v>23815</v>
      </c>
      <c r="I1824" s="6" t="n">
        <v>23857.75</v>
      </c>
      <c r="J1824" s="6">
        <f>IF(G1824="Long",I1824-H1824,IF(G1824="Short",H1824-I1824,0))</f>
        <v/>
      </c>
      <c r="K1824" s="7" t="n">
        <v>100</v>
      </c>
      <c r="L1824" s="5" t="inlineStr">
        <is>
          <t>Loss</t>
        </is>
      </c>
      <c r="M1824" s="6">
        <f>M1823+J1824</f>
        <v/>
      </c>
    </row>
    <row r="1825">
      <c r="A1825" s="2" t="inlineStr">
        <is>
          <t>2025-09-10</t>
        </is>
      </c>
      <c r="B1825" s="2" t="inlineStr">
        <is>
          <t>Wednesday</t>
        </is>
      </c>
      <c r="C1825" s="2" t="inlineStr">
        <is>
          <t>MNQU5</t>
        </is>
      </c>
      <c r="D1825" s="3" t="n">
        <v>24000.75</v>
      </c>
      <c r="E1825" s="3" t="n">
        <v>23918</v>
      </c>
      <c r="F1825" s="3">
        <f>D1825-E1825</f>
        <v/>
      </c>
      <c r="G1825" s="2" t="inlineStr">
        <is>
          <t>Short</t>
        </is>
      </c>
      <c r="H1825" s="3" t="n">
        <v>23918</v>
      </c>
      <c r="I1825" s="3" t="n">
        <v>23835.25</v>
      </c>
      <c r="J1825" s="3">
        <f>IF(G1825="Long",I1825-H1825,IF(G1825="Short",H1825-I1825,0))</f>
        <v/>
      </c>
      <c r="K1825" s="4" t="n">
        <v>87.92</v>
      </c>
      <c r="L1825" s="2" t="inlineStr">
        <is>
          <t>Win</t>
        </is>
      </c>
      <c r="M1825" s="3">
        <f>M1824+J1825</f>
        <v/>
      </c>
    </row>
    <row r="1826">
      <c r="A1826" s="8" t="inlineStr">
        <is>
          <t>2025-09-11</t>
        </is>
      </c>
      <c r="B1826" s="8" t="inlineStr">
        <is>
          <t>Thursday</t>
        </is>
      </c>
      <c r="C1826" s="8" t="inlineStr">
        <is>
          <t>MNQU5</t>
        </is>
      </c>
      <c r="D1826" s="9" t="n">
        <v>23997.75</v>
      </c>
      <c r="E1826" s="9" t="n">
        <v>23911.5</v>
      </c>
      <c r="F1826" s="9">
        <f>D1826-E1826</f>
        <v/>
      </c>
      <c r="G1826" s="8" t="inlineStr">
        <is>
          <t>Long</t>
        </is>
      </c>
      <c r="H1826" s="9" t="n">
        <v>23997.75</v>
      </c>
      <c r="I1826" s="9" t="n">
        <v>24011.75</v>
      </c>
      <c r="J1826" s="9">
        <f>IF(G1826="Long",I1826-H1826,IF(G1826="Short",H1826-I1826,0))</f>
        <v/>
      </c>
      <c r="K1826" s="10" t="n">
        <v>26.09</v>
      </c>
      <c r="L1826" s="8" t="inlineStr">
        <is>
          <t>EOD-Close</t>
        </is>
      </c>
      <c r="M1826" s="9">
        <f>M1825+J1826</f>
        <v/>
      </c>
    </row>
    <row r="1827">
      <c r="A1827" s="2" t="inlineStr">
        <is>
          <t>2025-09-12</t>
        </is>
      </c>
      <c r="B1827" s="2" t="inlineStr">
        <is>
          <t>Friday</t>
        </is>
      </c>
      <c r="C1827" s="2" t="inlineStr">
        <is>
          <t>MNQU5</t>
        </is>
      </c>
      <c r="D1827" s="3" t="n">
        <v>24063.5</v>
      </c>
      <c r="E1827" s="3" t="n">
        <v>24002</v>
      </c>
      <c r="F1827" s="3">
        <f>D1827-E1827</f>
        <v/>
      </c>
      <c r="G1827" s="2" t="inlineStr">
        <is>
          <t>Long</t>
        </is>
      </c>
      <c r="H1827" s="3" t="n">
        <v>24063.5</v>
      </c>
      <c r="I1827" s="3" t="n">
        <v>24125</v>
      </c>
      <c r="J1827" s="3">
        <f>IF(G1827="Long",I1827-H1827,IF(G1827="Short",H1827-I1827,0))</f>
        <v/>
      </c>
      <c r="K1827" s="4" t="n">
        <v>0</v>
      </c>
      <c r="L1827" s="2" t="inlineStr">
        <is>
          <t>Win</t>
        </is>
      </c>
      <c r="M1827" s="3">
        <f>M1826+J1827</f>
        <v/>
      </c>
    </row>
    <row r="1828">
      <c r="A1828" s="2" t="inlineStr">
        <is>
          <t>2025-09-15</t>
        </is>
      </c>
      <c r="B1828" s="2" t="inlineStr">
        <is>
          <t>Monday</t>
        </is>
      </c>
      <c r="C1828" s="2" t="inlineStr">
        <is>
          <t>MNQZ5</t>
        </is>
      </c>
      <c r="D1828" s="3" t="n">
        <v>24470.5</v>
      </c>
      <c r="E1828" s="3" t="n">
        <v>24413.25</v>
      </c>
      <c r="F1828" s="3">
        <f>D1828-E1828</f>
        <v/>
      </c>
      <c r="G1828" s="2" t="inlineStr">
        <is>
          <t>Long</t>
        </is>
      </c>
      <c r="H1828" s="3" t="n">
        <v>24470.5</v>
      </c>
      <c r="I1828" s="3" t="n">
        <v>24527.75</v>
      </c>
      <c r="J1828" s="3">
        <f>IF(G1828="Long",I1828-H1828,IF(G1828="Short",H1828-I1828,0))</f>
        <v/>
      </c>
      <c r="K1828" s="4" t="n">
        <v>3.93</v>
      </c>
      <c r="L1828" s="2" t="inlineStr">
        <is>
          <t>Win</t>
        </is>
      </c>
      <c r="M1828" s="3">
        <f>M1827+J1828</f>
        <v/>
      </c>
    </row>
    <row r="1829">
      <c r="A1829" s="2" t="inlineStr">
        <is>
          <t>2025-09-16</t>
        </is>
      </c>
      <c r="B1829" s="2" t="inlineStr">
        <is>
          <t>Tuesday</t>
        </is>
      </c>
      <c r="C1829" s="2" t="inlineStr">
        <is>
          <t>MNQZ5</t>
        </is>
      </c>
      <c r="D1829" s="3" t="n">
        <v>24600.25</v>
      </c>
      <c r="E1829" s="3" t="n">
        <v>24552.25</v>
      </c>
      <c r="F1829" s="3">
        <f>D1829-E1829</f>
        <v/>
      </c>
      <c r="G1829" s="2" t="inlineStr">
        <is>
          <t>Short</t>
        </is>
      </c>
      <c r="H1829" s="3" t="n">
        <v>24552.25</v>
      </c>
      <c r="I1829" s="3" t="n">
        <v>24504.25</v>
      </c>
      <c r="J1829" s="3">
        <f>IF(G1829="Long",I1829-H1829,IF(G1829="Short",H1829-I1829,0))</f>
        <v/>
      </c>
      <c r="K1829" s="4" t="n">
        <v>18.23</v>
      </c>
      <c r="L1829" s="2" t="inlineStr">
        <is>
          <t>Win</t>
        </is>
      </c>
      <c r="M1829" s="3">
        <f>M1828+J1829</f>
        <v/>
      </c>
    </row>
    <row r="1830">
      <c r="A1830" s="8" t="inlineStr">
        <is>
          <t>2025-09-16</t>
        </is>
      </c>
      <c r="B1830" s="8" t="inlineStr">
        <is>
          <t>Tuesday</t>
        </is>
      </c>
      <c r="C1830" s="8" t="inlineStr">
        <is>
          <t>MNQZ5</t>
        </is>
      </c>
      <c r="D1830" s="9" t="n">
        <v>24600.25</v>
      </c>
      <c r="E1830" s="9" t="n">
        <v>24552.25</v>
      </c>
      <c r="F1830" s="9">
        <f>D1830-E1830</f>
        <v/>
      </c>
      <c r="G1830" s="8" t="inlineStr">
        <is>
          <t>Short</t>
        </is>
      </c>
      <c r="H1830" s="9" t="n">
        <v>24552.25</v>
      </c>
      <c r="I1830" s="9" t="n">
        <v>24524</v>
      </c>
      <c r="J1830" s="9">
        <f>IF(G1830="Long",I1830-H1830,IF(G1830="Short",H1830-I1830,0))</f>
        <v/>
      </c>
      <c r="K1830" s="10" t="n">
        <v>18.75</v>
      </c>
      <c r="L1830" s="8" t="inlineStr">
        <is>
          <t>EOD-Close</t>
        </is>
      </c>
      <c r="M1830" s="9">
        <f>M1829+J1830</f>
        <v/>
      </c>
    </row>
    <row r="1831">
      <c r="A1831" s="2" t="inlineStr">
        <is>
          <t>2025-09-17</t>
        </is>
      </c>
      <c r="B1831" s="2" t="inlineStr">
        <is>
          <t>Wednesday</t>
        </is>
      </c>
      <c r="C1831" s="2" t="inlineStr">
        <is>
          <t>MNQZ5</t>
        </is>
      </c>
      <c r="D1831" s="3" t="n">
        <v>24540.75</v>
      </c>
      <c r="E1831" s="3" t="n">
        <v>24462</v>
      </c>
      <c r="F1831" s="3">
        <f>D1831-E1831</f>
        <v/>
      </c>
      <c r="G1831" s="2" t="inlineStr">
        <is>
          <t>Short</t>
        </is>
      </c>
      <c r="H1831" s="3" t="n">
        <v>24462</v>
      </c>
      <c r="I1831" s="3" t="n">
        <v>24383.25</v>
      </c>
      <c r="J1831" s="3">
        <f>IF(G1831="Long",I1831-H1831,IF(G1831="Short",H1831-I1831,0))</f>
        <v/>
      </c>
      <c r="K1831" s="4" t="n">
        <v>0</v>
      </c>
      <c r="L1831" s="2" t="inlineStr">
        <is>
          <t>Win</t>
        </is>
      </c>
      <c r="M1831" s="3">
        <f>M1830+J1831</f>
        <v/>
      </c>
    </row>
    <row r="1832">
      <c r="A1832" s="2" t="inlineStr">
        <is>
          <t>2025-09-17</t>
        </is>
      </c>
      <c r="B1832" s="2" t="inlineStr">
        <is>
          <t>Wednesday</t>
        </is>
      </c>
      <c r="C1832" s="2" t="inlineStr">
        <is>
          <t>MNQZ5</t>
        </is>
      </c>
      <c r="D1832" s="3" t="n">
        <v>24540.75</v>
      </c>
      <c r="E1832" s="3" t="n">
        <v>24462</v>
      </c>
      <c r="F1832" s="3">
        <f>D1832-E1832</f>
        <v/>
      </c>
      <c r="G1832" s="2" t="inlineStr">
        <is>
          <t>Short</t>
        </is>
      </c>
      <c r="H1832" s="3" t="n">
        <v>24462</v>
      </c>
      <c r="I1832" s="3" t="n">
        <v>24383.25</v>
      </c>
      <c r="J1832" s="3">
        <f>IF(G1832="Long",I1832-H1832,IF(G1832="Short",H1832-I1832,0))</f>
        <v/>
      </c>
      <c r="K1832" s="4" t="n">
        <v>79.05</v>
      </c>
      <c r="L1832" s="2" t="inlineStr">
        <is>
          <t>Win</t>
        </is>
      </c>
      <c r="M1832" s="3">
        <f>M1831+J1832</f>
        <v/>
      </c>
    </row>
    <row r="1833">
      <c r="A1833" s="2" t="inlineStr">
        <is>
          <t>2025-09-18</t>
        </is>
      </c>
      <c r="B1833" s="2" t="inlineStr">
        <is>
          <t>Thursday</t>
        </is>
      </c>
      <c r="C1833" s="2" t="inlineStr">
        <is>
          <t>MNQZ5</t>
        </is>
      </c>
      <c r="D1833" s="3" t="n">
        <v>24713.5</v>
      </c>
      <c r="E1833" s="3" t="n">
        <v>24624.5</v>
      </c>
      <c r="F1833" s="3">
        <f>D1833-E1833</f>
        <v/>
      </c>
      <c r="G1833" s="2" t="inlineStr">
        <is>
          <t>Long</t>
        </is>
      </c>
      <c r="H1833" s="3" t="n">
        <v>24713.5</v>
      </c>
      <c r="I1833" s="3" t="n">
        <v>24802.5</v>
      </c>
      <c r="J1833" s="3">
        <f>IF(G1833="Long",I1833-H1833,IF(G1833="Short",H1833-I1833,0))</f>
        <v/>
      </c>
      <c r="K1833" s="4" t="n">
        <v>0</v>
      </c>
      <c r="L1833" s="2" t="inlineStr">
        <is>
          <t>Win</t>
        </is>
      </c>
      <c r="M1833" s="3">
        <f>M1832+J1833</f>
        <v/>
      </c>
    </row>
    <row r="1834">
      <c r="A1834" s="8" t="inlineStr">
        <is>
          <t>2025-09-18</t>
        </is>
      </c>
      <c r="B1834" s="8" t="inlineStr">
        <is>
          <t>Thursday</t>
        </is>
      </c>
      <c r="C1834" s="8" t="inlineStr">
        <is>
          <t>MNQZ5</t>
        </is>
      </c>
      <c r="D1834" s="9" t="n">
        <v>24713.5</v>
      </c>
      <c r="E1834" s="9" t="n">
        <v>24624.5</v>
      </c>
      <c r="F1834" s="9">
        <f>D1834-E1834</f>
        <v/>
      </c>
      <c r="G1834" s="8" t="inlineStr">
        <is>
          <t>Long</t>
        </is>
      </c>
      <c r="H1834" s="9" t="n">
        <v>24713.5</v>
      </c>
      <c r="I1834" s="9" t="n">
        <v>24698.25</v>
      </c>
      <c r="J1834" s="9">
        <f>IF(G1834="Long",I1834-H1834,IF(G1834="Short",H1834-I1834,0))</f>
        <v/>
      </c>
      <c r="K1834" s="10" t="n">
        <v>18.82</v>
      </c>
      <c r="L1834" s="8" t="inlineStr">
        <is>
          <t>EOD-Close</t>
        </is>
      </c>
      <c r="M1834" s="9">
        <f>M1833+J1834</f>
        <v/>
      </c>
    </row>
    <row r="1835">
      <c r="A1835" s="5" t="inlineStr">
        <is>
          <t>2025-09-19</t>
        </is>
      </c>
      <c r="B1835" s="5" t="inlineStr">
        <is>
          <t>Friday</t>
        </is>
      </c>
      <c r="C1835" s="5" t="inlineStr">
        <is>
          <t>MNQZ5</t>
        </is>
      </c>
      <c r="D1835" s="6" t="n">
        <v>24783.75</v>
      </c>
      <c r="E1835" s="6" t="n">
        <v>24737.25</v>
      </c>
      <c r="F1835" s="6">
        <f>D1835-E1835</f>
        <v/>
      </c>
      <c r="G1835" s="5" t="inlineStr">
        <is>
          <t>Long</t>
        </is>
      </c>
      <c r="H1835" s="6" t="n">
        <v>24783.75</v>
      </c>
      <c r="I1835" s="6" t="n">
        <v>24737.25</v>
      </c>
      <c r="J1835" s="6">
        <f>IF(G1835="Long",I1835-H1835,IF(G1835="Short",H1835-I1835,0))</f>
        <v/>
      </c>
      <c r="K1835" s="7" t="n">
        <v>100</v>
      </c>
      <c r="L1835" s="5" t="inlineStr">
        <is>
          <t>Loss</t>
        </is>
      </c>
      <c r="M1835" s="6">
        <f>M1834+J1835</f>
        <v/>
      </c>
    </row>
    <row r="1836">
      <c r="A1836" s="5" t="inlineStr">
        <is>
          <t>2025-09-19</t>
        </is>
      </c>
      <c r="B1836" s="5" t="inlineStr">
        <is>
          <t>Friday</t>
        </is>
      </c>
      <c r="C1836" s="5" t="inlineStr">
        <is>
          <t>MNQZ5</t>
        </is>
      </c>
      <c r="D1836" s="6" t="n">
        <v>24783.75</v>
      </c>
      <c r="E1836" s="6" t="n">
        <v>24737.25</v>
      </c>
      <c r="F1836" s="6">
        <f>D1836-E1836</f>
        <v/>
      </c>
      <c r="G1836" s="5" t="inlineStr">
        <is>
          <t>Short</t>
        </is>
      </c>
      <c r="H1836" s="6" t="n">
        <v>24737.25</v>
      </c>
      <c r="I1836" s="6" t="n">
        <v>24783.75</v>
      </c>
      <c r="J1836" s="6">
        <f>IF(G1836="Long",I1836-H1836,IF(G1836="Short",H1836-I1836,0))</f>
        <v/>
      </c>
      <c r="K1836" s="7" t="n">
        <v>100</v>
      </c>
      <c r="L1836" s="5" t="inlineStr">
        <is>
          <t>Loss</t>
        </is>
      </c>
      <c r="M1836" s="6">
        <f>M1835+J1836</f>
        <v/>
      </c>
    </row>
    <row r="1837">
      <c r="A1837" s="2" t="inlineStr">
        <is>
          <t>2025-09-22</t>
        </is>
      </c>
      <c r="B1837" s="2" t="inlineStr">
        <is>
          <t>Monday</t>
        </is>
      </c>
      <c r="C1837" s="2" t="inlineStr">
        <is>
          <t>MNQZ5</t>
        </is>
      </c>
      <c r="D1837" s="3" t="n">
        <v>24858.25</v>
      </c>
      <c r="E1837" s="3" t="n">
        <v>24814.25</v>
      </c>
      <c r="F1837" s="3">
        <f>D1837-E1837</f>
        <v/>
      </c>
      <c r="G1837" s="2" t="inlineStr">
        <is>
          <t>Long</t>
        </is>
      </c>
      <c r="H1837" s="3" t="n">
        <v>24858.25</v>
      </c>
      <c r="I1837" s="3" t="n">
        <v>24902.25</v>
      </c>
      <c r="J1837" s="3">
        <f>IF(G1837="Long",I1837-H1837,IF(G1837="Short",H1837-I1837,0))</f>
        <v/>
      </c>
      <c r="K1837" s="4" t="n">
        <v>7.95</v>
      </c>
      <c r="L1837" s="2" t="inlineStr">
        <is>
          <t>Win</t>
        </is>
      </c>
      <c r="M1837" s="3">
        <f>M1836+J1837</f>
        <v/>
      </c>
    </row>
    <row r="1838">
      <c r="A1838" s="2" t="inlineStr">
        <is>
          <t>2025-09-23</t>
        </is>
      </c>
      <c r="B1838" s="2" t="inlineStr">
        <is>
          <t>Tuesday</t>
        </is>
      </c>
      <c r="C1838" s="2" t="inlineStr">
        <is>
          <t>MNQZ5</t>
        </is>
      </c>
      <c r="D1838" s="3" t="n">
        <v>25009.75</v>
      </c>
      <c r="E1838" s="3" t="n">
        <v>24942.75</v>
      </c>
      <c r="F1838" s="3">
        <f>D1838-E1838</f>
        <v/>
      </c>
      <c r="G1838" s="2" t="inlineStr">
        <is>
          <t>Short</t>
        </is>
      </c>
      <c r="H1838" s="3" t="n">
        <v>24942.75</v>
      </c>
      <c r="I1838" s="3" t="n">
        <v>24875.75</v>
      </c>
      <c r="J1838" s="3">
        <f>IF(G1838="Long",I1838-H1838,IF(G1838="Short",H1838-I1838,0))</f>
        <v/>
      </c>
      <c r="K1838" s="4" t="n">
        <v>48.13</v>
      </c>
      <c r="L1838" s="2" t="inlineStr">
        <is>
          <t>Win</t>
        </is>
      </c>
      <c r="M1838" s="3">
        <f>M1837+J1838</f>
        <v/>
      </c>
    </row>
    <row r="1839">
      <c r="A1839" s="2" t="inlineStr">
        <is>
          <t>2025-09-24</t>
        </is>
      </c>
      <c r="B1839" s="2" t="inlineStr">
        <is>
          <t>Wednesday</t>
        </is>
      </c>
      <c r="C1839" s="2" t="inlineStr">
        <is>
          <t>MNQZ5</t>
        </is>
      </c>
      <c r="D1839" s="3" t="n">
        <v>24899.25</v>
      </c>
      <c r="E1839" s="3" t="n">
        <v>24823.5</v>
      </c>
      <c r="F1839" s="3">
        <f>D1839-E1839</f>
        <v/>
      </c>
      <c r="G1839" s="2" t="inlineStr">
        <is>
          <t>Short</t>
        </is>
      </c>
      <c r="H1839" s="3" t="n">
        <v>24823.5</v>
      </c>
      <c r="I1839" s="3" t="n">
        <v>24747.75</v>
      </c>
      <c r="J1839" s="3">
        <f>IF(G1839="Long",I1839-H1839,IF(G1839="Short",H1839-I1839,0))</f>
        <v/>
      </c>
      <c r="K1839" s="4" t="n">
        <v>23.1</v>
      </c>
      <c r="L1839" s="2" t="inlineStr">
        <is>
          <t>Win</t>
        </is>
      </c>
      <c r="M1839" s="3">
        <f>M1838+J1839</f>
        <v/>
      </c>
    </row>
    <row r="1840">
      <c r="A1840" s="8" t="inlineStr">
        <is>
          <t>2025-09-25</t>
        </is>
      </c>
      <c r="B1840" s="8" t="inlineStr">
        <is>
          <t>Thursday</t>
        </is>
      </c>
      <c r="C1840" s="8" t="inlineStr">
        <is>
          <t>MNQZ5</t>
        </is>
      </c>
      <c r="D1840" s="9" t="n">
        <v>24578.75</v>
      </c>
      <c r="E1840" s="9" t="n">
        <v>24422</v>
      </c>
      <c r="F1840" s="9">
        <f>D1840-E1840</f>
        <v/>
      </c>
      <c r="G1840" s="8" t="inlineStr">
        <is>
          <t>Long</t>
        </is>
      </c>
      <c r="H1840" s="9" t="n">
        <v>24578.75</v>
      </c>
      <c r="I1840" s="9" t="n">
        <v>24632</v>
      </c>
      <c r="J1840" s="9">
        <f>IF(G1840="Long",I1840-H1840,IF(G1840="Short",H1840-I1840,0))</f>
        <v/>
      </c>
      <c r="K1840" s="10" t="n">
        <v>79.90000000000001</v>
      </c>
      <c r="L1840" s="8" t="inlineStr">
        <is>
          <t>EOD-Close</t>
        </is>
      </c>
      <c r="M1840" s="9">
        <f>M1839+J1840</f>
        <v/>
      </c>
    </row>
    <row r="1841">
      <c r="A1841" s="5" t="inlineStr">
        <is>
          <t>2025-09-26</t>
        </is>
      </c>
      <c r="B1841" s="5" t="inlineStr">
        <is>
          <t>Friday</t>
        </is>
      </c>
      <c r="C1841" s="5" t="inlineStr">
        <is>
          <t>MNQZ5</t>
        </is>
      </c>
      <c r="D1841" s="6" t="n">
        <v>24712.5</v>
      </c>
      <c r="E1841" s="6" t="n">
        <v>24596.75</v>
      </c>
      <c r="F1841" s="6">
        <f>D1841-E1841</f>
        <v/>
      </c>
      <c r="G1841" s="5" t="inlineStr">
        <is>
          <t>Short</t>
        </is>
      </c>
      <c r="H1841" s="6" t="n">
        <v>24596.75</v>
      </c>
      <c r="I1841" s="6" t="n">
        <v>24712.5</v>
      </c>
      <c r="J1841" s="6">
        <f>IF(G1841="Long",I1841-H1841,IF(G1841="Short",H1841-I1841,0))</f>
        <v/>
      </c>
      <c r="K1841" s="7" t="n">
        <v>100</v>
      </c>
      <c r="L1841" s="5" t="inlineStr">
        <is>
          <t>Loss</t>
        </is>
      </c>
      <c r="M1841" s="6">
        <f>M1840+J1841</f>
        <v/>
      </c>
    </row>
    <row r="1842">
      <c r="A1842" s="8" t="inlineStr">
        <is>
          <t>2025-09-26</t>
        </is>
      </c>
      <c r="B1842" s="8" t="inlineStr">
        <is>
          <t>Friday</t>
        </is>
      </c>
      <c r="C1842" s="8" t="inlineStr">
        <is>
          <t>MNQZ5</t>
        </is>
      </c>
      <c r="D1842" s="9" t="n">
        <v>24712.5</v>
      </c>
      <c r="E1842" s="9" t="n">
        <v>24596.75</v>
      </c>
      <c r="F1842" s="9">
        <f>D1842-E1842</f>
        <v/>
      </c>
      <c r="G1842" s="8" t="inlineStr">
        <is>
          <t>Long</t>
        </is>
      </c>
      <c r="H1842" s="9" t="n">
        <v>24712.5</v>
      </c>
      <c r="I1842" s="9" t="n">
        <v>24725.5</v>
      </c>
      <c r="J1842" s="9">
        <f>IF(G1842="Long",I1842-H1842,IF(G1842="Short",H1842-I1842,0))</f>
        <v/>
      </c>
      <c r="K1842" s="10" t="n">
        <v>11.23</v>
      </c>
      <c r="L1842" s="8" t="inlineStr">
        <is>
          <t>EOD-Close</t>
        </is>
      </c>
      <c r="M1842" s="9">
        <f>M1841+J1842</f>
        <v/>
      </c>
    </row>
    <row r="1843">
      <c r="A1843" s="5" t="inlineStr">
        <is>
          <t>2025-09-29</t>
        </is>
      </c>
      <c r="B1843" s="5" t="inlineStr">
        <is>
          <t>Monday</t>
        </is>
      </c>
      <c r="C1843" s="5" t="inlineStr">
        <is>
          <t>MNQZ5</t>
        </is>
      </c>
      <c r="D1843" s="6" t="n">
        <v>24916</v>
      </c>
      <c r="E1843" s="6" t="n">
        <v>24848.25</v>
      </c>
      <c r="F1843" s="6">
        <f>D1843-E1843</f>
        <v/>
      </c>
      <c r="G1843" s="5" t="inlineStr">
        <is>
          <t>Long</t>
        </is>
      </c>
      <c r="H1843" s="6" t="n">
        <v>24916</v>
      </c>
      <c r="I1843" s="6" t="n">
        <v>24848.25</v>
      </c>
      <c r="J1843" s="6">
        <f>IF(G1843="Long",I1843-H1843,IF(G1843="Short",H1843-I1843,0))</f>
        <v/>
      </c>
      <c r="K1843" s="7" t="n">
        <v>100</v>
      </c>
      <c r="L1843" s="5" t="inlineStr">
        <is>
          <t>Loss</t>
        </is>
      </c>
      <c r="M1843" s="6">
        <f>M1842+J1843</f>
        <v/>
      </c>
    </row>
    <row r="1844">
      <c r="A1844" s="2" t="inlineStr">
        <is>
          <t>2025-09-29</t>
        </is>
      </c>
      <c r="B1844" s="2" t="inlineStr">
        <is>
          <t>Monday</t>
        </is>
      </c>
      <c r="C1844" s="2" t="inlineStr">
        <is>
          <t>MNQZ5</t>
        </is>
      </c>
      <c r="D1844" s="3" t="n">
        <v>24916</v>
      </c>
      <c r="E1844" s="3" t="n">
        <v>24848.25</v>
      </c>
      <c r="F1844" s="3">
        <f>D1844-E1844</f>
        <v/>
      </c>
      <c r="G1844" s="2" t="inlineStr">
        <is>
          <t>Short</t>
        </is>
      </c>
      <c r="H1844" s="3" t="n">
        <v>24848.25</v>
      </c>
      <c r="I1844" s="3" t="n">
        <v>24780.5</v>
      </c>
      <c r="J1844" s="3">
        <f>IF(G1844="Long",I1844-H1844,IF(G1844="Short",H1844-I1844,0))</f>
        <v/>
      </c>
      <c r="K1844" s="4" t="n">
        <v>31</v>
      </c>
      <c r="L1844" s="2" t="inlineStr">
        <is>
          <t>Win</t>
        </is>
      </c>
      <c r="M1844" s="3">
        <f>M1843+J1844</f>
        <v/>
      </c>
    </row>
    <row r="1845">
      <c r="A1845" s="5" t="inlineStr">
        <is>
          <t>2025-09-30</t>
        </is>
      </c>
      <c r="B1845" s="5" t="inlineStr">
        <is>
          <t>Tuesday</t>
        </is>
      </c>
      <c r="C1845" s="5" t="inlineStr">
        <is>
          <t>MNQZ5</t>
        </is>
      </c>
      <c r="D1845" s="6" t="n">
        <v>24830.75</v>
      </c>
      <c r="E1845" s="6" t="n">
        <v>24741.25</v>
      </c>
      <c r="F1845" s="6">
        <f>D1845-E1845</f>
        <v/>
      </c>
      <c r="G1845" s="5" t="inlineStr">
        <is>
          <t>Short</t>
        </is>
      </c>
      <c r="H1845" s="6" t="n">
        <v>24741.25</v>
      </c>
      <c r="I1845" s="6" t="n">
        <v>24830.75</v>
      </c>
      <c r="J1845" s="6">
        <f>IF(G1845="Long",I1845-H1845,IF(G1845="Short",H1845-I1845,0))</f>
        <v/>
      </c>
      <c r="K1845" s="7" t="n">
        <v>100</v>
      </c>
      <c r="L1845" s="5" t="inlineStr">
        <is>
          <t>Loss</t>
        </is>
      </c>
      <c r="M1845" s="6">
        <f>M1844+J1845</f>
        <v/>
      </c>
    </row>
    <row r="1846">
      <c r="A1846" s="5" t="inlineStr">
        <is>
          <t>2025-09-30</t>
        </is>
      </c>
      <c r="B1846" s="5" t="inlineStr">
        <is>
          <t>Tuesday</t>
        </is>
      </c>
      <c r="C1846" s="5" t="inlineStr">
        <is>
          <t>MNQZ5</t>
        </is>
      </c>
      <c r="D1846" s="6" t="n">
        <v>24830.75</v>
      </c>
      <c r="E1846" s="6" t="n">
        <v>24741.25</v>
      </c>
      <c r="F1846" s="6">
        <f>D1846-E1846</f>
        <v/>
      </c>
      <c r="G1846" s="5" t="inlineStr">
        <is>
          <t>Long</t>
        </is>
      </c>
      <c r="H1846" s="6" t="n">
        <v>24830.75</v>
      </c>
      <c r="I1846" s="6" t="n">
        <v>24741.25</v>
      </c>
      <c r="J1846" s="6">
        <f>IF(G1846="Long",I1846-H1846,IF(G1846="Short",H1846-I1846,0))</f>
        <v/>
      </c>
      <c r="K1846" s="7" t="n">
        <v>100</v>
      </c>
      <c r="L1846" s="5" t="inlineStr">
        <is>
          <t>Loss</t>
        </is>
      </c>
      <c r="M1846" s="6">
        <f>M1845+J1846</f>
        <v/>
      </c>
    </row>
    <row r="1847">
      <c r="A1847" s="5" t="inlineStr">
        <is>
          <t>2025-10-01</t>
        </is>
      </c>
      <c r="B1847" s="5" t="inlineStr">
        <is>
          <t>Wednesday</t>
        </is>
      </c>
      <c r="C1847" s="5" t="inlineStr">
        <is>
          <t>MNQZ5</t>
        </is>
      </c>
      <c r="D1847" s="6" t="n">
        <v>24841.5</v>
      </c>
      <c r="E1847" s="6" t="n">
        <v>24743.5</v>
      </c>
      <c r="F1847" s="6">
        <f>D1847-E1847</f>
        <v/>
      </c>
      <c r="G1847" s="5" t="inlineStr">
        <is>
          <t>Short</t>
        </is>
      </c>
      <c r="H1847" s="6" t="n">
        <v>24743.5</v>
      </c>
      <c r="I1847" s="6" t="n">
        <v>24841.5</v>
      </c>
      <c r="J1847" s="6">
        <f>IF(G1847="Long",I1847-H1847,IF(G1847="Short",H1847-I1847,0))</f>
        <v/>
      </c>
      <c r="K1847" s="7" t="n">
        <v>100</v>
      </c>
      <c r="L1847" s="5" t="inlineStr">
        <is>
          <t>Loss</t>
        </is>
      </c>
      <c r="M1847" s="6">
        <f>M1846+J1847</f>
        <v/>
      </c>
    </row>
    <row r="1848">
      <c r="A1848" s="2" t="inlineStr">
        <is>
          <t>2025-10-01</t>
        </is>
      </c>
      <c r="B1848" s="2" t="inlineStr">
        <is>
          <t>Wednesday</t>
        </is>
      </c>
      <c r="C1848" s="2" t="inlineStr">
        <is>
          <t>MNQZ5</t>
        </is>
      </c>
      <c r="D1848" s="3" t="n">
        <v>24841.5</v>
      </c>
      <c r="E1848" s="3" t="n">
        <v>24743.5</v>
      </c>
      <c r="F1848" s="3">
        <f>D1848-E1848</f>
        <v/>
      </c>
      <c r="G1848" s="2" t="inlineStr">
        <is>
          <t>Long</t>
        </is>
      </c>
      <c r="H1848" s="3" t="n">
        <v>24841.5</v>
      </c>
      <c r="I1848" s="3" t="n">
        <v>24939.5</v>
      </c>
      <c r="J1848" s="3">
        <f>IF(G1848="Long",I1848-H1848,IF(G1848="Short",H1848-I1848,0))</f>
        <v/>
      </c>
      <c r="K1848" s="4" t="n">
        <v>0</v>
      </c>
      <c r="L1848" s="2" t="inlineStr">
        <is>
          <t>Win</t>
        </is>
      </c>
      <c r="M1848" s="3">
        <f>M1847+J1848</f>
        <v/>
      </c>
    </row>
    <row r="1849">
      <c r="A1849" s="8" t="inlineStr">
        <is>
          <t>2025-10-02</t>
        </is>
      </c>
      <c r="B1849" s="8" t="inlineStr">
        <is>
          <t>Thursday</t>
        </is>
      </c>
      <c r="C1849" s="8" t="inlineStr">
        <is>
          <t>MNQZ5</t>
        </is>
      </c>
      <c r="D1849" s="9" t="n">
        <v>25169</v>
      </c>
      <c r="E1849" s="9" t="n">
        <v>25036.25</v>
      </c>
      <c r="F1849" s="9">
        <f>D1849-E1849</f>
        <v/>
      </c>
      <c r="G1849" s="8" t="inlineStr">
        <is>
          <t>Short</t>
        </is>
      </c>
      <c r="H1849" s="9" t="n">
        <v>25036.25</v>
      </c>
      <c r="I1849" s="9" t="n">
        <v>25108.25</v>
      </c>
      <c r="J1849" s="9">
        <f>IF(G1849="Long",I1849-H1849,IF(G1849="Short",H1849-I1849,0))</f>
        <v/>
      </c>
      <c r="K1849" s="10" t="n">
        <v>68.17</v>
      </c>
      <c r="L1849" s="8" t="inlineStr">
        <is>
          <t>EOD-Close</t>
        </is>
      </c>
      <c r="M1849" s="9">
        <f>M1848+J1849</f>
        <v/>
      </c>
    </row>
    <row r="1850">
      <c r="A1850" s="2" t="inlineStr">
        <is>
          <t>2025-10-03</t>
        </is>
      </c>
      <c r="B1850" s="2" t="inlineStr">
        <is>
          <t>Friday</t>
        </is>
      </c>
      <c r="C1850" s="2" t="inlineStr">
        <is>
          <t>MNQZ5</t>
        </is>
      </c>
      <c r="D1850" s="3" t="n">
        <v>25166.75</v>
      </c>
      <c r="E1850" s="3" t="n">
        <v>25113.75</v>
      </c>
      <c r="F1850" s="3">
        <f>D1850-E1850</f>
        <v/>
      </c>
      <c r="G1850" s="2" t="inlineStr">
        <is>
          <t>Short</t>
        </is>
      </c>
      <c r="H1850" s="3" t="n">
        <v>25113.75</v>
      </c>
      <c r="I1850" s="3" t="n">
        <v>25060.75</v>
      </c>
      <c r="J1850" s="3">
        <f>IF(G1850="Long",I1850-H1850,IF(G1850="Short",H1850-I1850,0))</f>
        <v/>
      </c>
      <c r="K1850" s="4" t="n">
        <v>0</v>
      </c>
      <c r="L1850" s="2" t="inlineStr">
        <is>
          <t>Win</t>
        </is>
      </c>
      <c r="M1850" s="3">
        <f>M1849+J1850</f>
        <v/>
      </c>
    </row>
    <row r="1851">
      <c r="A1851" s="2" t="inlineStr">
        <is>
          <t>2025-10-03</t>
        </is>
      </c>
      <c r="B1851" s="2" t="inlineStr">
        <is>
          <t>Friday</t>
        </is>
      </c>
      <c r="C1851" s="2" t="inlineStr">
        <is>
          <t>MNQZ5</t>
        </is>
      </c>
      <c r="D1851" s="3" t="n">
        <v>25166.75</v>
      </c>
      <c r="E1851" s="3" t="n">
        <v>25113.75</v>
      </c>
      <c r="F1851" s="3">
        <f>D1851-E1851</f>
        <v/>
      </c>
      <c r="G1851" s="2" t="inlineStr">
        <is>
          <t>Short</t>
        </is>
      </c>
      <c r="H1851" s="3" t="n">
        <v>25113.75</v>
      </c>
      <c r="I1851" s="3" t="n">
        <v>25060.75</v>
      </c>
      <c r="J1851" s="3">
        <f>IF(G1851="Long",I1851-H1851,IF(G1851="Short",H1851-I1851,0))</f>
        <v/>
      </c>
      <c r="K1851" s="4" t="n">
        <v>79.72</v>
      </c>
      <c r="L1851" s="2" t="inlineStr">
        <is>
          <t>Win</t>
        </is>
      </c>
      <c r="M1851" s="3">
        <f>M1850+J1851</f>
        <v/>
      </c>
    </row>
    <row r="1852">
      <c r="A1852" s="8" t="inlineStr">
        <is>
          <t>2025-10-06</t>
        </is>
      </c>
      <c r="B1852" s="8" t="inlineStr">
        <is>
          <t>Monday</t>
        </is>
      </c>
      <c r="C1852" s="8" t="inlineStr">
        <is>
          <t>MNQZ5</t>
        </is>
      </c>
      <c r="D1852" s="9" t="n">
        <v>25221.75</v>
      </c>
      <c r="E1852" s="9" t="n">
        <v>25117</v>
      </c>
      <c r="F1852" s="9">
        <f>D1852-E1852</f>
        <v/>
      </c>
      <c r="G1852" s="8" t="inlineStr">
        <is>
          <t>Long</t>
        </is>
      </c>
      <c r="H1852" s="9" t="n">
        <v>25221.75</v>
      </c>
      <c r="I1852" s="9" t="n">
        <v>25184</v>
      </c>
      <c r="J1852" s="9">
        <f>IF(G1852="Long",I1852-H1852,IF(G1852="Short",H1852-I1852,0))</f>
        <v/>
      </c>
      <c r="K1852" s="10" t="n">
        <v>39.62</v>
      </c>
      <c r="L1852" s="8" t="inlineStr">
        <is>
          <t>EOD-Close</t>
        </is>
      </c>
      <c r="M1852" s="9">
        <f>M1851+J1852</f>
        <v/>
      </c>
    </row>
    <row r="1853">
      <c r="A1853" s="2" t="inlineStr">
        <is>
          <t>2025-10-07</t>
        </is>
      </c>
      <c r="B1853" s="2" t="inlineStr">
        <is>
          <t>Tuesday</t>
        </is>
      </c>
      <c r="C1853" s="2" t="inlineStr">
        <is>
          <t>MNQZ5</t>
        </is>
      </c>
      <c r="D1853" s="3" t="n">
        <v>25263</v>
      </c>
      <c r="E1853" s="3" t="n">
        <v>25217</v>
      </c>
      <c r="F1853" s="3">
        <f>D1853-E1853</f>
        <v/>
      </c>
      <c r="G1853" s="2" t="inlineStr">
        <is>
          <t>Short</t>
        </is>
      </c>
      <c r="H1853" s="3" t="n">
        <v>25217</v>
      </c>
      <c r="I1853" s="3" t="n">
        <v>25171</v>
      </c>
      <c r="J1853" s="3">
        <f>IF(G1853="Long",I1853-H1853,IF(G1853="Short",H1853-I1853,0))</f>
        <v/>
      </c>
      <c r="K1853" s="4" t="n">
        <v>30.98</v>
      </c>
      <c r="L1853" s="2" t="inlineStr">
        <is>
          <t>Win</t>
        </is>
      </c>
      <c r="M1853" s="3">
        <f>M1852+J1853</f>
        <v/>
      </c>
    </row>
    <row r="1854">
      <c r="A1854" s="2" t="inlineStr">
        <is>
          <t>2025-10-08</t>
        </is>
      </c>
      <c r="B1854" s="2" t="inlineStr">
        <is>
          <t>Wednesday</t>
        </is>
      </c>
      <c r="C1854" s="2" t="inlineStr">
        <is>
          <t>MNQZ5</t>
        </is>
      </c>
      <c r="D1854" s="3" t="n">
        <v>25152.75</v>
      </c>
      <c r="E1854" s="3" t="n">
        <v>25073.25</v>
      </c>
      <c r="F1854" s="3">
        <f>D1854-E1854</f>
        <v/>
      </c>
      <c r="G1854" s="2" t="inlineStr">
        <is>
          <t>Long</t>
        </is>
      </c>
      <c r="H1854" s="3" t="n">
        <v>25152.75</v>
      </c>
      <c r="I1854" s="3" t="n">
        <v>25232.25</v>
      </c>
      <c r="J1854" s="3">
        <f>IF(G1854="Long",I1854-H1854,IF(G1854="Short",H1854-I1854,0))</f>
        <v/>
      </c>
      <c r="K1854" s="4" t="n">
        <v>12.58</v>
      </c>
      <c r="L1854" s="2" t="inlineStr">
        <is>
          <t>Win</t>
        </is>
      </c>
      <c r="M1854" s="3">
        <f>M1853+J1854</f>
        <v/>
      </c>
    </row>
    <row r="1855">
      <c r="A1855" s="2" t="inlineStr">
        <is>
          <t>2025-10-09</t>
        </is>
      </c>
      <c r="B1855" s="2" t="inlineStr">
        <is>
          <t>Thursday</t>
        </is>
      </c>
      <c r="C1855" s="2" t="inlineStr">
        <is>
          <t>MNQZ5</t>
        </is>
      </c>
      <c r="D1855" s="3" t="n">
        <v>25334.75</v>
      </c>
      <c r="E1855" s="3" t="n">
        <v>25258.75</v>
      </c>
      <c r="F1855" s="3">
        <f>D1855-E1855</f>
        <v/>
      </c>
      <c r="G1855" s="2" t="inlineStr">
        <is>
          <t>Short</t>
        </is>
      </c>
      <c r="H1855" s="3" t="n">
        <v>25258.75</v>
      </c>
      <c r="I1855" s="3" t="n">
        <v>25182.75</v>
      </c>
      <c r="J1855" s="3">
        <f>IF(G1855="Long",I1855-H1855,IF(G1855="Short",H1855-I1855,0))</f>
        <v/>
      </c>
      <c r="K1855" s="4" t="n">
        <v>21.05</v>
      </c>
      <c r="L1855" s="2" t="inlineStr">
        <is>
          <t>Win</t>
        </is>
      </c>
      <c r="M1855" s="3">
        <f>M1854+J1855</f>
        <v/>
      </c>
    </row>
    <row r="1856">
      <c r="A1856" s="8" t="inlineStr">
        <is>
          <t>2025-10-09</t>
        </is>
      </c>
      <c r="B1856" s="8" t="inlineStr">
        <is>
          <t>Thursday</t>
        </is>
      </c>
      <c r="C1856" s="8" t="inlineStr">
        <is>
          <t>MNQZ5</t>
        </is>
      </c>
      <c r="D1856" s="9" t="n">
        <v>25334.75</v>
      </c>
      <c r="E1856" s="9" t="n">
        <v>25258.75</v>
      </c>
      <c r="F1856" s="9">
        <f>D1856-E1856</f>
        <v/>
      </c>
      <c r="G1856" s="8" t="inlineStr">
        <is>
          <t>Short</t>
        </is>
      </c>
      <c r="H1856" s="9" t="n">
        <v>25258.75</v>
      </c>
      <c r="I1856" s="9" t="n">
        <v>25294.75</v>
      </c>
      <c r="J1856" s="9">
        <f>IF(G1856="Long",I1856-H1856,IF(G1856="Short",H1856-I1856,0))</f>
        <v/>
      </c>
      <c r="K1856" s="10" t="n">
        <v>48.36</v>
      </c>
      <c r="L1856" s="8" t="inlineStr">
        <is>
          <t>EOD-Close</t>
        </is>
      </c>
      <c r="M1856" s="9">
        <f>M1855+J1856</f>
        <v/>
      </c>
    </row>
    <row r="1857">
      <c r="A1857" s="2" t="inlineStr">
        <is>
          <t>2025-10-10</t>
        </is>
      </c>
      <c r="B1857" s="2" t="inlineStr">
        <is>
          <t>Friday</t>
        </is>
      </c>
      <c r="C1857" s="2" t="inlineStr">
        <is>
          <t>MNQZ5</t>
        </is>
      </c>
      <c r="D1857" s="3" t="n">
        <v>25376.75</v>
      </c>
      <c r="E1857" s="3" t="n">
        <v>25293.75</v>
      </c>
      <c r="F1857" s="3">
        <f>D1857-E1857</f>
        <v/>
      </c>
      <c r="G1857" s="2" t="inlineStr">
        <is>
          <t>Short</t>
        </is>
      </c>
      <c r="H1857" s="3" t="n">
        <v>25293.75</v>
      </c>
      <c r="I1857" s="3" t="n">
        <v>25210.75</v>
      </c>
      <c r="J1857" s="3">
        <f>IF(G1857="Long",I1857-H1857,IF(G1857="Short",H1857-I1857,0))</f>
        <v/>
      </c>
      <c r="K1857" s="4" t="n">
        <v>0</v>
      </c>
      <c r="L1857" s="2" t="inlineStr">
        <is>
          <t>Win</t>
        </is>
      </c>
      <c r="M1857" s="3">
        <f>M1856+J1857</f>
        <v/>
      </c>
    </row>
    <row r="1858">
      <c r="A1858" s="2" t="inlineStr">
        <is>
          <t>2025-10-13</t>
        </is>
      </c>
      <c r="B1858" s="2" t="inlineStr">
        <is>
          <t>Monday</t>
        </is>
      </c>
      <c r="C1858" s="2" t="inlineStr">
        <is>
          <t>MNQZ5</t>
        </is>
      </c>
      <c r="D1858" s="3" t="n">
        <v>24842.75</v>
      </c>
      <c r="E1858" s="3" t="n">
        <v>24724.5</v>
      </c>
      <c r="F1858" s="3">
        <f>D1858-E1858</f>
        <v/>
      </c>
      <c r="G1858" s="2" t="inlineStr">
        <is>
          <t>Long</t>
        </is>
      </c>
      <c r="H1858" s="3" t="n">
        <v>24842.75</v>
      </c>
      <c r="I1858" s="3" t="n">
        <v>24961</v>
      </c>
      <c r="J1858" s="3">
        <f>IF(G1858="Long",I1858-H1858,IF(G1858="Short",H1858-I1858,0))</f>
        <v/>
      </c>
      <c r="K1858" s="4" t="n">
        <v>83.93000000000001</v>
      </c>
      <c r="L1858" s="2" t="inlineStr">
        <is>
          <t>Win</t>
        </is>
      </c>
      <c r="M1858" s="3">
        <f>M1857+J1858</f>
        <v/>
      </c>
    </row>
    <row r="1859">
      <c r="A1859" s="2" t="inlineStr">
        <is>
          <t>2025-10-14</t>
        </is>
      </c>
      <c r="B1859" s="2" t="inlineStr">
        <is>
          <t>Tuesday</t>
        </is>
      </c>
      <c r="C1859" s="2" t="inlineStr">
        <is>
          <t>MNQZ5</t>
        </is>
      </c>
      <c r="D1859" s="3" t="n">
        <v>24642</v>
      </c>
      <c r="E1859" s="3" t="n">
        <v>24430.25</v>
      </c>
      <c r="F1859" s="3">
        <f>D1859-E1859</f>
        <v/>
      </c>
      <c r="G1859" s="2" t="inlineStr">
        <is>
          <t>Long</t>
        </is>
      </c>
      <c r="H1859" s="3" t="n">
        <v>24642</v>
      </c>
      <c r="I1859" s="3" t="n">
        <v>24853.75</v>
      </c>
      <c r="J1859" s="3">
        <f>IF(G1859="Long",I1859-H1859,IF(G1859="Short",H1859-I1859,0))</f>
        <v/>
      </c>
      <c r="K1859" s="4" t="n">
        <v>0</v>
      </c>
      <c r="L1859" s="2" t="inlineStr">
        <is>
          <t>Win</t>
        </is>
      </c>
      <c r="M1859" s="3">
        <f>M1858+J1859</f>
        <v/>
      </c>
    </row>
    <row r="1860">
      <c r="A1860" s="5" t="inlineStr">
        <is>
          <t>2025-10-15</t>
        </is>
      </c>
      <c r="B1860" s="5" t="inlineStr">
        <is>
          <t>Wednesday</t>
        </is>
      </c>
      <c r="C1860" s="5" t="inlineStr">
        <is>
          <t>MNQZ5</t>
        </is>
      </c>
      <c r="D1860" s="6" t="n">
        <v>25004.25</v>
      </c>
      <c r="E1860" s="6" t="n">
        <v>24920.5</v>
      </c>
      <c r="F1860" s="6">
        <f>D1860-E1860</f>
        <v/>
      </c>
      <c r="G1860" s="5" t="inlineStr">
        <is>
          <t>Short</t>
        </is>
      </c>
      <c r="H1860" s="6" t="n">
        <v>24920.5</v>
      </c>
      <c r="I1860" s="6" t="n">
        <v>25004.25</v>
      </c>
      <c r="J1860" s="6">
        <f>IF(G1860="Long",I1860-H1860,IF(G1860="Short",H1860-I1860,0))</f>
        <v/>
      </c>
      <c r="K1860" s="7" t="n">
        <v>100</v>
      </c>
      <c r="L1860" s="5" t="inlineStr">
        <is>
          <t>Loss</t>
        </is>
      </c>
      <c r="M1860" s="6">
        <f>M1859+J1860</f>
        <v/>
      </c>
    </row>
    <row r="1861">
      <c r="A1861" s="2" t="inlineStr">
        <is>
          <t>2025-10-15</t>
        </is>
      </c>
      <c r="B1861" s="2" t="inlineStr">
        <is>
          <t>Wednesday</t>
        </is>
      </c>
      <c r="C1861" s="2" t="inlineStr">
        <is>
          <t>MNQZ5</t>
        </is>
      </c>
      <c r="D1861" s="3" t="n">
        <v>25004.25</v>
      </c>
      <c r="E1861" s="3" t="n">
        <v>24920.5</v>
      </c>
      <c r="F1861" s="3">
        <f>D1861-E1861</f>
        <v/>
      </c>
      <c r="G1861" s="2" t="inlineStr">
        <is>
          <t>Long</t>
        </is>
      </c>
      <c r="H1861" s="3" t="n">
        <v>25004.25</v>
      </c>
      <c r="I1861" s="3" t="n">
        <v>25088</v>
      </c>
      <c r="J1861" s="3">
        <f>IF(G1861="Long",I1861-H1861,IF(G1861="Short",H1861-I1861,0))</f>
        <v/>
      </c>
      <c r="K1861" s="4" t="n">
        <v>0</v>
      </c>
      <c r="L1861" s="2" t="inlineStr">
        <is>
          <t>Win</t>
        </is>
      </c>
      <c r="M1861" s="3">
        <f>M1860+J1861</f>
        <v/>
      </c>
    </row>
    <row r="1862">
      <c r="A1862" s="2" t="inlineStr">
        <is>
          <t>2025-10-16</t>
        </is>
      </c>
      <c r="B1862" s="2" t="inlineStr">
        <is>
          <t>Thursday</t>
        </is>
      </c>
      <c r="C1862" s="2" t="inlineStr">
        <is>
          <t>MNQZ5</t>
        </is>
      </c>
      <c r="D1862" s="3" t="n">
        <v>25106</v>
      </c>
      <c r="E1862" s="3" t="n">
        <v>25036</v>
      </c>
      <c r="F1862" s="3">
        <f>D1862-E1862</f>
        <v/>
      </c>
      <c r="G1862" s="2" t="inlineStr">
        <is>
          <t>Long</t>
        </is>
      </c>
      <c r="H1862" s="3" t="n">
        <v>25106</v>
      </c>
      <c r="I1862" s="3" t="n">
        <v>25176</v>
      </c>
      <c r="J1862" s="3">
        <f>IF(G1862="Long",I1862-H1862,IF(G1862="Short",H1862-I1862,0))</f>
        <v/>
      </c>
      <c r="K1862" s="4" t="n">
        <v>3.21</v>
      </c>
      <c r="L1862" s="2" t="inlineStr">
        <is>
          <t>Win</t>
        </is>
      </c>
      <c r="M1862" s="3">
        <f>M1861+J1862</f>
        <v/>
      </c>
    </row>
    <row r="1863">
      <c r="A1863" s="5" t="inlineStr">
        <is>
          <t>2025-10-16</t>
        </is>
      </c>
      <c r="B1863" s="5" t="inlineStr">
        <is>
          <t>Thursday</t>
        </is>
      </c>
      <c r="C1863" s="5" t="inlineStr">
        <is>
          <t>MNQZ5</t>
        </is>
      </c>
      <c r="D1863" s="6" t="n">
        <v>25106</v>
      </c>
      <c r="E1863" s="6" t="n">
        <v>25036</v>
      </c>
      <c r="F1863" s="6">
        <f>D1863-E1863</f>
        <v/>
      </c>
      <c r="G1863" s="5" t="inlineStr">
        <is>
          <t>Long</t>
        </is>
      </c>
      <c r="H1863" s="6" t="n">
        <v>25106</v>
      </c>
      <c r="I1863" s="6" t="n">
        <v>25036</v>
      </c>
      <c r="J1863" s="6">
        <f>IF(G1863="Long",I1863-H1863,IF(G1863="Short",H1863-I1863,0))</f>
        <v/>
      </c>
      <c r="K1863" s="7" t="n">
        <v>100</v>
      </c>
      <c r="L1863" s="5" t="inlineStr">
        <is>
          <t>Loss</t>
        </is>
      </c>
      <c r="M1863" s="6">
        <f>M1862+J1863</f>
        <v/>
      </c>
    </row>
    <row r="1864">
      <c r="A1864" s="2" t="inlineStr">
        <is>
          <t>2025-10-17</t>
        </is>
      </c>
      <c r="B1864" s="2" t="inlineStr">
        <is>
          <t>Friday</t>
        </is>
      </c>
      <c r="C1864" s="2" t="inlineStr">
        <is>
          <t>MNQZ5</t>
        </is>
      </c>
      <c r="D1864" s="3" t="n">
        <v>24817.75</v>
      </c>
      <c r="E1864" s="3" t="n">
        <v>24672.25</v>
      </c>
      <c r="F1864" s="3">
        <f>D1864-E1864</f>
        <v/>
      </c>
      <c r="G1864" s="2" t="inlineStr">
        <is>
          <t>Long</t>
        </is>
      </c>
      <c r="H1864" s="3" t="n">
        <v>24817.75</v>
      </c>
      <c r="I1864" s="3" t="n">
        <v>24963.25</v>
      </c>
      <c r="J1864" s="3">
        <f>IF(G1864="Long",I1864-H1864,IF(G1864="Short",H1864-I1864,0))</f>
        <v/>
      </c>
      <c r="K1864" s="4" t="n">
        <v>98.45</v>
      </c>
      <c r="L1864" s="2" t="inlineStr">
        <is>
          <t>Win</t>
        </is>
      </c>
      <c r="M1864" s="3">
        <f>M1863+J1864</f>
        <v/>
      </c>
    </row>
    <row r="1865">
      <c r="A1865" s="2" t="inlineStr">
        <is>
          <t>2025-10-20</t>
        </is>
      </c>
      <c r="B1865" s="2" t="inlineStr">
        <is>
          <t>Monday</t>
        </is>
      </c>
      <c r="C1865" s="2" t="inlineStr">
        <is>
          <t>MNQZ5</t>
        </is>
      </c>
      <c r="D1865" s="3" t="n">
        <v>25224.75</v>
      </c>
      <c r="E1865" s="3" t="n">
        <v>25114.75</v>
      </c>
      <c r="F1865" s="3">
        <f>D1865-E1865</f>
        <v/>
      </c>
      <c r="G1865" s="2" t="inlineStr">
        <is>
          <t>Long</t>
        </is>
      </c>
      <c r="H1865" s="3" t="n">
        <v>25224.75</v>
      </c>
      <c r="I1865" s="3" t="n">
        <v>25334.75</v>
      </c>
      <c r="J1865" s="3">
        <f>IF(G1865="Long",I1865-H1865,IF(G1865="Short",H1865-I1865,0))</f>
        <v/>
      </c>
      <c r="K1865" s="4" t="n">
        <v>20.68</v>
      </c>
      <c r="L1865" s="2" t="inlineStr">
        <is>
          <t>Win</t>
        </is>
      </c>
      <c r="M1865" s="3">
        <f>M1864+J1865</f>
        <v/>
      </c>
    </row>
    <row r="1866">
      <c r="A1866" s="5" t="inlineStr">
        <is>
          <t>2025-10-21</t>
        </is>
      </c>
      <c r="B1866" s="5" t="inlineStr">
        <is>
          <t>Tuesday</t>
        </is>
      </c>
      <c r="C1866" s="5" t="inlineStr">
        <is>
          <t>MNQZ5</t>
        </is>
      </c>
      <c r="D1866" s="6" t="n">
        <v>25304.5</v>
      </c>
      <c r="E1866" s="6" t="n">
        <v>25233</v>
      </c>
      <c r="F1866" s="6">
        <f>D1866-E1866</f>
        <v/>
      </c>
      <c r="G1866" s="5" t="inlineStr">
        <is>
          <t>Short</t>
        </is>
      </c>
      <c r="H1866" s="6" t="n">
        <v>25233</v>
      </c>
      <c r="I1866" s="6" t="n">
        <v>25304.5</v>
      </c>
      <c r="J1866" s="6">
        <f>IF(G1866="Long",I1866-H1866,IF(G1866="Short",H1866-I1866,0))</f>
        <v/>
      </c>
      <c r="K1866" s="7" t="n">
        <v>100</v>
      </c>
      <c r="L1866" s="5" t="inlineStr">
        <is>
          <t>Loss</t>
        </is>
      </c>
      <c r="M1866" s="6">
        <f>M1865+J1866</f>
        <v/>
      </c>
    </row>
    <row r="1867">
      <c r="A1867" s="8" t="inlineStr">
        <is>
          <t>2025-10-21</t>
        </is>
      </c>
      <c r="B1867" s="8" t="inlineStr">
        <is>
          <t>Tuesday</t>
        </is>
      </c>
      <c r="C1867" s="8" t="inlineStr">
        <is>
          <t>MNQZ5</t>
        </is>
      </c>
      <c r="D1867" s="9" t="n">
        <v>25304.5</v>
      </c>
      <c r="E1867" s="9" t="n">
        <v>25233</v>
      </c>
      <c r="F1867" s="9">
        <f>D1867-E1867</f>
        <v/>
      </c>
      <c r="G1867" s="8" t="inlineStr">
        <is>
          <t>Long</t>
        </is>
      </c>
      <c r="H1867" s="9" t="n">
        <v>25304.5</v>
      </c>
      <c r="I1867" s="9" t="n">
        <v>25291.25</v>
      </c>
      <c r="J1867" s="9">
        <f>IF(G1867="Long",I1867-H1867,IF(G1867="Short",H1867-I1867,0))</f>
        <v/>
      </c>
      <c r="K1867" s="10" t="n">
        <v>76.22</v>
      </c>
      <c r="L1867" s="8" t="inlineStr">
        <is>
          <t>EOD-Close</t>
        </is>
      </c>
      <c r="M1867" s="9">
        <f>M1866+J1867</f>
        <v/>
      </c>
    </row>
    <row r="1868">
      <c r="A1868" s="5" t="inlineStr">
        <is>
          <t>2025-10-22</t>
        </is>
      </c>
      <c r="B1868" s="5" t="inlineStr">
        <is>
          <t>Wednesday</t>
        </is>
      </c>
      <c r="C1868" s="5" t="inlineStr">
        <is>
          <t>MNQZ5</t>
        </is>
      </c>
      <c r="D1868" s="6" t="n">
        <v>25271.5</v>
      </c>
      <c r="E1868" s="6" t="n">
        <v>25172.75</v>
      </c>
      <c r="F1868" s="6">
        <f>D1868-E1868</f>
        <v/>
      </c>
      <c r="G1868" s="5" t="inlineStr">
        <is>
          <t>Long</t>
        </is>
      </c>
      <c r="H1868" s="6" t="n">
        <v>25271.5</v>
      </c>
      <c r="I1868" s="6" t="n">
        <v>25172.75</v>
      </c>
      <c r="J1868" s="6">
        <f>IF(G1868="Long",I1868-H1868,IF(G1868="Short",H1868-I1868,0))</f>
        <v/>
      </c>
      <c r="K1868" s="7" t="n">
        <v>100</v>
      </c>
      <c r="L1868" s="5" t="inlineStr">
        <is>
          <t>Loss</t>
        </is>
      </c>
      <c r="M1868" s="6">
        <f>M1867+J1868</f>
        <v/>
      </c>
    </row>
    <row r="1869">
      <c r="A1869" s="2" t="inlineStr">
        <is>
          <t>2025-10-22</t>
        </is>
      </c>
      <c r="B1869" s="2" t="inlineStr">
        <is>
          <t>Wednesday</t>
        </is>
      </c>
      <c r="C1869" s="2" t="inlineStr">
        <is>
          <t>MNQZ5</t>
        </is>
      </c>
      <c r="D1869" s="3" t="n">
        <v>25271.5</v>
      </c>
      <c r="E1869" s="3" t="n">
        <v>25172.75</v>
      </c>
      <c r="F1869" s="3">
        <f>D1869-E1869</f>
        <v/>
      </c>
      <c r="G1869" s="2" t="inlineStr">
        <is>
          <t>Short</t>
        </is>
      </c>
      <c r="H1869" s="3" t="n">
        <v>25172.75</v>
      </c>
      <c r="I1869" s="3" t="n">
        <v>25074</v>
      </c>
      <c r="J1869" s="3">
        <f>IF(G1869="Long",I1869-H1869,IF(G1869="Short",H1869-I1869,0))</f>
        <v/>
      </c>
      <c r="K1869" s="4" t="n">
        <v>0</v>
      </c>
      <c r="L1869" s="2" t="inlineStr">
        <is>
          <t>Win</t>
        </is>
      </c>
      <c r="M1869" s="3">
        <f>M1868+J1869</f>
        <v/>
      </c>
    </row>
    <row r="1870">
      <c r="A1870" s="2" t="inlineStr">
        <is>
          <t>2025-10-23</t>
        </is>
      </c>
      <c r="B1870" s="2" t="inlineStr">
        <is>
          <t>Thursday</t>
        </is>
      </c>
      <c r="C1870" s="2" t="inlineStr">
        <is>
          <t>MNQZ5</t>
        </is>
      </c>
      <c r="D1870" s="3" t="n">
        <v>25092.75</v>
      </c>
      <c r="E1870" s="3" t="n">
        <v>24998.75</v>
      </c>
      <c r="F1870" s="3">
        <f>D1870-E1870</f>
        <v/>
      </c>
      <c r="G1870" s="2" t="inlineStr">
        <is>
          <t>Long</t>
        </is>
      </c>
      <c r="H1870" s="3" t="n">
        <v>25092.75</v>
      </c>
      <c r="I1870" s="3" t="n">
        <v>25186.75</v>
      </c>
      <c r="J1870" s="3">
        <f>IF(G1870="Long",I1870-H1870,IF(G1870="Short",H1870-I1870,0))</f>
        <v/>
      </c>
      <c r="K1870" s="4" t="n">
        <v>9.57</v>
      </c>
      <c r="L1870" s="2" t="inlineStr">
        <is>
          <t>Win</t>
        </is>
      </c>
      <c r="M1870" s="3">
        <f>M1869+J1870</f>
        <v/>
      </c>
    </row>
    <row r="1871">
      <c r="A1871" s="8" t="inlineStr">
        <is>
          <t>2025-10-24</t>
        </is>
      </c>
      <c r="B1871" s="8" t="inlineStr">
        <is>
          <t>Friday</t>
        </is>
      </c>
      <c r="C1871" s="8" t="inlineStr">
        <is>
          <t>MNQZ5</t>
        </is>
      </c>
      <c r="D1871" s="9" t="n">
        <v>25530.75</v>
      </c>
      <c r="E1871" s="9" t="n">
        <v>25430</v>
      </c>
      <c r="F1871" s="9">
        <f>D1871-E1871</f>
        <v/>
      </c>
      <c r="G1871" s="8" t="inlineStr">
        <is>
          <t>Long</t>
        </is>
      </c>
      <c r="H1871" s="9" t="n">
        <v>25530.75</v>
      </c>
      <c r="I1871" s="9" t="n">
        <v>25509</v>
      </c>
      <c r="J1871" s="9">
        <f>IF(G1871="Long",I1871-H1871,IF(G1871="Short",H1871-I1871,0))</f>
        <v/>
      </c>
      <c r="K1871" s="10" t="n">
        <v>97.52</v>
      </c>
      <c r="L1871" s="8" t="inlineStr">
        <is>
          <t>EOD-Close</t>
        </is>
      </c>
      <c r="M1871" s="9">
        <f>M1870+J1871</f>
        <v/>
      </c>
    </row>
    <row r="1872">
      <c r="A1872" s="2" t="inlineStr">
        <is>
          <t>2025-10-27</t>
        </is>
      </c>
      <c r="B1872" s="2" t="inlineStr">
        <is>
          <t>Monday</t>
        </is>
      </c>
      <c r="C1872" s="2" t="inlineStr">
        <is>
          <t>MNQZ5</t>
        </is>
      </c>
      <c r="D1872" s="3" t="n">
        <v>25859.75</v>
      </c>
      <c r="E1872" s="3" t="n">
        <v>25796.25</v>
      </c>
      <c r="F1872" s="3">
        <f>D1872-E1872</f>
        <v/>
      </c>
      <c r="G1872" s="2" t="inlineStr">
        <is>
          <t>Long</t>
        </is>
      </c>
      <c r="H1872" s="3" t="n">
        <v>25859.75</v>
      </c>
      <c r="I1872" s="3" t="n">
        <v>25923.25</v>
      </c>
      <c r="J1872" s="3">
        <f>IF(G1872="Long",I1872-H1872,IF(G1872="Short",H1872-I1872,0))</f>
        <v/>
      </c>
      <c r="K1872" s="4" t="n">
        <v>59.45</v>
      </c>
      <c r="L1872" s="2" t="inlineStr">
        <is>
          <t>Win</t>
        </is>
      </c>
      <c r="M1872" s="3">
        <f>M1871+J1872</f>
        <v/>
      </c>
    </row>
    <row r="1873">
      <c r="A1873" s="5" t="inlineStr">
        <is>
          <t>2025-10-28</t>
        </is>
      </c>
      <c r="B1873" s="5" t="inlineStr">
        <is>
          <t>Tuesday</t>
        </is>
      </c>
      <c r="C1873" s="5" t="inlineStr">
        <is>
          <t>MNQZ5</t>
        </is>
      </c>
      <c r="D1873" s="6" t="n">
        <v>26094</v>
      </c>
      <c r="E1873" s="6" t="n">
        <v>26041.75</v>
      </c>
      <c r="F1873" s="6">
        <f>D1873-E1873</f>
        <v/>
      </c>
      <c r="G1873" s="5" t="inlineStr">
        <is>
          <t>Short</t>
        </is>
      </c>
      <c r="H1873" s="6" t="n">
        <v>26041.75</v>
      </c>
      <c r="I1873" s="6" t="n">
        <v>26094</v>
      </c>
      <c r="J1873" s="6">
        <f>IF(G1873="Long",I1873-H1873,IF(G1873="Short",H1873-I1873,0))</f>
        <v/>
      </c>
      <c r="K1873" s="7" t="n">
        <v>100</v>
      </c>
      <c r="L1873" s="5" t="inlineStr">
        <is>
          <t>Loss</t>
        </is>
      </c>
      <c r="M1873" s="6">
        <f>M1872+J1873</f>
        <v/>
      </c>
    </row>
    <row r="1874">
      <c r="A1874" s="2" t="inlineStr">
        <is>
          <t>2025-10-28</t>
        </is>
      </c>
      <c r="B1874" s="2" t="inlineStr">
        <is>
          <t>Tuesday</t>
        </is>
      </c>
      <c r="C1874" s="2" t="inlineStr">
        <is>
          <t>MNQZ5</t>
        </is>
      </c>
      <c r="D1874" s="3" t="n">
        <v>26094</v>
      </c>
      <c r="E1874" s="3" t="n">
        <v>26041.75</v>
      </c>
      <c r="F1874" s="3">
        <f>D1874-E1874</f>
        <v/>
      </c>
      <c r="G1874" s="2" t="inlineStr">
        <is>
          <t>Long</t>
        </is>
      </c>
      <c r="H1874" s="3" t="n">
        <v>26094</v>
      </c>
      <c r="I1874" s="3" t="n">
        <v>26146.25</v>
      </c>
      <c r="J1874" s="3">
        <f>IF(G1874="Long",I1874-H1874,IF(G1874="Short",H1874-I1874,0))</f>
        <v/>
      </c>
      <c r="K1874" s="4" t="n">
        <v>6.22</v>
      </c>
      <c r="L1874" s="2" t="inlineStr">
        <is>
          <t>Win</t>
        </is>
      </c>
      <c r="M1874" s="3">
        <f>M1873+J1874</f>
        <v/>
      </c>
    </row>
    <row r="1875">
      <c r="A1875" s="5" t="inlineStr">
        <is>
          <t>2025-10-29</t>
        </is>
      </c>
      <c r="B1875" s="5" t="inlineStr">
        <is>
          <t>Wednesday</t>
        </is>
      </c>
      <c r="C1875" s="5" t="inlineStr">
        <is>
          <t>MNQZ5</t>
        </is>
      </c>
      <c r="D1875" s="6" t="n">
        <v>26292.5</v>
      </c>
      <c r="E1875" s="6" t="n">
        <v>26254.25</v>
      </c>
      <c r="F1875" s="6">
        <f>D1875-E1875</f>
        <v/>
      </c>
      <c r="G1875" s="5" t="inlineStr">
        <is>
          <t>Long</t>
        </is>
      </c>
      <c r="H1875" s="6" t="n">
        <v>26292.5</v>
      </c>
      <c r="I1875" s="6" t="n">
        <v>26254.25</v>
      </c>
      <c r="J1875" s="6">
        <f>IF(G1875="Long",I1875-H1875,IF(G1875="Short",H1875-I1875,0))</f>
        <v/>
      </c>
      <c r="K1875" s="7" t="n">
        <v>100</v>
      </c>
      <c r="L1875" s="5" t="inlineStr">
        <is>
          <t>Loss</t>
        </is>
      </c>
      <c r="M1875" s="6">
        <f>M1874+J1875</f>
        <v/>
      </c>
    </row>
    <row r="1876">
      <c r="A1876" s="2" t="inlineStr">
        <is>
          <t>2025-10-29</t>
        </is>
      </c>
      <c r="B1876" s="2" t="inlineStr">
        <is>
          <t>Wednesday</t>
        </is>
      </c>
      <c r="C1876" s="2" t="inlineStr">
        <is>
          <t>MNQZ5</t>
        </is>
      </c>
      <c r="D1876" s="3" t="n">
        <v>26292.5</v>
      </c>
      <c r="E1876" s="3" t="n">
        <v>26254.25</v>
      </c>
      <c r="F1876" s="3">
        <f>D1876-E1876</f>
        <v/>
      </c>
      <c r="G1876" s="2" t="inlineStr">
        <is>
          <t>Short</t>
        </is>
      </c>
      <c r="H1876" s="3" t="n">
        <v>26254.25</v>
      </c>
      <c r="I1876" s="3" t="n">
        <v>26216</v>
      </c>
      <c r="J1876" s="3">
        <f>IF(G1876="Long",I1876-H1876,IF(G1876="Short",H1876-I1876,0))</f>
        <v/>
      </c>
      <c r="K1876" s="4" t="n">
        <v>13.73</v>
      </c>
      <c r="L1876" s="2" t="inlineStr">
        <is>
          <t>Win</t>
        </is>
      </c>
      <c r="M1876" s="3">
        <f>M1875+J1876</f>
        <v/>
      </c>
    </row>
    <row r="1877">
      <c r="A1877" s="5" t="inlineStr">
        <is>
          <t>2025-10-30</t>
        </is>
      </c>
      <c r="B1877" s="5" t="inlineStr">
        <is>
          <t>Thursday</t>
        </is>
      </c>
      <c r="C1877" s="5" t="inlineStr">
        <is>
          <t>MNQZ5</t>
        </is>
      </c>
      <c r="D1877" s="6" t="n">
        <v>26127.5</v>
      </c>
      <c r="E1877" s="6" t="n">
        <v>25941.5</v>
      </c>
      <c r="F1877" s="6">
        <f>D1877-E1877</f>
        <v/>
      </c>
      <c r="G1877" s="5" t="inlineStr">
        <is>
          <t>Long</t>
        </is>
      </c>
      <c r="H1877" s="6" t="n">
        <v>26127.5</v>
      </c>
      <c r="I1877" s="6" t="n">
        <v>25941.5</v>
      </c>
      <c r="J1877" s="6">
        <f>IF(G1877="Long",I1877-H1877,IF(G1877="Short",H1877-I1877,0))</f>
        <v/>
      </c>
      <c r="K1877" s="7" t="n">
        <v>100</v>
      </c>
      <c r="L1877" s="5" t="inlineStr">
        <is>
          <t>Loss</t>
        </is>
      </c>
      <c r="M1877" s="6">
        <f>M1876+J1877</f>
        <v/>
      </c>
    </row>
    <row r="1878">
      <c r="A1878" s="8" t="inlineStr">
        <is>
          <t>2025-10-30</t>
        </is>
      </c>
      <c r="B1878" s="8" t="inlineStr">
        <is>
          <t>Thursday</t>
        </is>
      </c>
      <c r="C1878" s="8" t="inlineStr">
        <is>
          <t>MNQZ5</t>
        </is>
      </c>
      <c r="D1878" s="9" t="n">
        <v>26127.5</v>
      </c>
      <c r="E1878" s="9" t="n">
        <v>25941.5</v>
      </c>
      <c r="F1878" s="9">
        <f>D1878-E1878</f>
        <v/>
      </c>
      <c r="G1878" s="8" t="inlineStr">
        <is>
          <t>Short</t>
        </is>
      </c>
      <c r="H1878" s="9" t="n">
        <v>25941.5</v>
      </c>
      <c r="I1878" s="9" t="n">
        <v>25871.75</v>
      </c>
      <c r="J1878" s="9">
        <f>IF(G1878="Long",I1878-H1878,IF(G1878="Short",H1878-I1878,0))</f>
        <v/>
      </c>
      <c r="K1878" s="10" t="n">
        <v>10.75</v>
      </c>
      <c r="L1878" s="8" t="inlineStr">
        <is>
          <t>EOD-Close</t>
        </is>
      </c>
      <c r="M1878" s="9">
        <f>M1877+J1878</f>
        <v/>
      </c>
    </row>
    <row r="1879">
      <c r="A1879" s="2" t="inlineStr">
        <is>
          <t>2025-10-31</t>
        </is>
      </c>
      <c r="B1879" s="2" t="inlineStr">
        <is>
          <t>Friday</t>
        </is>
      </c>
      <c r="C1879" s="2" t="inlineStr">
        <is>
          <t>MNQZ5</t>
        </is>
      </c>
      <c r="D1879" s="3" t="n">
        <v>26199.5</v>
      </c>
      <c r="E1879" s="3" t="n">
        <v>26103.5</v>
      </c>
      <c r="F1879" s="3">
        <f>D1879-E1879</f>
        <v/>
      </c>
      <c r="G1879" s="2" t="inlineStr">
        <is>
          <t>Short</t>
        </is>
      </c>
      <c r="H1879" s="3" t="n">
        <v>26103.5</v>
      </c>
      <c r="I1879" s="3" t="n">
        <v>26007.5</v>
      </c>
      <c r="J1879" s="3">
        <f>IF(G1879="Long",I1879-H1879,IF(G1879="Short",H1879-I1879,0))</f>
        <v/>
      </c>
      <c r="K1879" s="4" t="n">
        <v>82.81</v>
      </c>
      <c r="L1879" s="2" t="inlineStr">
        <is>
          <t>Win</t>
        </is>
      </c>
      <c r="M1879" s="3">
        <f>M1878+J1879</f>
        <v/>
      </c>
    </row>
    <row r="1880">
      <c r="A1880" s="2" t="inlineStr">
        <is>
          <t>2025-10-31</t>
        </is>
      </c>
      <c r="B1880" s="2" t="inlineStr">
        <is>
          <t>Friday</t>
        </is>
      </c>
      <c r="C1880" s="2" t="inlineStr">
        <is>
          <t>MNQZ5</t>
        </is>
      </c>
      <c r="D1880" s="3" t="n">
        <v>26199.5</v>
      </c>
      <c r="E1880" s="3" t="n">
        <v>26103.5</v>
      </c>
      <c r="F1880" s="3">
        <f>D1880-E1880</f>
        <v/>
      </c>
      <c r="G1880" s="2" t="inlineStr">
        <is>
          <t>Short</t>
        </is>
      </c>
      <c r="H1880" s="3" t="n">
        <v>26103.5</v>
      </c>
      <c r="I1880" s="3" t="n">
        <v>26007.5</v>
      </c>
      <c r="J1880" s="3">
        <f>IF(G1880="Long",I1880-H1880,IF(G1880="Short",H1880-I1880,0))</f>
        <v/>
      </c>
      <c r="K1880" s="4" t="n">
        <v>15.36</v>
      </c>
      <c r="L1880" s="2" t="inlineStr">
        <is>
          <t>Win</t>
        </is>
      </c>
      <c r="M1880" s="3">
        <f>M1879+J1880</f>
        <v/>
      </c>
    </row>
    <row r="1881">
      <c r="A1881" s="2" t="inlineStr">
        <is>
          <t>2025-11-03</t>
        </is>
      </c>
      <c r="B1881" s="2" t="inlineStr">
        <is>
          <t>Monday</t>
        </is>
      </c>
      <c r="C1881" s="2" t="inlineStr">
        <is>
          <t>MNQZ5</t>
        </is>
      </c>
      <c r="D1881" s="3" t="n">
        <v>26265.75</v>
      </c>
      <c r="E1881" s="3" t="n">
        <v>26155</v>
      </c>
      <c r="F1881" s="3">
        <f>D1881-E1881</f>
        <v/>
      </c>
      <c r="G1881" s="2" t="inlineStr">
        <is>
          <t>Short</t>
        </is>
      </c>
      <c r="H1881" s="3" t="n">
        <v>26155</v>
      </c>
      <c r="I1881" s="3" t="n">
        <v>26044.25</v>
      </c>
      <c r="J1881" s="3">
        <f>IF(G1881="Long",I1881-H1881,IF(G1881="Short",H1881-I1881,0))</f>
        <v/>
      </c>
      <c r="K1881" s="4" t="n">
        <v>3.61</v>
      </c>
      <c r="L1881" s="2" t="inlineStr">
        <is>
          <t>Win</t>
        </is>
      </c>
      <c r="M1881" s="3">
        <f>M1880+J1881</f>
        <v/>
      </c>
    </row>
    <row r="1882">
      <c r="A1882" s="8" t="inlineStr">
        <is>
          <t>2025-11-03</t>
        </is>
      </c>
      <c r="B1882" s="8" t="inlineStr">
        <is>
          <t>Monday</t>
        </is>
      </c>
      <c r="C1882" s="8" t="inlineStr">
        <is>
          <t>MNQZ5</t>
        </is>
      </c>
      <c r="D1882" s="9" t="n">
        <v>26265.75</v>
      </c>
      <c r="E1882" s="9" t="n">
        <v>26155</v>
      </c>
      <c r="F1882" s="9">
        <f>D1882-E1882</f>
        <v/>
      </c>
      <c r="G1882" s="8" t="inlineStr">
        <is>
          <t>Short</t>
        </is>
      </c>
      <c r="H1882" s="9" t="n">
        <v>26155</v>
      </c>
      <c r="I1882" s="9" t="n">
        <v>26110.25</v>
      </c>
      <c r="J1882" s="9">
        <f>IF(G1882="Long",I1882-H1882,IF(G1882="Short",H1882-I1882,0))</f>
        <v/>
      </c>
      <c r="K1882" s="10" t="n">
        <v>9.93</v>
      </c>
      <c r="L1882" s="8" t="inlineStr">
        <is>
          <t>EOD-Close</t>
        </is>
      </c>
      <c r="M1882" s="9">
        <f>M1881+J1882</f>
        <v/>
      </c>
    </row>
    <row r="1883">
      <c r="A1883" s="5" t="inlineStr">
        <is>
          <t>2025-11-04</t>
        </is>
      </c>
      <c r="B1883" s="5" t="inlineStr">
        <is>
          <t>Tuesday</t>
        </is>
      </c>
      <c r="C1883" s="5" t="inlineStr">
        <is>
          <t>MNQZ5</t>
        </is>
      </c>
      <c r="D1883" s="6" t="n">
        <v>25782</v>
      </c>
      <c r="E1883" s="6" t="n">
        <v>25663</v>
      </c>
      <c r="F1883" s="6">
        <f>D1883-E1883</f>
        <v/>
      </c>
      <c r="G1883" s="5" t="inlineStr">
        <is>
          <t>Long</t>
        </is>
      </c>
      <c r="H1883" s="6" t="n">
        <v>25782</v>
      </c>
      <c r="I1883" s="6" t="n">
        <v>25663</v>
      </c>
      <c r="J1883" s="6">
        <f>IF(G1883="Long",I1883-H1883,IF(G1883="Short",H1883-I1883,0))</f>
        <v/>
      </c>
      <c r="K1883" s="7" t="n">
        <v>100</v>
      </c>
      <c r="L1883" s="5" t="inlineStr">
        <is>
          <t>Loss</t>
        </is>
      </c>
      <c r="M1883" s="6">
        <f>M1882+J1883</f>
        <v/>
      </c>
    </row>
    <row r="1884">
      <c r="A1884" s="8" t="inlineStr">
        <is>
          <t>2025-11-04</t>
        </is>
      </c>
      <c r="B1884" s="8" t="inlineStr">
        <is>
          <t>Tuesday</t>
        </is>
      </c>
      <c r="C1884" s="8" t="inlineStr">
        <is>
          <t>MNQZ5</t>
        </is>
      </c>
      <c r="D1884" s="9" t="n">
        <v>25782</v>
      </c>
      <c r="E1884" s="9" t="n">
        <v>25663</v>
      </c>
      <c r="F1884" s="9">
        <f>D1884-E1884</f>
        <v/>
      </c>
      <c r="G1884" s="8" t="inlineStr">
        <is>
          <t>Short</t>
        </is>
      </c>
      <c r="H1884" s="9" t="n">
        <v>25663</v>
      </c>
      <c r="I1884" s="9" t="n">
        <v>25579.5</v>
      </c>
      <c r="J1884" s="9">
        <f>IF(G1884="Long",I1884-H1884,IF(G1884="Short",H1884-I1884,0))</f>
        <v/>
      </c>
      <c r="K1884" s="10" t="n">
        <v>59.24</v>
      </c>
      <c r="L1884" s="8" t="inlineStr">
        <is>
          <t>EOD-Close</t>
        </is>
      </c>
      <c r="M1884" s="9">
        <f>M1883+J1884</f>
        <v/>
      </c>
    </row>
    <row r="1885">
      <c r="A1885" s="2" t="inlineStr">
        <is>
          <t>2025-11-05</t>
        </is>
      </c>
      <c r="B1885" s="2" t="inlineStr">
        <is>
          <t>Wednesday</t>
        </is>
      </c>
      <c r="C1885" s="2" t="inlineStr">
        <is>
          <t>MNQZ5</t>
        </is>
      </c>
      <c r="D1885" s="3" t="n">
        <v>25577.25</v>
      </c>
      <c r="E1885" s="3" t="n">
        <v>25487.75</v>
      </c>
      <c r="F1885" s="3">
        <f>D1885-E1885</f>
        <v/>
      </c>
      <c r="G1885" s="2" t="inlineStr">
        <is>
          <t>Long</t>
        </is>
      </c>
      <c r="H1885" s="3" t="n">
        <v>25577.25</v>
      </c>
      <c r="I1885" s="3" t="n">
        <v>25666.75</v>
      </c>
      <c r="J1885" s="3">
        <f>IF(G1885="Long",I1885-H1885,IF(G1885="Short",H1885-I1885,0))</f>
        <v/>
      </c>
      <c r="K1885" s="4" t="n">
        <v>0</v>
      </c>
      <c r="L1885" s="2" t="inlineStr">
        <is>
          <t>Win</t>
        </is>
      </c>
      <c r="M1885" s="3">
        <f>M1884+J1885</f>
        <v/>
      </c>
    </row>
    <row r="1886">
      <c r="A1886" s="2" t="inlineStr">
        <is>
          <t>2025-11-06</t>
        </is>
      </c>
      <c r="B1886" s="2" t="inlineStr">
        <is>
          <t>Thursday</t>
        </is>
      </c>
      <c r="C1886" s="2" t="inlineStr">
        <is>
          <t>MNQZ5</t>
        </is>
      </c>
      <c r="D1886" s="3" t="n">
        <v>25684.75</v>
      </c>
      <c r="E1886" s="3" t="n">
        <v>25585.75</v>
      </c>
      <c r="F1886" s="3">
        <f>D1886-E1886</f>
        <v/>
      </c>
      <c r="G1886" s="2" t="inlineStr">
        <is>
          <t>Short</t>
        </is>
      </c>
      <c r="H1886" s="3" t="n">
        <v>25585.75</v>
      </c>
      <c r="I1886" s="3" t="n">
        <v>25486.75</v>
      </c>
      <c r="J1886" s="3">
        <f>IF(G1886="Long",I1886-H1886,IF(G1886="Short",H1886-I1886,0))</f>
        <v/>
      </c>
      <c r="K1886" s="4" t="n">
        <v>0</v>
      </c>
      <c r="L1886" s="2" t="inlineStr">
        <is>
          <t>Win</t>
        </is>
      </c>
      <c r="M1886" s="3">
        <f>M1885+J1886</f>
        <v/>
      </c>
    </row>
    <row r="1887">
      <c r="A1887" s="2" t="inlineStr">
        <is>
          <t>2025-11-07</t>
        </is>
      </c>
      <c r="B1887" s="2" t="inlineStr">
        <is>
          <t>Friday</t>
        </is>
      </c>
      <c r="C1887" s="2" t="inlineStr">
        <is>
          <t>MNQZ5</t>
        </is>
      </c>
      <c r="D1887" s="3" t="n">
        <v>25111.5</v>
      </c>
      <c r="E1887" s="3" t="n">
        <v>24917.5</v>
      </c>
      <c r="F1887" s="3">
        <f>D1887-E1887</f>
        <v/>
      </c>
      <c r="G1887" s="2" t="inlineStr">
        <is>
          <t>Short</t>
        </is>
      </c>
      <c r="H1887" s="3" t="n">
        <v>24917.5</v>
      </c>
      <c r="I1887" s="3" t="n">
        <v>24723.5</v>
      </c>
      <c r="J1887" s="3">
        <f>IF(G1887="Long",I1887-H1887,IF(G1887="Short",H1887-I1887,0))</f>
        <v/>
      </c>
      <c r="K1887" s="4" t="n">
        <v>0</v>
      </c>
      <c r="L1887" s="2" t="inlineStr">
        <is>
          <t>Win</t>
        </is>
      </c>
      <c r="M1887" s="3">
        <f>M1886+J1887</f>
        <v/>
      </c>
    </row>
    <row r="1888">
      <c r="A1888" s="5" t="inlineStr">
        <is>
          <t>2025-11-07</t>
        </is>
      </c>
      <c r="B1888" s="5" t="inlineStr">
        <is>
          <t>Friday</t>
        </is>
      </c>
      <c r="C1888" s="5" t="inlineStr">
        <is>
          <t>MNQZ5</t>
        </is>
      </c>
      <c r="D1888" s="6" t="n">
        <v>25111.5</v>
      </c>
      <c r="E1888" s="6" t="n">
        <v>24917.5</v>
      </c>
      <c r="F1888" s="6">
        <f>D1888-E1888</f>
        <v/>
      </c>
      <c r="G1888" s="5" t="inlineStr">
        <is>
          <t>Short</t>
        </is>
      </c>
      <c r="H1888" s="6" t="n">
        <v>24917.5</v>
      </c>
      <c r="I1888" s="6" t="n">
        <v>25111.5</v>
      </c>
      <c r="J1888" s="6">
        <f>IF(G1888="Long",I1888-H1888,IF(G1888="Short",H1888-I1888,0))</f>
        <v/>
      </c>
      <c r="K1888" s="7" t="n">
        <v>100</v>
      </c>
      <c r="L1888" s="5" t="inlineStr">
        <is>
          <t>Loss</t>
        </is>
      </c>
      <c r="M1888" s="6">
        <f>M1887+J1888</f>
        <v/>
      </c>
    </row>
    <row r="1889">
      <c r="A1889" s="5" t="inlineStr">
        <is>
          <t>2025-11-10</t>
        </is>
      </c>
      <c r="B1889" s="5" t="inlineStr">
        <is>
          <t>Monday</t>
        </is>
      </c>
      <c r="C1889" s="5" t="inlineStr">
        <is>
          <t>MNQZ5</t>
        </is>
      </c>
      <c r="D1889" s="6" t="n">
        <v>25639.75</v>
      </c>
      <c r="E1889" s="6" t="n">
        <v>25524</v>
      </c>
      <c r="F1889" s="6">
        <f>D1889-E1889</f>
        <v/>
      </c>
      <c r="G1889" s="5" t="inlineStr">
        <is>
          <t>Long</t>
        </is>
      </c>
      <c r="H1889" s="6" t="n">
        <v>25639.75</v>
      </c>
      <c r="I1889" s="6" t="n">
        <v>25524</v>
      </c>
      <c r="J1889" s="6">
        <f>IF(G1889="Long",I1889-H1889,IF(G1889="Short",H1889-I1889,0))</f>
        <v/>
      </c>
      <c r="K1889" s="7" t="n">
        <v>100</v>
      </c>
      <c r="L1889" s="5" t="inlineStr">
        <is>
          <t>Loss</t>
        </is>
      </c>
      <c r="M1889" s="6">
        <f>M1888+J1889</f>
        <v/>
      </c>
    </row>
    <row r="1890">
      <c r="A1890" s="5" t="inlineStr">
        <is>
          <t>2025-11-10</t>
        </is>
      </c>
      <c r="B1890" s="5" t="inlineStr">
        <is>
          <t>Monday</t>
        </is>
      </c>
      <c r="C1890" s="5" t="inlineStr">
        <is>
          <t>MNQZ5</t>
        </is>
      </c>
      <c r="D1890" s="6" t="n">
        <v>25639.75</v>
      </c>
      <c r="E1890" s="6" t="n">
        <v>25524</v>
      </c>
      <c r="F1890" s="6">
        <f>D1890-E1890</f>
        <v/>
      </c>
      <c r="G1890" s="5" t="inlineStr">
        <is>
          <t>Short</t>
        </is>
      </c>
      <c r="H1890" s="6" t="n">
        <v>25524</v>
      </c>
      <c r="I1890" s="6" t="n">
        <v>25639.75</v>
      </c>
      <c r="J1890" s="6">
        <f>IF(G1890="Long",I1890-H1890,IF(G1890="Short",H1890-I1890,0))</f>
        <v/>
      </c>
      <c r="K1890" s="7" t="n">
        <v>100</v>
      </c>
      <c r="L1890" s="5" t="inlineStr">
        <is>
          <t>Loss</t>
        </is>
      </c>
      <c r="M1890" s="6">
        <f>M1889+J1890</f>
        <v/>
      </c>
    </row>
    <row r="1891">
      <c r="A1891" s="2" t="inlineStr">
        <is>
          <t>2025-11-11</t>
        </is>
      </c>
      <c r="B1891" s="2" t="inlineStr">
        <is>
          <t>Tuesday</t>
        </is>
      </c>
      <c r="C1891" s="2" t="inlineStr">
        <is>
          <t>MNQZ5</t>
        </is>
      </c>
      <c r="D1891" s="3" t="n">
        <v>25646</v>
      </c>
      <c r="E1891" s="3" t="n">
        <v>25583.75</v>
      </c>
      <c r="F1891" s="3">
        <f>D1891-E1891</f>
        <v/>
      </c>
      <c r="G1891" s="2" t="inlineStr">
        <is>
          <t>Short</t>
        </is>
      </c>
      <c r="H1891" s="3" t="n">
        <v>25583.75</v>
      </c>
      <c r="I1891" s="3" t="n">
        <v>25521.5</v>
      </c>
      <c r="J1891" s="3">
        <f>IF(G1891="Long",I1891-H1891,IF(G1891="Short",H1891-I1891,0))</f>
        <v/>
      </c>
      <c r="K1891" s="4" t="n">
        <v>83.13</v>
      </c>
      <c r="L1891" s="2" t="inlineStr">
        <is>
          <t>Win</t>
        </is>
      </c>
      <c r="M1891" s="3">
        <f>M1890+J1891</f>
        <v/>
      </c>
    </row>
    <row r="1892">
      <c r="A1892" s="2" t="inlineStr">
        <is>
          <t>2025-11-11</t>
        </is>
      </c>
      <c r="B1892" s="2" t="inlineStr">
        <is>
          <t>Tuesday</t>
        </is>
      </c>
      <c r="C1892" s="2" t="inlineStr">
        <is>
          <t>MNQZ5</t>
        </is>
      </c>
      <c r="D1892" s="3" t="n">
        <v>25646</v>
      </c>
      <c r="E1892" s="3" t="n">
        <v>25583.75</v>
      </c>
      <c r="F1892" s="3">
        <f>D1892-E1892</f>
        <v/>
      </c>
      <c r="G1892" s="2" t="inlineStr">
        <is>
          <t>Short</t>
        </is>
      </c>
      <c r="H1892" s="3" t="n">
        <v>25583.75</v>
      </c>
      <c r="I1892" s="3" t="n">
        <v>25521.5</v>
      </c>
      <c r="J1892" s="3">
        <f>IF(G1892="Long",I1892-H1892,IF(G1892="Short",H1892-I1892,0))</f>
        <v/>
      </c>
      <c r="K1892" s="4" t="n">
        <v>12.45</v>
      </c>
      <c r="L1892" s="2" t="inlineStr">
        <is>
          <t>Win</t>
        </is>
      </c>
      <c r="M1892" s="3">
        <f>M1891+J1892</f>
        <v/>
      </c>
    </row>
    <row r="1893">
      <c r="A1893" s="2" t="inlineStr">
        <is>
          <t>2025-11-12</t>
        </is>
      </c>
      <c r="B1893" s="2" t="inlineStr">
        <is>
          <t>Wednesday</t>
        </is>
      </c>
      <c r="C1893" s="2" t="inlineStr">
        <is>
          <t>MNQZ5</t>
        </is>
      </c>
      <c r="D1893" s="3" t="n">
        <v>25780.5</v>
      </c>
      <c r="E1893" s="3" t="n">
        <v>25637.25</v>
      </c>
      <c r="F1893" s="3">
        <f>D1893-E1893</f>
        <v/>
      </c>
      <c r="G1893" s="2" t="inlineStr">
        <is>
          <t>Short</t>
        </is>
      </c>
      <c r="H1893" s="3" t="n">
        <v>25637.25</v>
      </c>
      <c r="I1893" s="3" t="n">
        <v>25494</v>
      </c>
      <c r="J1893" s="3">
        <f>IF(G1893="Long",I1893-H1893,IF(G1893="Short",H1893-I1893,0))</f>
        <v/>
      </c>
      <c r="K1893" s="4" t="n">
        <v>15.71</v>
      </c>
      <c r="L1893" s="2" t="inlineStr">
        <is>
          <t>Win</t>
        </is>
      </c>
      <c r="M1893" s="3">
        <f>M1892+J1893</f>
        <v/>
      </c>
    </row>
    <row r="1894">
      <c r="A1894" s="8" t="inlineStr">
        <is>
          <t>2025-11-12</t>
        </is>
      </c>
      <c r="B1894" s="8" t="inlineStr">
        <is>
          <t>Wednesday</t>
        </is>
      </c>
      <c r="C1894" s="8" t="inlineStr">
        <is>
          <t>MNQZ5</t>
        </is>
      </c>
      <c r="D1894" s="9" t="n">
        <v>25780.5</v>
      </c>
      <c r="E1894" s="9" t="n">
        <v>25637.25</v>
      </c>
      <c r="F1894" s="9">
        <f>D1894-E1894</f>
        <v/>
      </c>
      <c r="G1894" s="8" t="inlineStr">
        <is>
          <t>Short</t>
        </is>
      </c>
      <c r="H1894" s="9" t="n">
        <v>25637.25</v>
      </c>
      <c r="I1894" s="9" t="n">
        <v>25625.75</v>
      </c>
      <c r="J1894" s="9">
        <f>IF(G1894="Long",I1894-H1894,IF(G1894="Short",H1894-I1894,0))</f>
        <v/>
      </c>
      <c r="K1894" s="10" t="n">
        <v>9.949999999999999</v>
      </c>
      <c r="L1894" s="8" t="inlineStr">
        <is>
          <t>EOD-Close</t>
        </is>
      </c>
      <c r="M1894" s="9">
        <f>M1893+J1894</f>
        <v/>
      </c>
    </row>
    <row r="1895">
      <c r="A1895" s="2" t="inlineStr">
        <is>
          <t>2025-11-13</t>
        </is>
      </c>
      <c r="B1895" s="2" t="inlineStr">
        <is>
          <t>Thursday</t>
        </is>
      </c>
      <c r="C1895" s="2" t="inlineStr">
        <is>
          <t>MNQZ5</t>
        </is>
      </c>
      <c r="D1895" s="3" t="n">
        <v>25501.5</v>
      </c>
      <c r="E1895" s="3" t="n">
        <v>25284</v>
      </c>
      <c r="F1895" s="3">
        <f>D1895-E1895</f>
        <v/>
      </c>
      <c r="G1895" s="2" t="inlineStr">
        <is>
          <t>Short</t>
        </is>
      </c>
      <c r="H1895" s="3" t="n">
        <v>25284</v>
      </c>
      <c r="I1895" s="3" t="n">
        <v>25066.5</v>
      </c>
      <c r="J1895" s="3">
        <f>IF(G1895="Long",I1895-H1895,IF(G1895="Short",H1895-I1895,0))</f>
        <v/>
      </c>
      <c r="K1895" s="4" t="n">
        <v>0</v>
      </c>
      <c r="L1895" s="2" t="inlineStr">
        <is>
          <t>Win</t>
        </is>
      </c>
      <c r="M1895" s="3">
        <f>M1894+J1895</f>
        <v/>
      </c>
    </row>
    <row r="1896">
      <c r="A1896" s="2" t="inlineStr">
        <is>
          <t>2025-11-14</t>
        </is>
      </c>
      <c r="B1896" s="2" t="inlineStr">
        <is>
          <t>Friday</t>
        </is>
      </c>
      <c r="C1896" s="2" t="inlineStr">
        <is>
          <t>MNQZ5</t>
        </is>
      </c>
      <c r="D1896" s="3" t="n">
        <v>24844.75</v>
      </c>
      <c r="E1896" s="3" t="n">
        <v>24626</v>
      </c>
      <c r="F1896" s="3">
        <f>D1896-E1896</f>
        <v/>
      </c>
      <c r="G1896" s="2" t="inlineStr">
        <is>
          <t>Long</t>
        </is>
      </c>
      <c r="H1896" s="3" t="n">
        <v>24844.75</v>
      </c>
      <c r="I1896" s="3" t="n">
        <v>25063.5</v>
      </c>
      <c r="J1896" s="3">
        <f>IF(G1896="Long",I1896-H1896,IF(G1896="Short",H1896-I1896,0))</f>
        <v/>
      </c>
      <c r="K1896" s="4" t="n">
        <v>0</v>
      </c>
      <c r="L1896" s="2" t="inlineStr">
        <is>
          <t>Win</t>
        </is>
      </c>
      <c r="M1896" s="3">
        <f>M1895+J1896</f>
        <v/>
      </c>
    </row>
    <row r="1897">
      <c r="A1897" s="5" t="inlineStr">
        <is>
          <t>2025-11-17</t>
        </is>
      </c>
      <c r="B1897" s="5" t="inlineStr">
        <is>
          <t>Monday</t>
        </is>
      </c>
      <c r="C1897" s="5" t="inlineStr">
        <is>
          <t>MNQZ5</t>
        </is>
      </c>
      <c r="D1897" s="6" t="n">
        <v>25199.25</v>
      </c>
      <c r="E1897" s="6" t="n">
        <v>24955.25</v>
      </c>
      <c r="F1897" s="6">
        <f>D1897-E1897</f>
        <v/>
      </c>
      <c r="G1897" s="5" t="inlineStr">
        <is>
          <t>Long</t>
        </is>
      </c>
      <c r="H1897" s="6" t="n">
        <v>25199.25</v>
      </c>
      <c r="I1897" s="6" t="n">
        <v>24955.25</v>
      </c>
      <c r="J1897" s="6">
        <f>IF(G1897="Long",I1897-H1897,IF(G1897="Short",H1897-I1897,0))</f>
        <v/>
      </c>
      <c r="K1897" s="7" t="n">
        <v>100</v>
      </c>
      <c r="L1897" s="5" t="inlineStr">
        <is>
          <t>Loss</t>
        </is>
      </c>
      <c r="M1897" s="6">
        <f>M1896+J1897</f>
        <v/>
      </c>
    </row>
    <row r="1898">
      <c r="A1898" s="8" t="inlineStr">
        <is>
          <t>2025-11-17</t>
        </is>
      </c>
      <c r="B1898" s="8" t="inlineStr">
        <is>
          <t>Monday</t>
        </is>
      </c>
      <c r="C1898" s="8" t="inlineStr">
        <is>
          <t>MNQZ5</t>
        </is>
      </c>
      <c r="D1898" s="9" t="n">
        <v>25199.25</v>
      </c>
      <c r="E1898" s="9" t="n">
        <v>24955.25</v>
      </c>
      <c r="F1898" s="9">
        <f>D1898-E1898</f>
        <v/>
      </c>
      <c r="G1898" s="8" t="inlineStr">
        <is>
          <t>Short</t>
        </is>
      </c>
      <c r="H1898" s="9" t="n">
        <v>24955.25</v>
      </c>
      <c r="I1898" s="9" t="n">
        <v>24888</v>
      </c>
      <c r="J1898" s="9">
        <f>IF(G1898="Long",I1898-H1898,IF(G1898="Short",H1898-I1898,0))</f>
        <v/>
      </c>
      <c r="K1898" s="10" t="n">
        <v>0</v>
      </c>
      <c r="L1898" s="8" t="inlineStr">
        <is>
          <t>EOD-Close</t>
        </is>
      </c>
      <c r="M1898" s="9">
        <f>M1897+J1898</f>
        <v/>
      </c>
    </row>
    <row r="1899">
      <c r="A1899" s="2" t="inlineStr">
        <is>
          <t>2025-11-18</t>
        </is>
      </c>
      <c r="B1899" s="2" t="inlineStr">
        <is>
          <t>Tuesday</t>
        </is>
      </c>
      <c r="C1899" s="2" t="inlineStr">
        <is>
          <t>MNQZ5</t>
        </is>
      </c>
      <c r="D1899" s="3" t="n">
        <v>24832</v>
      </c>
      <c r="E1899" s="3" t="n">
        <v>24646.75</v>
      </c>
      <c r="F1899" s="3">
        <f>D1899-E1899</f>
        <v/>
      </c>
      <c r="G1899" s="2" t="inlineStr">
        <is>
          <t>Short</t>
        </is>
      </c>
      <c r="H1899" s="3" t="n">
        <v>24646.75</v>
      </c>
      <c r="I1899" s="3" t="n">
        <v>24461.5</v>
      </c>
      <c r="J1899" s="3">
        <f>IF(G1899="Long",I1899-H1899,IF(G1899="Short",H1899-I1899,0))</f>
        <v/>
      </c>
      <c r="K1899" s="4" t="n">
        <v>0</v>
      </c>
      <c r="L1899" s="2" t="inlineStr">
        <is>
          <t>Win</t>
        </is>
      </c>
      <c r="M1899" s="3">
        <f>M1898+J1899</f>
        <v/>
      </c>
    </row>
    <row r="1900">
      <c r="A1900" s="8" t="inlineStr">
        <is>
          <t>2025-11-18</t>
        </is>
      </c>
      <c r="B1900" s="8" t="inlineStr">
        <is>
          <t>Tuesday</t>
        </is>
      </c>
      <c r="C1900" s="8" t="inlineStr">
        <is>
          <t>MNQZ5</t>
        </is>
      </c>
      <c r="D1900" s="9" t="n">
        <v>24832</v>
      </c>
      <c r="E1900" s="9" t="n">
        <v>24646.75</v>
      </c>
      <c r="F1900" s="9">
        <f>D1900-E1900</f>
        <v/>
      </c>
      <c r="G1900" s="8" t="inlineStr">
        <is>
          <t>Short</t>
        </is>
      </c>
      <c r="H1900" s="9" t="n">
        <v>24646.75</v>
      </c>
      <c r="I1900" s="9" t="n">
        <v>24585</v>
      </c>
      <c r="J1900" s="9">
        <f>IF(G1900="Long",I1900-H1900,IF(G1900="Short",H1900-I1900,0))</f>
        <v/>
      </c>
      <c r="K1900" s="10" t="n">
        <v>88.26000000000001</v>
      </c>
      <c r="L1900" s="8" t="inlineStr">
        <is>
          <t>EOD-Close</t>
        </is>
      </c>
      <c r="M1900" s="9">
        <f>M1899+J1900</f>
        <v/>
      </c>
    </row>
    <row r="1901">
      <c r="A1901" s="2" t="inlineStr">
        <is>
          <t>2025-11-19</t>
        </is>
      </c>
      <c r="B1901" s="2" t="inlineStr">
        <is>
          <t>Wednesday</t>
        </is>
      </c>
      <c r="C1901" s="2" t="inlineStr">
        <is>
          <t>MNQZ5</t>
        </is>
      </c>
      <c r="D1901" s="3" t="n">
        <v>24758.5</v>
      </c>
      <c r="E1901" s="3" t="n">
        <v>24572.75</v>
      </c>
      <c r="F1901" s="3">
        <f>D1901-E1901</f>
        <v/>
      </c>
      <c r="G1901" s="2" t="inlineStr">
        <is>
          <t>Long</t>
        </is>
      </c>
      <c r="H1901" s="3" t="n">
        <v>24758.5</v>
      </c>
      <c r="I1901" s="3" t="n">
        <v>24944.25</v>
      </c>
      <c r="J1901" s="3">
        <f>IF(G1901="Long",I1901-H1901,IF(G1901="Short",H1901-I1901,0))</f>
        <v/>
      </c>
      <c r="K1901" s="4" t="n">
        <v>8.609999999999999</v>
      </c>
      <c r="L1901" s="2" t="inlineStr">
        <is>
          <t>Win</t>
        </is>
      </c>
      <c r="M1901" s="3">
        <f>M1900+J1901</f>
        <v/>
      </c>
    </row>
    <row r="1902">
      <c r="A1902" s="5" t="inlineStr">
        <is>
          <t>2025-11-19</t>
        </is>
      </c>
      <c r="B1902" s="5" t="inlineStr">
        <is>
          <t>Wednesday</t>
        </is>
      </c>
      <c r="C1902" s="5" t="inlineStr">
        <is>
          <t>MNQZ5</t>
        </is>
      </c>
      <c r="D1902" s="6" t="n">
        <v>24758.5</v>
      </c>
      <c r="E1902" s="6" t="n">
        <v>24572.75</v>
      </c>
      <c r="F1902" s="6">
        <f>D1902-E1902</f>
        <v/>
      </c>
      <c r="G1902" s="5" t="inlineStr">
        <is>
          <t>Long</t>
        </is>
      </c>
      <c r="H1902" s="6" t="n">
        <v>24758.5</v>
      </c>
      <c r="I1902" s="6" t="n">
        <v>24572.75</v>
      </c>
      <c r="J1902" s="6">
        <f>IF(G1902="Long",I1902-H1902,IF(G1902="Short",H1902-I1902,0))</f>
        <v/>
      </c>
      <c r="K1902" s="7" t="n">
        <v>100</v>
      </c>
      <c r="L1902" s="5" t="inlineStr">
        <is>
          <t>Loss</t>
        </is>
      </c>
      <c r="M1902" s="6">
        <f>M1901+J1902</f>
        <v/>
      </c>
    </row>
    <row r="1903">
      <c r="A1903" s="5" t="inlineStr">
        <is>
          <t>2025-11-20</t>
        </is>
      </c>
      <c r="B1903" s="5" t="inlineStr">
        <is>
          <t>Thursday</t>
        </is>
      </c>
      <c r="C1903" s="5" t="inlineStr">
        <is>
          <t>MNQZ5</t>
        </is>
      </c>
      <c r="D1903" s="6" t="n">
        <v>25242.25</v>
      </c>
      <c r="E1903" s="6" t="n">
        <v>25145</v>
      </c>
      <c r="F1903" s="6">
        <f>D1903-E1903</f>
        <v/>
      </c>
      <c r="G1903" s="5" t="inlineStr">
        <is>
          <t>Long</t>
        </is>
      </c>
      <c r="H1903" s="6" t="n">
        <v>25242.25</v>
      </c>
      <c r="I1903" s="6" t="n">
        <v>25145</v>
      </c>
      <c r="J1903" s="6">
        <f>IF(G1903="Long",I1903-H1903,IF(G1903="Short",H1903-I1903,0))</f>
        <v/>
      </c>
      <c r="K1903" s="7" t="n">
        <v>100</v>
      </c>
      <c r="L1903" s="5" t="inlineStr">
        <is>
          <t>Loss</t>
        </is>
      </c>
      <c r="M1903" s="6">
        <f>M1902+J1903</f>
        <v/>
      </c>
    </row>
    <row r="1904">
      <c r="A1904" s="2" t="inlineStr">
        <is>
          <t>2025-11-20</t>
        </is>
      </c>
      <c r="B1904" s="2" t="inlineStr">
        <is>
          <t>Thursday</t>
        </is>
      </c>
      <c r="C1904" s="2" t="inlineStr">
        <is>
          <t>MNQZ5</t>
        </is>
      </c>
      <c r="D1904" s="3" t="n">
        <v>25242.25</v>
      </c>
      <c r="E1904" s="3" t="n">
        <v>25145</v>
      </c>
      <c r="F1904" s="3">
        <f>D1904-E1904</f>
        <v/>
      </c>
      <c r="G1904" s="2" t="inlineStr">
        <is>
          <t>Short</t>
        </is>
      </c>
      <c r="H1904" s="3" t="n">
        <v>25145</v>
      </c>
      <c r="I1904" s="3" t="n">
        <v>25047.75</v>
      </c>
      <c r="J1904" s="3">
        <f>IF(G1904="Long",I1904-H1904,IF(G1904="Short",H1904-I1904,0))</f>
        <v/>
      </c>
      <c r="K1904" s="4" t="n">
        <v>0</v>
      </c>
      <c r="L1904" s="2" t="inlineStr">
        <is>
          <t>Win</t>
        </is>
      </c>
      <c r="M1904" s="3">
        <f>M1903+J1904</f>
        <v/>
      </c>
    </row>
    <row r="1905">
      <c r="A1905" s="5" t="inlineStr">
        <is>
          <t>2025-11-21</t>
        </is>
      </c>
      <c r="B1905" s="5" t="inlineStr">
        <is>
          <t>Friday</t>
        </is>
      </c>
      <c r="C1905" s="5" t="inlineStr">
        <is>
          <t>MNQZ5</t>
        </is>
      </c>
      <c r="D1905" s="6" t="n">
        <v>24280</v>
      </c>
      <c r="E1905" s="6" t="n">
        <v>24152.75</v>
      </c>
      <c r="F1905" s="6">
        <f>D1905-E1905</f>
        <v/>
      </c>
      <c r="G1905" s="5" t="inlineStr">
        <is>
          <t>Long</t>
        </is>
      </c>
      <c r="H1905" s="6" t="n">
        <v>24280</v>
      </c>
      <c r="I1905" s="6" t="n">
        <v>24152.75</v>
      </c>
      <c r="J1905" s="6">
        <f>IF(G1905="Long",I1905-H1905,IF(G1905="Short",H1905-I1905,0))</f>
        <v/>
      </c>
      <c r="K1905" s="7" t="n">
        <v>100</v>
      </c>
      <c r="L1905" s="5" t="inlineStr">
        <is>
          <t>Loss</t>
        </is>
      </c>
      <c r="M1905" s="6">
        <f>M1904+J1905</f>
        <v/>
      </c>
    </row>
    <row r="1906">
      <c r="A1906" s="2" t="inlineStr">
        <is>
          <t>2025-11-21</t>
        </is>
      </c>
      <c r="B1906" s="2" t="inlineStr">
        <is>
          <t>Friday</t>
        </is>
      </c>
      <c r="C1906" s="2" t="inlineStr">
        <is>
          <t>MNQZ5</t>
        </is>
      </c>
      <c r="D1906" s="3" t="n">
        <v>24280</v>
      </c>
      <c r="E1906" s="3" t="n">
        <v>24152.75</v>
      </c>
      <c r="F1906" s="3">
        <f>D1906-E1906</f>
        <v/>
      </c>
      <c r="G1906" s="2" t="inlineStr">
        <is>
          <t>Short</t>
        </is>
      </c>
      <c r="H1906" s="3" t="n">
        <v>24152.75</v>
      </c>
      <c r="I1906" s="3" t="n">
        <v>24025.5</v>
      </c>
      <c r="J1906" s="3">
        <f>IF(G1906="Long",I1906-H1906,IF(G1906="Short",H1906-I1906,0))</f>
        <v/>
      </c>
      <c r="K1906" s="4" t="n">
        <v>56.19</v>
      </c>
      <c r="L1906" s="2" t="inlineStr">
        <is>
          <t>Win</t>
        </is>
      </c>
      <c r="M1906" s="3">
        <f>M1905+J1906</f>
        <v/>
      </c>
    </row>
    <row r="1907">
      <c r="A1907" s="2" t="inlineStr">
        <is>
          <t>2025-11-24</t>
        </is>
      </c>
      <c r="B1907" s="2" t="inlineStr">
        <is>
          <t>Monday</t>
        </is>
      </c>
      <c r="C1907" s="2" t="inlineStr">
        <is>
          <t>MNQZ5</t>
        </is>
      </c>
      <c r="D1907" s="3" t="n">
        <v>24722.25</v>
      </c>
      <c r="E1907" s="3" t="n">
        <v>24513.5</v>
      </c>
      <c r="F1907" s="3">
        <f>D1907-E1907</f>
        <v/>
      </c>
      <c r="G1907" s="2" t="inlineStr">
        <is>
          <t>Long</t>
        </is>
      </c>
      <c r="H1907" s="3" t="n">
        <v>24722.25</v>
      </c>
      <c r="I1907" s="3" t="n">
        <v>24931</v>
      </c>
      <c r="J1907" s="3">
        <f>IF(G1907="Long",I1907-H1907,IF(G1907="Short",H1907-I1907,0))</f>
        <v/>
      </c>
      <c r="K1907" s="4" t="n">
        <v>27.9</v>
      </c>
      <c r="L1907" s="2" t="inlineStr">
        <is>
          <t>Win</t>
        </is>
      </c>
      <c r="M1907" s="3">
        <f>M1906+J1907</f>
        <v/>
      </c>
    </row>
    <row r="1908">
      <c r="A1908" s="5" t="inlineStr">
        <is>
          <t>2025-11-25</t>
        </is>
      </c>
      <c r="B1908" s="5" t="inlineStr">
        <is>
          <t>Tuesday</t>
        </is>
      </c>
      <c r="C1908" s="5" t="inlineStr">
        <is>
          <t>MNQZ5</t>
        </is>
      </c>
      <c r="D1908" s="6" t="n">
        <v>24882</v>
      </c>
      <c r="E1908" s="6" t="n">
        <v>24719.5</v>
      </c>
      <c r="F1908" s="6">
        <f>D1908-E1908</f>
        <v/>
      </c>
      <c r="G1908" s="5" t="inlineStr">
        <is>
          <t>Short</t>
        </is>
      </c>
      <c r="H1908" s="6" t="n">
        <v>24719.5</v>
      </c>
      <c r="I1908" s="6" t="n">
        <v>24882</v>
      </c>
      <c r="J1908" s="6">
        <f>IF(G1908="Long",I1908-H1908,IF(G1908="Short",H1908-I1908,0))</f>
        <v/>
      </c>
      <c r="K1908" s="7" t="n">
        <v>100</v>
      </c>
      <c r="L1908" s="5" t="inlineStr">
        <is>
          <t>Loss</t>
        </is>
      </c>
      <c r="M1908" s="6">
        <f>M1907+J1908</f>
        <v/>
      </c>
    </row>
    <row r="1909">
      <c r="A1909" s="2" t="inlineStr">
        <is>
          <t>2025-11-25</t>
        </is>
      </c>
      <c r="B1909" s="2" t="inlineStr">
        <is>
          <t>Tuesday</t>
        </is>
      </c>
      <c r="C1909" s="2" t="inlineStr">
        <is>
          <t>MNQZ5</t>
        </is>
      </c>
      <c r="D1909" s="3" t="n">
        <v>24882</v>
      </c>
      <c r="E1909" s="3" t="n">
        <v>24719.5</v>
      </c>
      <c r="F1909" s="3">
        <f>D1909-E1909</f>
        <v/>
      </c>
      <c r="G1909" s="2" t="inlineStr">
        <is>
          <t>Long</t>
        </is>
      </c>
      <c r="H1909" s="3" t="n">
        <v>24882</v>
      </c>
      <c r="I1909" s="3" t="n">
        <v>25044.5</v>
      </c>
      <c r="J1909" s="3">
        <f>IF(G1909="Long",I1909-H1909,IF(G1909="Short",H1909-I1909,0))</f>
        <v/>
      </c>
      <c r="K1909" s="4" t="n">
        <v>0</v>
      </c>
      <c r="L1909" s="2" t="inlineStr">
        <is>
          <t>Win</t>
        </is>
      </c>
      <c r="M1909" s="3">
        <f>M1908+J1909</f>
        <v/>
      </c>
    </row>
    <row r="1910">
      <c r="A1910" s="5" t="inlineStr">
        <is>
          <t>2025-11-26</t>
        </is>
      </c>
      <c r="B1910" s="5" t="inlineStr">
        <is>
          <t>Wednesday</t>
        </is>
      </c>
      <c r="C1910" s="5" t="inlineStr">
        <is>
          <t>MNQZ5</t>
        </is>
      </c>
      <c r="D1910" s="6" t="n">
        <v>25271</v>
      </c>
      <c r="E1910" s="6" t="n">
        <v>25189.25</v>
      </c>
      <c r="F1910" s="6">
        <f>D1910-E1910</f>
        <v/>
      </c>
      <c r="G1910" s="5" t="inlineStr">
        <is>
          <t>Short</t>
        </is>
      </c>
      <c r="H1910" s="6" t="n">
        <v>25189.25</v>
      </c>
      <c r="I1910" s="6" t="n">
        <v>25271</v>
      </c>
      <c r="J1910" s="6">
        <f>IF(G1910="Long",I1910-H1910,IF(G1910="Short",H1910-I1910,0))</f>
        <v/>
      </c>
      <c r="K1910" s="7" t="n">
        <v>100</v>
      </c>
      <c r="L1910" s="5" t="inlineStr">
        <is>
          <t>Loss</t>
        </is>
      </c>
      <c r="M1910" s="6">
        <f>M1909+J1910</f>
        <v/>
      </c>
    </row>
    <row r="1911">
      <c r="A1911" s="2" t="inlineStr">
        <is>
          <t>2025-11-26</t>
        </is>
      </c>
      <c r="B1911" s="2" t="inlineStr">
        <is>
          <t>Wednesday</t>
        </is>
      </c>
      <c r="C1911" s="2" t="inlineStr">
        <is>
          <t>MNQZ5</t>
        </is>
      </c>
      <c r="D1911" s="3" t="n">
        <v>25271</v>
      </c>
      <c r="E1911" s="3" t="n">
        <v>25189.25</v>
      </c>
      <c r="F1911" s="3">
        <f>D1911-E1911</f>
        <v/>
      </c>
      <c r="G1911" s="2" t="inlineStr">
        <is>
          <t>Long</t>
        </is>
      </c>
      <c r="H1911" s="3" t="n">
        <v>25271</v>
      </c>
      <c r="I1911" s="3" t="n">
        <v>25352.75</v>
      </c>
      <c r="J1911" s="3">
        <f>IF(G1911="Long",I1911-H1911,IF(G1911="Short",H1911-I1911,0))</f>
        <v/>
      </c>
      <c r="K1911" s="4" t="n">
        <v>0</v>
      </c>
      <c r="L1911" s="2" t="inlineStr">
        <is>
          <t>Win</t>
        </is>
      </c>
      <c r="M1911" s="3">
        <f>M1910+J1911</f>
        <v/>
      </c>
    </row>
    <row r="1912">
      <c r="A1912" s="11" t="inlineStr">
        <is>
          <t>2025-11-27</t>
        </is>
      </c>
      <c r="B1912" s="11" t="inlineStr">
        <is>
          <t>Thursday</t>
        </is>
      </c>
      <c r="C1912" s="11" t="inlineStr">
        <is>
          <t>MNQZ5</t>
        </is>
      </c>
      <c r="D1912" s="12" t="n">
        <v>25318</v>
      </c>
      <c r="E1912" s="12" t="n">
        <v>25287</v>
      </c>
      <c r="F1912" s="12">
        <f>D1912-E1912</f>
        <v/>
      </c>
      <c r="G1912" s="11" t="inlineStr">
        <is>
          <t>No-Op</t>
        </is>
      </c>
      <c r="H1912" s="12" t="n"/>
      <c r="I1912" s="12" t="n"/>
      <c r="J1912" s="12">
        <f>IF(G1912="Long",I1912-H1912,IF(G1912="Short",H1912-I1912,0))</f>
        <v/>
      </c>
      <c r="K1912" s="13" t="n">
        <v>0</v>
      </c>
      <c r="L1912" s="11" t="inlineStr">
        <is>
          <t>No-Op</t>
        </is>
      </c>
      <c r="M1912" s="12">
        <f>M1911+J1912</f>
        <v/>
      </c>
    </row>
    <row r="1913">
      <c r="A1913" s="8" t="inlineStr">
        <is>
          <t>2025-11-28</t>
        </is>
      </c>
      <c r="B1913" s="8" t="inlineStr">
        <is>
          <t>Friday</t>
        </is>
      </c>
      <c r="C1913" s="8" t="inlineStr">
        <is>
          <t>MNQZ5</t>
        </is>
      </c>
      <c r="D1913" s="9" t="n">
        <v>25421.5</v>
      </c>
      <c r="E1913" s="9" t="n">
        <v>25329.5</v>
      </c>
      <c r="F1913" s="9">
        <f>D1913-E1913</f>
        <v/>
      </c>
      <c r="G1913" s="8" t="inlineStr">
        <is>
          <t>Long</t>
        </is>
      </c>
      <c r="H1913" s="9" t="n">
        <v>25421.5</v>
      </c>
      <c r="I1913" s="9" t="n">
        <v>25484.75</v>
      </c>
      <c r="J1913" s="9">
        <f>IF(G1913="Long",I1913-H1913,IF(G1913="Short",H1913-I1913,0))</f>
        <v/>
      </c>
      <c r="K1913" s="10" t="n">
        <v>58.7</v>
      </c>
      <c r="L1913" s="8" t="inlineStr">
        <is>
          <t>EOD-Close</t>
        </is>
      </c>
      <c r="M1913" s="9">
        <f>M1912+J1913</f>
        <v/>
      </c>
    </row>
    <row r="1914">
      <c r="A1914" s="2" t="inlineStr">
        <is>
          <t>2025-12-01</t>
        </is>
      </c>
      <c r="B1914" s="2" t="inlineStr">
        <is>
          <t>Monday</t>
        </is>
      </c>
      <c r="C1914" s="2" t="inlineStr">
        <is>
          <t>MNQZ5</t>
        </is>
      </c>
      <c r="D1914" s="3" t="n">
        <v>25319.75</v>
      </c>
      <c r="E1914" s="3" t="n">
        <v>25209</v>
      </c>
      <c r="F1914" s="3">
        <f>D1914-E1914</f>
        <v/>
      </c>
      <c r="G1914" s="2" t="inlineStr">
        <is>
          <t>Long</t>
        </is>
      </c>
      <c r="H1914" s="3" t="n">
        <v>25319.75</v>
      </c>
      <c r="I1914" s="3" t="n">
        <v>25430.5</v>
      </c>
      <c r="J1914" s="3">
        <f>IF(G1914="Long",I1914-H1914,IF(G1914="Short",H1914-I1914,0))</f>
        <v/>
      </c>
      <c r="K1914" s="4" t="n">
        <v>48.31</v>
      </c>
      <c r="L1914" s="2" t="inlineStr">
        <is>
          <t>Win</t>
        </is>
      </c>
      <c r="M1914" s="3">
        <f>M1913+J1914</f>
        <v/>
      </c>
    </row>
    <row r="1915">
      <c r="A1915" s="5" t="inlineStr">
        <is>
          <t>2025-12-02</t>
        </is>
      </c>
      <c r="B1915" s="5" t="inlineStr">
        <is>
          <t>Tuesday</t>
        </is>
      </c>
      <c r="C1915" s="5" t="inlineStr">
        <is>
          <t>MNQZ5</t>
        </is>
      </c>
      <c r="D1915" s="6" t="n">
        <v>25613</v>
      </c>
      <c r="E1915" s="6" t="n">
        <v>25471.25</v>
      </c>
      <c r="F1915" s="6">
        <f>D1915-E1915</f>
        <v/>
      </c>
      <c r="G1915" s="5" t="inlineStr">
        <is>
          <t>Long</t>
        </is>
      </c>
      <c r="H1915" s="6" t="n">
        <v>25613</v>
      </c>
      <c r="I1915" s="6" t="n">
        <v>25471.25</v>
      </c>
      <c r="J1915" s="6">
        <f>IF(G1915="Long",I1915-H1915,IF(G1915="Short",H1915-I1915,0))</f>
        <v/>
      </c>
      <c r="K1915" s="7" t="n">
        <v>100</v>
      </c>
      <c r="L1915" s="5" t="inlineStr">
        <is>
          <t>Loss</t>
        </is>
      </c>
      <c r="M1915" s="6">
        <f>M1914+J1915</f>
        <v/>
      </c>
    </row>
    <row r="1916">
      <c r="A1916" s="5" t="inlineStr">
        <is>
          <t>2025-12-02</t>
        </is>
      </c>
      <c r="B1916" s="5" t="inlineStr">
        <is>
          <t>Tuesday</t>
        </is>
      </c>
      <c r="C1916" s="5" t="inlineStr">
        <is>
          <t>MNQZ5</t>
        </is>
      </c>
      <c r="D1916" s="6" t="n">
        <v>25613</v>
      </c>
      <c r="E1916" s="6" t="n">
        <v>25471.25</v>
      </c>
      <c r="F1916" s="6">
        <f>D1916-E1916</f>
        <v/>
      </c>
      <c r="G1916" s="5" t="inlineStr">
        <is>
          <t>Short</t>
        </is>
      </c>
      <c r="H1916" s="6" t="n">
        <v>25471.25</v>
      </c>
      <c r="I1916" s="6" t="n">
        <v>25613</v>
      </c>
      <c r="J1916" s="6">
        <f>IF(G1916="Long",I1916-H1916,IF(G1916="Short",H1916-I1916,0))</f>
        <v/>
      </c>
      <c r="K1916" s="7" t="n">
        <v>100</v>
      </c>
      <c r="L1916" s="5" t="inlineStr">
        <is>
          <t>Loss</t>
        </is>
      </c>
      <c r="M1916" s="6">
        <f>M1915+J1916</f>
        <v/>
      </c>
    </row>
    <row r="1917">
      <c r="A1917" s="2" t="inlineStr">
        <is>
          <t>2025-12-03</t>
        </is>
      </c>
      <c r="B1917" s="2" t="inlineStr">
        <is>
          <t>Wednesday</t>
        </is>
      </c>
      <c r="C1917" s="2" t="inlineStr">
        <is>
          <t>MNQZ5</t>
        </is>
      </c>
      <c r="D1917" s="3" t="n">
        <v>25538</v>
      </c>
      <c r="E1917" s="3" t="n">
        <v>25451.5</v>
      </c>
      <c r="F1917" s="3">
        <f>D1917-E1917</f>
        <v/>
      </c>
      <c r="G1917" s="2" t="inlineStr">
        <is>
          <t>Long</t>
        </is>
      </c>
      <c r="H1917" s="3" t="n">
        <v>25538</v>
      </c>
      <c r="I1917" s="3" t="n">
        <v>25624.5</v>
      </c>
      <c r="J1917" s="3">
        <f>IF(G1917="Long",I1917-H1917,IF(G1917="Short",H1917-I1917,0))</f>
        <v/>
      </c>
      <c r="K1917" s="4" t="n">
        <v>46.24</v>
      </c>
      <c r="L1917" s="2" t="inlineStr">
        <is>
          <t>Win</t>
        </is>
      </c>
      <c r="M1917" s="3">
        <f>M1916+J1917</f>
        <v/>
      </c>
    </row>
    <row r="1918">
      <c r="A1918" s="8" t="inlineStr">
        <is>
          <t>2025-12-04</t>
        </is>
      </c>
      <c r="B1918" s="8" t="inlineStr">
        <is>
          <t>Thursday</t>
        </is>
      </c>
      <c r="C1918" s="8" t="inlineStr">
        <is>
          <t>MNQZ5</t>
        </is>
      </c>
      <c r="D1918" s="9" t="n">
        <v>25713.25</v>
      </c>
      <c r="E1918" s="9" t="n">
        <v>25550.5</v>
      </c>
      <c r="F1918" s="9">
        <f>D1918-E1918</f>
        <v/>
      </c>
      <c r="G1918" s="8" t="inlineStr">
        <is>
          <t>Short</t>
        </is>
      </c>
      <c r="H1918" s="9" t="n">
        <v>25550.5</v>
      </c>
      <c r="I1918" s="9" t="n">
        <v>25627.5</v>
      </c>
      <c r="J1918" s="9">
        <f>IF(G1918="Long",I1918-H1918,IF(G1918="Short",H1918-I1918,0))</f>
        <v/>
      </c>
      <c r="K1918" s="10" t="n">
        <v>63.75</v>
      </c>
      <c r="L1918" s="8" t="inlineStr">
        <is>
          <t>EOD-Close</t>
        </is>
      </c>
      <c r="M1918" s="9">
        <f>M1917+J1918</f>
        <v/>
      </c>
    </row>
    <row r="1919">
      <c r="A1919" s="5" t="inlineStr">
        <is>
          <t>2025-12-05</t>
        </is>
      </c>
      <c r="B1919" s="5" t="inlineStr">
        <is>
          <t>Friday</t>
        </is>
      </c>
      <c r="C1919" s="5" t="inlineStr">
        <is>
          <t>MNQZ5</t>
        </is>
      </c>
      <c r="D1919" s="6" t="n">
        <v>25777.75</v>
      </c>
      <c r="E1919" s="6" t="n">
        <v>25660.5</v>
      </c>
      <c r="F1919" s="6">
        <f>D1919-E1919</f>
        <v/>
      </c>
      <c r="G1919" s="5" t="inlineStr">
        <is>
          <t>Long</t>
        </is>
      </c>
      <c r="H1919" s="6" t="n">
        <v>25777.75</v>
      </c>
      <c r="I1919" s="6" t="n">
        <v>25660.5</v>
      </c>
      <c r="J1919" s="6">
        <f>IF(G1919="Long",I1919-H1919,IF(G1919="Short",H1919-I1919,0))</f>
        <v/>
      </c>
      <c r="K1919" s="7" t="n">
        <v>100</v>
      </c>
      <c r="L1919" s="5" t="inlineStr">
        <is>
          <t>Loss</t>
        </is>
      </c>
      <c r="M1919" s="6">
        <f>M1918+J1919</f>
        <v/>
      </c>
    </row>
    <row r="1920">
      <c r="A1920" s="2" t="inlineStr">
        <is>
          <t>2025-12-08</t>
        </is>
      </c>
      <c r="B1920" s="2" t="inlineStr">
        <is>
          <t>Monday</t>
        </is>
      </c>
      <c r="C1920" s="2" t="inlineStr">
        <is>
          <t>MNQZ5</t>
        </is>
      </c>
      <c r="D1920" s="3" t="n">
        <v>25860.75</v>
      </c>
      <c r="E1920" s="3" t="n">
        <v>25768</v>
      </c>
      <c r="F1920" s="3">
        <f>D1920-E1920</f>
        <v/>
      </c>
      <c r="G1920" s="2" t="inlineStr">
        <is>
          <t>Short</t>
        </is>
      </c>
      <c r="H1920" s="3" t="n">
        <v>25768</v>
      </c>
      <c r="I1920" s="3" t="n">
        <v>25675.25</v>
      </c>
      <c r="J1920" s="3">
        <f>IF(G1920="Long",I1920-H1920,IF(G1920="Short",H1920-I1920,0))</f>
        <v/>
      </c>
      <c r="K1920" s="4" t="n">
        <v>14.29</v>
      </c>
      <c r="L1920" s="2" t="inlineStr">
        <is>
          <t>Win</t>
        </is>
      </c>
      <c r="M1920" s="3">
        <f>M1919+J1920</f>
        <v/>
      </c>
    </row>
    <row r="1921">
      <c r="A1921" s="8" t="inlineStr">
        <is>
          <t>2025-12-09</t>
        </is>
      </c>
      <c r="B1921" s="8" t="inlineStr">
        <is>
          <t>Tuesday</t>
        </is>
      </c>
      <c r="C1921" s="8" t="inlineStr">
        <is>
          <t>MNQZ5</t>
        </is>
      </c>
      <c r="D1921" s="9" t="n">
        <v>25653.25</v>
      </c>
      <c r="E1921" s="9" t="n">
        <v>25560</v>
      </c>
      <c r="F1921" s="9">
        <f>D1921-E1921</f>
        <v/>
      </c>
      <c r="G1921" s="8" t="inlineStr">
        <is>
          <t>Long</t>
        </is>
      </c>
      <c r="H1921" s="9" t="n">
        <v>25653.25</v>
      </c>
      <c r="I1921" s="9" t="n">
        <v>25703</v>
      </c>
      <c r="J1921" s="9">
        <f>IF(G1921="Long",I1921-H1921,IF(G1921="Short",H1921-I1921,0))</f>
        <v/>
      </c>
      <c r="K1921" s="10" t="n">
        <v>19.03</v>
      </c>
      <c r="L1921" s="8" t="inlineStr">
        <is>
          <t>EOD-Close</t>
        </is>
      </c>
      <c r="M1921" s="9">
        <f>M1920+J1921</f>
        <v/>
      </c>
    </row>
    <row r="1922">
      <c r="A1922" s="5" t="inlineStr">
        <is>
          <t>2025-12-10</t>
        </is>
      </c>
      <c r="B1922" s="5" t="inlineStr">
        <is>
          <t>Wednesday</t>
        </is>
      </c>
      <c r="C1922" s="5" t="inlineStr">
        <is>
          <t>MNQZ5</t>
        </is>
      </c>
      <c r="D1922" s="6" t="n">
        <v>25663.25</v>
      </c>
      <c r="E1922" s="6" t="n">
        <v>25567</v>
      </c>
      <c r="F1922" s="6">
        <f>D1922-E1922</f>
        <v/>
      </c>
      <c r="G1922" s="5" t="inlineStr">
        <is>
          <t>Short</t>
        </is>
      </c>
      <c r="H1922" s="6" t="n">
        <v>25567</v>
      </c>
      <c r="I1922" s="6" t="n">
        <v>25663.25</v>
      </c>
      <c r="J1922" s="6">
        <f>IF(G1922="Long",I1922-H1922,IF(G1922="Short",H1922-I1922,0))</f>
        <v/>
      </c>
      <c r="K1922" s="7" t="n">
        <v>100</v>
      </c>
      <c r="L1922" s="5" t="inlineStr">
        <is>
          <t>Loss</t>
        </is>
      </c>
      <c r="M1922" s="6">
        <f>M1921+J1922</f>
        <v/>
      </c>
    </row>
    <row r="1923">
      <c r="A1923" s="2" t="inlineStr">
        <is>
          <t>2025-12-10</t>
        </is>
      </c>
      <c r="B1923" s="2" t="inlineStr">
        <is>
          <t>Wednesday</t>
        </is>
      </c>
      <c r="C1923" s="2" t="inlineStr">
        <is>
          <t>MNQZ5</t>
        </is>
      </c>
      <c r="D1923" s="3" t="n">
        <v>25663.25</v>
      </c>
      <c r="E1923" s="3" t="n">
        <v>25567</v>
      </c>
      <c r="F1923" s="3">
        <f>D1923-E1923</f>
        <v/>
      </c>
      <c r="G1923" s="2" t="inlineStr">
        <is>
          <t>Long</t>
        </is>
      </c>
      <c r="H1923" s="3" t="n">
        <v>25663.25</v>
      </c>
      <c r="I1923" s="3" t="n">
        <v>25759.5</v>
      </c>
      <c r="J1923" s="3">
        <f>IF(G1923="Long",I1923-H1923,IF(G1923="Short",H1923-I1923,0))</f>
        <v/>
      </c>
      <c r="K1923" s="4" t="n">
        <v>87.53</v>
      </c>
      <c r="L1923" s="2" t="inlineStr">
        <is>
          <t>Win</t>
        </is>
      </c>
      <c r="M1923" s="3">
        <f>M1922+J1923</f>
        <v/>
      </c>
    </row>
    <row r="1924">
      <c r="A1924" s="2" t="inlineStr">
        <is>
          <t>2025-12-11</t>
        </is>
      </c>
      <c r="B1924" s="2" t="inlineStr">
        <is>
          <t>Thursday</t>
        </is>
      </c>
      <c r="C1924" s="2" t="inlineStr">
        <is>
          <t>MNQZ5</t>
        </is>
      </c>
      <c r="D1924" s="3" t="n">
        <v>25649.75</v>
      </c>
      <c r="E1924" s="3" t="n">
        <v>25555.75</v>
      </c>
      <c r="F1924" s="3">
        <f>D1924-E1924</f>
        <v/>
      </c>
      <c r="G1924" s="2" t="inlineStr">
        <is>
          <t>Short</t>
        </is>
      </c>
      <c r="H1924" s="3" t="n">
        <v>25555.75</v>
      </c>
      <c r="I1924" s="3" t="n">
        <v>25461.75</v>
      </c>
      <c r="J1924" s="3">
        <f>IF(G1924="Long",I1924-H1924,IF(G1924="Short",H1924-I1924,0))</f>
        <v/>
      </c>
      <c r="K1924" s="4" t="n">
        <v>0</v>
      </c>
      <c r="L1924" s="2" t="inlineStr">
        <is>
          <t>Win</t>
        </is>
      </c>
      <c r="M1924" s="3">
        <f>M1923+J1924</f>
        <v/>
      </c>
    </row>
    <row r="1925">
      <c r="A1925" s="2" t="inlineStr">
        <is>
          <t>2025-12-11</t>
        </is>
      </c>
      <c r="B1925" s="2" t="inlineStr">
        <is>
          <t>Thursday</t>
        </is>
      </c>
      <c r="C1925" s="2" t="inlineStr">
        <is>
          <t>MNQZ5</t>
        </is>
      </c>
      <c r="D1925" s="3" t="n">
        <v>25649.75</v>
      </c>
      <c r="E1925" s="3" t="n">
        <v>25555.75</v>
      </c>
      <c r="F1925" s="3">
        <f>D1925-E1925</f>
        <v/>
      </c>
      <c r="G1925" s="2" t="inlineStr">
        <is>
          <t>Short</t>
        </is>
      </c>
      <c r="H1925" s="3" t="n">
        <v>25555.75</v>
      </c>
      <c r="I1925" s="3" t="n">
        <v>25461.75</v>
      </c>
      <c r="J1925" s="3">
        <f>IF(G1925="Long",I1925-H1925,IF(G1925="Short",H1925-I1925,0))</f>
        <v/>
      </c>
      <c r="K1925" s="4" t="n">
        <v>78.19</v>
      </c>
      <c r="L1925" s="2" t="inlineStr">
        <is>
          <t>Win</t>
        </is>
      </c>
      <c r="M1925" s="3">
        <f>M1924+J1925</f>
        <v/>
      </c>
    </row>
    <row r="1926">
      <c r="A1926" s="2" t="inlineStr">
        <is>
          <t>2025-12-12</t>
        </is>
      </c>
      <c r="B1926" s="2" t="inlineStr">
        <is>
          <t>Friday</t>
        </is>
      </c>
      <c r="C1926" s="2" t="inlineStr">
        <is>
          <t>MNQZ5</t>
        </is>
      </c>
      <c r="D1926" s="3" t="n">
        <v>25620.5</v>
      </c>
      <c r="E1926" s="3" t="n">
        <v>25522</v>
      </c>
      <c r="F1926" s="3">
        <f>D1926-E1926</f>
        <v/>
      </c>
      <c r="G1926" s="2" t="inlineStr">
        <is>
          <t>Short</t>
        </is>
      </c>
      <c r="H1926" s="3" t="n">
        <v>25522</v>
      </c>
      <c r="I1926" s="3" t="n">
        <v>25423.5</v>
      </c>
      <c r="J1926" s="3">
        <f>IF(G1926="Long",I1926-H1926,IF(G1926="Short",H1926-I1926,0))</f>
        <v/>
      </c>
      <c r="K1926" s="4" t="n">
        <v>50.25</v>
      </c>
      <c r="L1926" s="2" t="inlineStr">
        <is>
          <t>Win</t>
        </is>
      </c>
      <c r="M1926" s="3">
        <f>M1925+J1926</f>
        <v/>
      </c>
    </row>
    <row r="1927">
      <c r="A1927" s="2" t="inlineStr">
        <is>
          <t>2025-12-15</t>
        </is>
      </c>
      <c r="B1927" s="2" t="inlineStr">
        <is>
          <t>Monday</t>
        </is>
      </c>
      <c r="C1927" s="2" t="inlineStr">
        <is>
          <t>MNQH6</t>
        </is>
      </c>
      <c r="D1927" s="3" t="n">
        <v>25670</v>
      </c>
      <c r="E1927" s="3" t="n">
        <v>25541</v>
      </c>
      <c r="F1927" s="3">
        <f>D1927-E1927</f>
        <v/>
      </c>
      <c r="G1927" s="2" t="inlineStr">
        <is>
          <t>Short</t>
        </is>
      </c>
      <c r="H1927" s="3" t="n">
        <v>25541</v>
      </c>
      <c r="I1927" s="3" t="n">
        <v>25412</v>
      </c>
      <c r="J1927" s="3">
        <f>IF(G1927="Long",I1927-H1927,IF(G1927="Short",H1927-I1927,0))</f>
        <v/>
      </c>
      <c r="K1927" s="4" t="n">
        <v>0</v>
      </c>
      <c r="L1927" s="2" t="inlineStr">
        <is>
          <t>Win</t>
        </is>
      </c>
      <c r="M1927" s="3">
        <f>M1926+J1927</f>
        <v/>
      </c>
    </row>
    <row r="1928">
      <c r="A1928" s="5" t="inlineStr">
        <is>
          <t>2025-12-16</t>
        </is>
      </c>
      <c r="B1928" s="5" t="inlineStr">
        <is>
          <t>Tuesday</t>
        </is>
      </c>
      <c r="C1928" s="5" t="inlineStr">
        <is>
          <t>MNQH6</t>
        </is>
      </c>
      <c r="D1928" s="6" t="n">
        <v>25351</v>
      </c>
      <c r="E1928" s="6" t="n">
        <v>25209.75</v>
      </c>
      <c r="F1928" s="6">
        <f>D1928-E1928</f>
        <v/>
      </c>
      <c r="G1928" s="5" t="inlineStr">
        <is>
          <t>Long</t>
        </is>
      </c>
      <c r="H1928" s="6" t="n">
        <v>25351</v>
      </c>
      <c r="I1928" s="6" t="n">
        <v>25209.75</v>
      </c>
      <c r="J1928" s="6">
        <f>IF(G1928="Long",I1928-H1928,IF(G1928="Short",H1928-I1928,0))</f>
        <v/>
      </c>
      <c r="K1928" s="7" t="n">
        <v>100</v>
      </c>
      <c r="L1928" s="5" t="inlineStr">
        <is>
          <t>Loss</t>
        </is>
      </c>
      <c r="M1928" s="6">
        <f>M1927+J1928</f>
        <v/>
      </c>
    </row>
    <row r="1929">
      <c r="A1929" s="5" t="inlineStr">
        <is>
          <t>2025-12-16</t>
        </is>
      </c>
      <c r="B1929" s="5" t="inlineStr">
        <is>
          <t>Tuesday</t>
        </is>
      </c>
      <c r="C1929" s="5" t="inlineStr">
        <is>
          <t>MNQH6</t>
        </is>
      </c>
      <c r="D1929" s="6" t="n">
        <v>25351</v>
      </c>
      <c r="E1929" s="6" t="n">
        <v>25209.75</v>
      </c>
      <c r="F1929" s="6">
        <f>D1929-E1929</f>
        <v/>
      </c>
      <c r="G1929" s="5" t="inlineStr">
        <is>
          <t>Short</t>
        </is>
      </c>
      <c r="H1929" s="6" t="n">
        <v>25209.75</v>
      </c>
      <c r="I1929" s="6" t="n">
        <v>25351</v>
      </c>
      <c r="J1929" s="6">
        <f>IF(G1929="Long",I1929-H1929,IF(G1929="Short",H1929-I1929,0))</f>
        <v/>
      </c>
      <c r="K1929" s="7" t="n">
        <v>100</v>
      </c>
      <c r="L1929" s="5" t="inlineStr">
        <is>
          <t>Loss</t>
        </is>
      </c>
      <c r="M1929" s="6">
        <f>M1928+J1929</f>
        <v/>
      </c>
    </row>
    <row r="1930">
      <c r="A1930" s="2" t="inlineStr">
        <is>
          <t>2025-12-17</t>
        </is>
      </c>
      <c r="B1930" s="2" t="inlineStr">
        <is>
          <t>Wednesday</t>
        </is>
      </c>
      <c r="C1930" s="2" t="inlineStr">
        <is>
          <t>MNQH6</t>
        </is>
      </c>
      <c r="D1930" s="3" t="n">
        <v>25449.25</v>
      </c>
      <c r="E1930" s="3" t="n">
        <v>25296.75</v>
      </c>
      <c r="F1930" s="3">
        <f>D1930-E1930</f>
        <v/>
      </c>
      <c r="G1930" s="2" t="inlineStr">
        <is>
          <t>Short</t>
        </is>
      </c>
      <c r="H1930" s="3" t="n">
        <v>25296.75</v>
      </c>
      <c r="I1930" s="3" t="n">
        <v>25144.25</v>
      </c>
      <c r="J1930" s="3">
        <f>IF(G1930="Long",I1930-H1930,IF(G1930="Short",H1930-I1930,0))</f>
        <v/>
      </c>
      <c r="K1930" s="4" t="n">
        <v>34.43</v>
      </c>
      <c r="L1930" s="2" t="inlineStr">
        <is>
          <t>Win</t>
        </is>
      </c>
      <c r="M1930" s="3">
        <f>M1929+J1930</f>
        <v/>
      </c>
    </row>
    <row r="1931">
      <c r="A1931" s="8" t="inlineStr">
        <is>
          <t>2025-12-18</t>
        </is>
      </c>
      <c r="B1931" s="8" t="inlineStr">
        <is>
          <t>Thursday</t>
        </is>
      </c>
      <c r="C1931" s="8" t="inlineStr">
        <is>
          <t>MNQH6</t>
        </is>
      </c>
      <c r="D1931" s="9" t="n">
        <v>25329.5</v>
      </c>
      <c r="E1931" s="9" t="n">
        <v>25173</v>
      </c>
      <c r="F1931" s="9">
        <f>D1931-E1931</f>
        <v/>
      </c>
      <c r="G1931" s="8" t="inlineStr">
        <is>
          <t>Long</t>
        </is>
      </c>
      <c r="H1931" s="9" t="n">
        <v>25329.5</v>
      </c>
      <c r="I1931" s="9" t="n">
        <v>25252</v>
      </c>
      <c r="J1931" s="9">
        <f>IF(G1931="Long",I1931-H1931,IF(G1931="Short",H1931-I1931,0))</f>
        <v/>
      </c>
      <c r="K1931" s="10" t="n">
        <v>92.48999999999999</v>
      </c>
      <c r="L1931" s="8" t="inlineStr">
        <is>
          <t>EOD-Close</t>
        </is>
      </c>
      <c r="M1931" s="9">
        <f>M1930+J1931</f>
        <v/>
      </c>
    </row>
    <row r="1932">
      <c r="A1932" s="8" t="inlineStr">
        <is>
          <t>2025-12-19</t>
        </is>
      </c>
      <c r="B1932" s="8" t="inlineStr">
        <is>
          <t>Friday</t>
        </is>
      </c>
      <c r="C1932" s="8" t="inlineStr">
        <is>
          <t>MNQH6</t>
        </is>
      </c>
      <c r="D1932" s="9" t="n">
        <v>25548.75</v>
      </c>
      <c r="E1932" s="9" t="n">
        <v>25356.25</v>
      </c>
      <c r="F1932" s="9">
        <f>D1932-E1932</f>
        <v/>
      </c>
      <c r="G1932" s="8" t="inlineStr">
        <is>
          <t>Long</t>
        </is>
      </c>
      <c r="H1932" s="9" t="n">
        <v>25548.75</v>
      </c>
      <c r="I1932" s="9" t="n">
        <v>25581.25</v>
      </c>
      <c r="J1932" s="9">
        <f>IF(G1932="Long",I1932-H1932,IF(G1932="Short",H1932-I1932,0))</f>
        <v/>
      </c>
      <c r="K1932" s="10" t="n">
        <v>46.23</v>
      </c>
      <c r="L1932" s="8" t="inlineStr">
        <is>
          <t>EOD-Close</t>
        </is>
      </c>
      <c r="M1932" s="9">
        <f>M1931+J1932</f>
        <v/>
      </c>
    </row>
    <row r="1933">
      <c r="A1933" s="8" t="inlineStr">
        <is>
          <t>2025-12-22</t>
        </is>
      </c>
      <c r="B1933" s="8" t="inlineStr">
        <is>
          <t>Monday</t>
        </is>
      </c>
      <c r="C1933" s="8" t="inlineStr">
        <is>
          <t>MNQH6</t>
        </is>
      </c>
      <c r="D1933" s="9" t="n">
        <v>25795</v>
      </c>
      <c r="E1933" s="9" t="n">
        <v>25671</v>
      </c>
      <c r="F1933" s="9">
        <f>D1933-E1933</f>
        <v/>
      </c>
      <c r="G1933" s="8" t="inlineStr">
        <is>
          <t>Short</t>
        </is>
      </c>
      <c r="H1933" s="9" t="n">
        <v>25671</v>
      </c>
      <c r="I1933" s="9" t="n">
        <v>25688.25</v>
      </c>
      <c r="J1933" s="9">
        <f>IF(G1933="Long",I1933-H1933,IF(G1933="Short",H1933-I1933,0))</f>
        <v/>
      </c>
      <c r="K1933" s="10" t="n">
        <v>48.59</v>
      </c>
      <c r="L1933" s="8" t="inlineStr">
        <is>
          <t>EOD-Close</t>
        </is>
      </c>
      <c r="M1933" s="9">
        <f>M1932+J1933</f>
        <v/>
      </c>
    </row>
    <row r="1934">
      <c r="A1934" s="5" t="inlineStr">
        <is>
          <t>2025-12-23</t>
        </is>
      </c>
      <c r="B1934" s="5" t="inlineStr">
        <is>
          <t>Tuesday</t>
        </is>
      </c>
      <c r="C1934" s="5" t="inlineStr">
        <is>
          <t>MNQH6</t>
        </is>
      </c>
      <c r="D1934" s="6" t="n">
        <v>25737.5</v>
      </c>
      <c r="E1934" s="6" t="n">
        <v>25638</v>
      </c>
      <c r="F1934" s="6">
        <f>D1934-E1934</f>
        <v/>
      </c>
      <c r="G1934" s="5" t="inlineStr">
        <is>
          <t>Short</t>
        </is>
      </c>
      <c r="H1934" s="6" t="n">
        <v>25638</v>
      </c>
      <c r="I1934" s="6" t="n">
        <v>25737.5</v>
      </c>
      <c r="J1934" s="6">
        <f>IF(G1934="Long",I1934-H1934,IF(G1934="Short",H1934-I1934,0))</f>
        <v/>
      </c>
      <c r="K1934" s="7" t="n">
        <v>100</v>
      </c>
      <c r="L1934" s="5" t="inlineStr">
        <is>
          <t>Loss</t>
        </is>
      </c>
      <c r="M1934" s="6">
        <f>M1933+J1934</f>
        <v/>
      </c>
    </row>
    <row r="1935">
      <c r="A1935" s="8" t="inlineStr">
        <is>
          <t>2025-12-23</t>
        </is>
      </c>
      <c r="B1935" s="8" t="inlineStr">
        <is>
          <t>Tuesday</t>
        </is>
      </c>
      <c r="C1935" s="8" t="inlineStr">
        <is>
          <t>MNQH6</t>
        </is>
      </c>
      <c r="D1935" s="9" t="n">
        <v>25737.5</v>
      </c>
      <c r="E1935" s="9" t="n">
        <v>25638</v>
      </c>
      <c r="F1935" s="9">
        <f>D1935-E1935</f>
        <v/>
      </c>
      <c r="G1935" s="8" t="inlineStr">
        <is>
          <t>Long</t>
        </is>
      </c>
      <c r="H1935" s="9" t="n">
        <v>25737.5</v>
      </c>
      <c r="I1935" s="9" t="n">
        <v>25811.25</v>
      </c>
      <c r="J1935" s="9">
        <f>IF(G1935="Long",I1935-H1935,IF(G1935="Short",H1935-I1935,0))</f>
        <v/>
      </c>
      <c r="K1935" s="10" t="n">
        <v>9.550000000000001</v>
      </c>
      <c r="L1935" s="8" t="inlineStr">
        <is>
          <t>EOD-Close</t>
        </is>
      </c>
      <c r="M1935" s="9">
        <f>M1934+J1935</f>
        <v/>
      </c>
    </row>
    <row r="1936">
      <c r="A1936" s="2" t="inlineStr">
        <is>
          <t>2025-12-24</t>
        </is>
      </c>
      <c r="B1936" s="2" t="inlineStr">
        <is>
          <t>Wednesday</t>
        </is>
      </c>
      <c r="C1936" s="2" t="inlineStr">
        <is>
          <t>MNQH6</t>
        </is>
      </c>
      <c r="D1936" s="3" t="n">
        <v>25827.5</v>
      </c>
      <c r="E1936" s="3" t="n">
        <v>25781.75</v>
      </c>
      <c r="F1936" s="3">
        <f>D1936-E1936</f>
        <v/>
      </c>
      <c r="G1936" s="2" t="inlineStr">
        <is>
          <t>Long</t>
        </is>
      </c>
      <c r="H1936" s="3" t="n">
        <v>25827.5</v>
      </c>
      <c r="I1936" s="3" t="n">
        <v>25873.25</v>
      </c>
      <c r="J1936" s="3">
        <f>IF(G1936="Long",I1936-H1936,IF(G1936="Short",H1936-I1936,0))</f>
        <v/>
      </c>
      <c r="K1936" s="4" t="n">
        <v>51.37</v>
      </c>
      <c r="L1936" s="2" t="inlineStr">
        <is>
          <t>Win</t>
        </is>
      </c>
      <c r="M1936" s="3">
        <f>M1935+J1936</f>
        <v/>
      </c>
    </row>
    <row r="1937">
      <c r="A1937" s="8" t="inlineStr">
        <is>
          <t>2025-12-26</t>
        </is>
      </c>
      <c r="B1937" s="8" t="inlineStr">
        <is>
          <t>Friday</t>
        </is>
      </c>
      <c r="C1937" s="8" t="inlineStr">
        <is>
          <t>MNQH6</t>
        </is>
      </c>
      <c r="D1937" s="9" t="n">
        <v>25932.5</v>
      </c>
      <c r="E1937" s="9" t="n">
        <v>25864.5</v>
      </c>
      <c r="F1937" s="9">
        <f>D1937-E1937</f>
        <v/>
      </c>
      <c r="G1937" s="8" t="inlineStr">
        <is>
          <t>Short</t>
        </is>
      </c>
      <c r="H1937" s="9" t="n">
        <v>25864.5</v>
      </c>
      <c r="I1937" s="9" t="n">
        <v>25866.75</v>
      </c>
      <c r="J1937" s="9">
        <f>IF(G1937="Long",I1937-H1937,IF(G1937="Short",H1937-I1937,0))</f>
        <v/>
      </c>
      <c r="K1937" s="10" t="n">
        <v>68.38</v>
      </c>
      <c r="L1937" s="8" t="inlineStr">
        <is>
          <t>EOD-Close</t>
        </is>
      </c>
      <c r="M1937" s="9">
        <f>M1936+J1937</f>
        <v/>
      </c>
    </row>
    <row r="1938">
      <c r="A1938" s="8" t="inlineStr">
        <is>
          <t>2025-12-29</t>
        </is>
      </c>
      <c r="B1938" s="8" t="inlineStr">
        <is>
          <t>Monday</t>
        </is>
      </c>
      <c r="C1938" s="8" t="inlineStr">
        <is>
          <t>MNQH6</t>
        </is>
      </c>
      <c r="D1938" s="9" t="n">
        <v>25818.75</v>
      </c>
      <c r="E1938" s="9" t="n">
        <v>25664.25</v>
      </c>
      <c r="F1938" s="9">
        <f>D1938-E1938</f>
        <v/>
      </c>
      <c r="G1938" s="8" t="inlineStr">
        <is>
          <t>Short</t>
        </is>
      </c>
      <c r="H1938" s="9" t="n">
        <v>25664.25</v>
      </c>
      <c r="I1938" s="9" t="n">
        <v>25741.25</v>
      </c>
      <c r="J1938" s="9">
        <f>IF(G1938="Long",I1938-H1938,IF(G1938="Short",H1938-I1938,0))</f>
        <v/>
      </c>
      <c r="K1938" s="10" t="n">
        <v>71.36</v>
      </c>
      <c r="L1938" s="8" t="inlineStr">
        <is>
          <t>EOD-Close</t>
        </is>
      </c>
      <c r="M1938" s="9">
        <f>M1937+J1938</f>
        <v/>
      </c>
    </row>
    <row r="1939">
      <c r="A1939" s="2" t="inlineStr">
        <is>
          <t>2025-12-30</t>
        </is>
      </c>
      <c r="B1939" s="2" t="inlineStr">
        <is>
          <t>Tuesday</t>
        </is>
      </c>
      <c r="C1939" s="2" t="inlineStr">
        <is>
          <t>MNQH6</t>
        </is>
      </c>
      <c r="D1939" s="3" t="n">
        <v>25733</v>
      </c>
      <c r="E1939" s="3" t="n">
        <v>25675.5</v>
      </c>
      <c r="F1939" s="3">
        <f>D1939-E1939</f>
        <v/>
      </c>
      <c r="G1939" s="2" t="inlineStr">
        <is>
          <t>Long</t>
        </is>
      </c>
      <c r="H1939" s="3" t="n">
        <v>25733</v>
      </c>
      <c r="I1939" s="3" t="n">
        <v>25790.5</v>
      </c>
      <c r="J1939" s="3">
        <f>IF(G1939="Long",I1939-H1939,IF(G1939="Short",H1939-I1939,0))</f>
        <v/>
      </c>
      <c r="K1939" s="4" t="n">
        <v>95.22</v>
      </c>
      <c r="L1939" s="2" t="inlineStr">
        <is>
          <t>Win</t>
        </is>
      </c>
      <c r="M1939" s="3">
        <f>M1938+J1939</f>
        <v/>
      </c>
    </row>
    <row r="1940">
      <c r="A1940" s="5" t="inlineStr">
        <is>
          <t>2025-12-30</t>
        </is>
      </c>
      <c r="B1940" s="5" t="inlineStr">
        <is>
          <t>Tuesday</t>
        </is>
      </c>
      <c r="C1940" s="5" t="inlineStr">
        <is>
          <t>MNQH6</t>
        </is>
      </c>
      <c r="D1940" s="6" t="n">
        <v>25733</v>
      </c>
      <c r="E1940" s="6" t="n">
        <v>25675.5</v>
      </c>
      <c r="F1940" s="6">
        <f>D1940-E1940</f>
        <v/>
      </c>
      <c r="G1940" s="5" t="inlineStr">
        <is>
          <t>Long</t>
        </is>
      </c>
      <c r="H1940" s="6" t="n">
        <v>25733</v>
      </c>
      <c r="I1940" s="6" t="n">
        <v>25675.5</v>
      </c>
      <c r="J1940" s="6">
        <f>IF(G1940="Long",I1940-H1940,IF(G1940="Short",H1940-I1940,0))</f>
        <v/>
      </c>
      <c r="K1940" s="7" t="n">
        <v>100</v>
      </c>
      <c r="L1940" s="5" t="inlineStr">
        <is>
          <t>Loss</t>
        </is>
      </c>
      <c r="M1940" s="6">
        <f>M1939+J1940</f>
        <v/>
      </c>
    </row>
    <row r="1941">
      <c r="A1941" s="2" t="inlineStr">
        <is>
          <t>2025-12-31</t>
        </is>
      </c>
      <c r="B1941" s="2" t="inlineStr">
        <is>
          <t>Wednesday</t>
        </is>
      </c>
      <c r="C1941" s="2" t="inlineStr">
        <is>
          <t>MNQH6</t>
        </is>
      </c>
      <c r="D1941" s="3" t="n">
        <v>25692.25</v>
      </c>
      <c r="E1941" s="3" t="n">
        <v>25608.75</v>
      </c>
      <c r="F1941" s="3">
        <f>D1941-E1941</f>
        <v/>
      </c>
      <c r="G1941" s="2" t="inlineStr">
        <is>
          <t>Short</t>
        </is>
      </c>
      <c r="H1941" s="3" t="n">
        <v>25608.75</v>
      </c>
      <c r="I1941" s="3" t="n">
        <v>25525.25</v>
      </c>
      <c r="J1941" s="3">
        <f>IF(G1941="Long",I1941-H1941,IF(G1941="Short",H1941-I1941,0))</f>
        <v/>
      </c>
      <c r="K1941" s="4" t="n">
        <v>32.04</v>
      </c>
      <c r="L1941" s="2" t="inlineStr">
        <is>
          <t>Win</t>
        </is>
      </c>
      <c r="M1941" s="3">
        <f>M1940+J1941</f>
        <v/>
      </c>
    </row>
    <row r="1942">
      <c r="A1942" s="5" t="inlineStr">
        <is>
          <t>2026-01-02</t>
        </is>
      </c>
      <c r="B1942" s="5" t="inlineStr">
        <is>
          <t>Friday</t>
        </is>
      </c>
      <c r="C1942" s="5" t="inlineStr">
        <is>
          <t>MNQH6</t>
        </is>
      </c>
      <c r="D1942" s="6" t="n">
        <v>25733.5</v>
      </c>
      <c r="E1942" s="6" t="n">
        <v>25638</v>
      </c>
      <c r="F1942" s="6">
        <f>D1942-E1942</f>
        <v/>
      </c>
      <c r="G1942" s="5" t="inlineStr">
        <is>
          <t>Long</t>
        </is>
      </c>
      <c r="H1942" s="6" t="n">
        <v>25733.5</v>
      </c>
      <c r="I1942" s="6" t="n">
        <v>25638</v>
      </c>
      <c r="J1942" s="6">
        <f>IF(G1942="Long",I1942-H1942,IF(G1942="Short",H1942-I1942,0))</f>
        <v/>
      </c>
      <c r="K1942" s="7" t="n">
        <v>100</v>
      </c>
      <c r="L1942" s="5" t="inlineStr">
        <is>
          <t>Loss</t>
        </is>
      </c>
      <c r="M1942" s="6">
        <f>M1941+J1942</f>
        <v/>
      </c>
    </row>
    <row r="1943">
      <c r="A1943" s="2" t="inlineStr">
        <is>
          <t>2026-01-02</t>
        </is>
      </c>
      <c r="B1943" s="2" t="inlineStr">
        <is>
          <t>Friday</t>
        </is>
      </c>
      <c r="C1943" s="2" t="inlineStr">
        <is>
          <t>MNQH6</t>
        </is>
      </c>
      <c r="D1943" s="3" t="n">
        <v>25733.5</v>
      </c>
      <c r="E1943" s="3" t="n">
        <v>25638</v>
      </c>
      <c r="F1943" s="3">
        <f>D1943-E1943</f>
        <v/>
      </c>
      <c r="G1943" s="2" t="inlineStr">
        <is>
          <t>Short</t>
        </is>
      </c>
      <c r="H1943" s="3" t="n">
        <v>25638</v>
      </c>
      <c r="I1943" s="3" t="n">
        <v>25542.5</v>
      </c>
      <c r="J1943" s="3">
        <f>IF(G1943="Long",I1943-H1943,IF(G1943="Short",H1943-I1943,0))</f>
        <v/>
      </c>
      <c r="K1943" s="4" t="n">
        <v>0</v>
      </c>
      <c r="L1943" s="2" t="inlineStr">
        <is>
          <t>Win</t>
        </is>
      </c>
      <c r="M1943" s="3">
        <f>M1942+J1943</f>
        <v/>
      </c>
    </row>
    <row r="1944">
      <c r="A1944" s="8" t="inlineStr">
        <is>
          <t>2026-01-05</t>
        </is>
      </c>
      <c r="B1944" s="8" t="inlineStr">
        <is>
          <t>Monday</t>
        </is>
      </c>
      <c r="C1944" s="8" t="inlineStr">
        <is>
          <t>MNQH6</t>
        </is>
      </c>
      <c r="D1944" s="9" t="n">
        <v>25673.25</v>
      </c>
      <c r="E1944" s="9" t="n">
        <v>25538.5</v>
      </c>
      <c r="F1944" s="9">
        <f>D1944-E1944</f>
        <v/>
      </c>
      <c r="G1944" s="8" t="inlineStr">
        <is>
          <t>Long</t>
        </is>
      </c>
      <c r="H1944" s="9" t="n">
        <v>25673.25</v>
      </c>
      <c r="I1944" s="9" t="n">
        <v>25587</v>
      </c>
      <c r="J1944" s="9">
        <f>IF(G1944="Long",I1944-H1944,IF(G1944="Short",H1944-I1944,0))</f>
        <v/>
      </c>
      <c r="K1944" s="10" t="n">
        <v>92.58</v>
      </c>
      <c r="L1944" s="8" t="inlineStr">
        <is>
          <t>EOD-Close</t>
        </is>
      </c>
      <c r="M1944" s="9">
        <f>M1943+J1944</f>
        <v/>
      </c>
    </row>
    <row r="1945">
      <c r="A1945" s="2" t="inlineStr">
        <is>
          <t>2026-01-06</t>
        </is>
      </c>
      <c r="B1945" s="2" t="inlineStr">
        <is>
          <t>Tuesday</t>
        </is>
      </c>
      <c r="C1945" s="2" t="inlineStr">
        <is>
          <t>MNQH6</t>
        </is>
      </c>
      <c r="D1945" s="3" t="n">
        <v>25679</v>
      </c>
      <c r="E1945" s="3" t="n">
        <v>25608.75</v>
      </c>
      <c r="F1945" s="3">
        <f>D1945-E1945</f>
        <v/>
      </c>
      <c r="G1945" s="2" t="inlineStr">
        <is>
          <t>Long</t>
        </is>
      </c>
      <c r="H1945" s="3" t="n">
        <v>25679</v>
      </c>
      <c r="I1945" s="3" t="n">
        <v>25749.25</v>
      </c>
      <c r="J1945" s="3">
        <f>IF(G1945="Long",I1945-H1945,IF(G1945="Short",H1945-I1945,0))</f>
        <v/>
      </c>
      <c r="K1945" s="4" t="n">
        <v>0</v>
      </c>
      <c r="L1945" s="2" t="inlineStr">
        <is>
          <t>Win</t>
        </is>
      </c>
      <c r="M1945" s="3">
        <f>M1944+J1945</f>
        <v/>
      </c>
    </row>
    <row r="1946">
      <c r="A1946" s="2" t="inlineStr">
        <is>
          <t>2026-01-06</t>
        </is>
      </c>
      <c r="B1946" s="2" t="inlineStr">
        <is>
          <t>Tuesday</t>
        </is>
      </c>
      <c r="C1946" s="2" t="inlineStr">
        <is>
          <t>MNQH6</t>
        </is>
      </c>
      <c r="D1946" s="3" t="n">
        <v>25679</v>
      </c>
      <c r="E1946" s="3" t="n">
        <v>25608.75</v>
      </c>
      <c r="F1946" s="3">
        <f>D1946-E1946</f>
        <v/>
      </c>
      <c r="G1946" s="2" t="inlineStr">
        <is>
          <t>Long</t>
        </is>
      </c>
      <c r="H1946" s="3" t="n">
        <v>25679</v>
      </c>
      <c r="I1946" s="3" t="n">
        <v>25749.25</v>
      </c>
      <c r="J1946" s="3">
        <f>IF(G1946="Long",I1946-H1946,IF(G1946="Short",H1946-I1946,0))</f>
        <v/>
      </c>
      <c r="K1946" s="4" t="n">
        <v>56.94</v>
      </c>
      <c r="L1946" s="2" t="inlineStr">
        <is>
          <t>Win</t>
        </is>
      </c>
      <c r="M1946" s="3">
        <f>M1945+J1946</f>
        <v/>
      </c>
    </row>
    <row r="1947">
      <c r="A1947" s="2" t="inlineStr">
        <is>
          <t>2026-01-07</t>
        </is>
      </c>
      <c r="B1947" s="2" t="inlineStr">
        <is>
          <t>Wednesday</t>
        </is>
      </c>
      <c r="C1947" s="2" t="inlineStr">
        <is>
          <t>MNQH6</t>
        </is>
      </c>
      <c r="D1947" s="3" t="n">
        <v>25864.25</v>
      </c>
      <c r="E1947" s="3" t="n">
        <v>25770.75</v>
      </c>
      <c r="F1947" s="3">
        <f>D1947-E1947</f>
        <v/>
      </c>
      <c r="G1947" s="2" t="inlineStr">
        <is>
          <t>Long</t>
        </is>
      </c>
      <c r="H1947" s="3" t="n">
        <v>25864.25</v>
      </c>
      <c r="I1947" s="3" t="n">
        <v>25957.75</v>
      </c>
      <c r="J1947" s="3">
        <f>IF(G1947="Long",I1947-H1947,IF(G1947="Short",H1947-I1947,0))</f>
        <v/>
      </c>
      <c r="K1947" s="4" t="n">
        <v>59.09</v>
      </c>
      <c r="L1947" s="2" t="inlineStr">
        <is>
          <t>Win</t>
        </is>
      </c>
      <c r="M1947" s="3">
        <f>M1946+J1947</f>
        <v/>
      </c>
    </row>
    <row r="1948">
      <c r="A1948" s="8" t="inlineStr">
        <is>
          <t>2026-01-07</t>
        </is>
      </c>
      <c r="B1948" s="8" t="inlineStr">
        <is>
          <t>Wednesday</t>
        </is>
      </c>
      <c r="C1948" s="8" t="inlineStr">
        <is>
          <t>MNQH6</t>
        </is>
      </c>
      <c r="D1948" s="9" t="n">
        <v>25864.25</v>
      </c>
      <c r="E1948" s="9" t="n">
        <v>25770.75</v>
      </c>
      <c r="F1948" s="9">
        <f>D1948-E1948</f>
        <v/>
      </c>
      <c r="G1948" s="8" t="inlineStr">
        <is>
          <t>Long</t>
        </is>
      </c>
      <c r="H1948" s="9" t="n">
        <v>25864.25</v>
      </c>
      <c r="I1948" s="9" t="n">
        <v>25834.75</v>
      </c>
      <c r="J1948" s="9">
        <f>IF(G1948="Long",I1948-H1948,IF(G1948="Short",H1948-I1948,0))</f>
        <v/>
      </c>
      <c r="K1948" s="10" t="n">
        <v>53.48</v>
      </c>
      <c r="L1948" s="8" t="inlineStr">
        <is>
          <t>EOD-Close</t>
        </is>
      </c>
      <c r="M1948" s="9">
        <f>M1947+J1948</f>
        <v/>
      </c>
    </row>
    <row r="1949">
      <c r="A1949" s="8" t="inlineStr">
        <is>
          <t>2026-01-08</t>
        </is>
      </c>
      <c r="B1949" s="8" t="inlineStr">
        <is>
          <t>Thursday</t>
        </is>
      </c>
      <c r="C1949" s="8" t="inlineStr">
        <is>
          <t>MNQH6</t>
        </is>
      </c>
      <c r="D1949" s="9" t="n">
        <v>25802.75</v>
      </c>
      <c r="E1949" s="9" t="n">
        <v>25613.25</v>
      </c>
      <c r="F1949" s="9">
        <f>D1949-E1949</f>
        <v/>
      </c>
      <c r="G1949" s="8" t="inlineStr">
        <is>
          <t>Short</t>
        </is>
      </c>
      <c r="H1949" s="9" t="n">
        <v>25613.25</v>
      </c>
      <c r="I1949" s="9" t="n">
        <v>25682.75</v>
      </c>
      <c r="J1949" s="9">
        <f>IF(G1949="Long",I1949-H1949,IF(G1949="Short",H1949-I1949,0))</f>
        <v/>
      </c>
      <c r="K1949" s="10" t="n">
        <v>52.9</v>
      </c>
      <c r="L1949" s="8" t="inlineStr">
        <is>
          <t>EOD-Close</t>
        </is>
      </c>
      <c r="M1949" s="9">
        <f>M1948+J1949</f>
        <v/>
      </c>
    </row>
    <row r="1950">
      <c r="A1950" s="5" t="inlineStr">
        <is>
          <t>2026-01-09</t>
        </is>
      </c>
      <c r="B1950" s="5" t="inlineStr">
        <is>
          <t>Friday</t>
        </is>
      </c>
      <c r="C1950" s="5" t="inlineStr">
        <is>
          <t>MNQH6</t>
        </is>
      </c>
      <c r="D1950" s="6" t="n">
        <v>25791</v>
      </c>
      <c r="E1950" s="6" t="n">
        <v>25648.25</v>
      </c>
      <c r="F1950" s="6">
        <f>D1950-E1950</f>
        <v/>
      </c>
      <c r="G1950" s="5" t="inlineStr">
        <is>
          <t>Short</t>
        </is>
      </c>
      <c r="H1950" s="6" t="n">
        <v>25648.25</v>
      </c>
      <c r="I1950" s="6" t="n">
        <v>25791</v>
      </c>
      <c r="J1950" s="6">
        <f>IF(G1950="Long",I1950-H1950,IF(G1950="Short",H1950-I1950,0))</f>
        <v/>
      </c>
      <c r="K1950" s="7" t="n">
        <v>100</v>
      </c>
      <c r="L1950" s="5" t="inlineStr">
        <is>
          <t>Loss</t>
        </is>
      </c>
      <c r="M1950" s="6">
        <f>M1949+J1950</f>
        <v/>
      </c>
    </row>
    <row r="1951">
      <c r="A1951" s="2" t="inlineStr">
        <is>
          <t>2026-01-09</t>
        </is>
      </c>
      <c r="B1951" s="2" t="inlineStr">
        <is>
          <t>Friday</t>
        </is>
      </c>
      <c r="C1951" s="2" t="inlineStr">
        <is>
          <t>MNQH6</t>
        </is>
      </c>
      <c r="D1951" s="3" t="n">
        <v>25791</v>
      </c>
      <c r="E1951" s="3" t="n">
        <v>25648.25</v>
      </c>
      <c r="F1951" s="3">
        <f>D1951-E1951</f>
        <v/>
      </c>
      <c r="G1951" s="2" t="inlineStr">
        <is>
          <t>Long</t>
        </is>
      </c>
      <c r="H1951" s="3" t="n">
        <v>25791</v>
      </c>
      <c r="I1951" s="3" t="n">
        <v>25933.75</v>
      </c>
      <c r="J1951" s="3">
        <f>IF(G1951="Long",I1951-H1951,IF(G1951="Short",H1951-I1951,0))</f>
        <v/>
      </c>
      <c r="K1951" s="4" t="n">
        <v>21.02</v>
      </c>
      <c r="L1951" s="2" t="inlineStr">
        <is>
          <t>Win</t>
        </is>
      </c>
      <c r="M1951" s="3">
        <f>M1950+J1951</f>
        <v/>
      </c>
    </row>
    <row r="1952">
      <c r="A1952" s="8" t="inlineStr">
        <is>
          <t>2026-01-12</t>
        </is>
      </c>
      <c r="B1952" s="8" t="inlineStr">
        <is>
          <t>Monday</t>
        </is>
      </c>
      <c r="C1952" s="8" t="inlineStr">
        <is>
          <t>MNQH6</t>
        </is>
      </c>
      <c r="D1952" s="9" t="n">
        <v>25892.5</v>
      </c>
      <c r="E1952" s="9" t="n">
        <v>25743.75</v>
      </c>
      <c r="F1952" s="9">
        <f>D1952-E1952</f>
        <v/>
      </c>
      <c r="G1952" s="8" t="inlineStr">
        <is>
          <t>Long</t>
        </is>
      </c>
      <c r="H1952" s="9" t="n">
        <v>25892.5</v>
      </c>
      <c r="I1952" s="9" t="n">
        <v>25952</v>
      </c>
      <c r="J1952" s="9">
        <f>IF(G1952="Long",I1952-H1952,IF(G1952="Short",H1952-I1952,0))</f>
        <v/>
      </c>
      <c r="K1952" s="10" t="n">
        <v>19.5</v>
      </c>
      <c r="L1952" s="8" t="inlineStr">
        <is>
          <t>EOD-Close</t>
        </is>
      </c>
      <c r="M1952" s="9">
        <f>M1951+J1952</f>
        <v/>
      </c>
    </row>
    <row r="1953">
      <c r="A1953" s="2" t="inlineStr">
        <is>
          <t>2026-01-13</t>
        </is>
      </c>
      <c r="B1953" s="2" t="inlineStr">
        <is>
          <t>Tuesday</t>
        </is>
      </c>
      <c r="C1953" s="2" t="inlineStr">
        <is>
          <t>MNQH6</t>
        </is>
      </c>
      <c r="D1953" s="3" t="n">
        <v>26043</v>
      </c>
      <c r="E1953" s="3" t="n">
        <v>25930.75</v>
      </c>
      <c r="F1953" s="3">
        <f>D1953-E1953</f>
        <v/>
      </c>
      <c r="G1953" s="2" t="inlineStr">
        <is>
          <t>Short</t>
        </is>
      </c>
      <c r="H1953" s="3" t="n">
        <v>25930.75</v>
      </c>
      <c r="I1953" s="3" t="n">
        <v>25818.5</v>
      </c>
      <c r="J1953" s="3">
        <f>IF(G1953="Long",I1953-H1953,IF(G1953="Short",H1953-I1953,0))</f>
        <v/>
      </c>
      <c r="K1953" s="4" t="n">
        <v>24.05</v>
      </c>
      <c r="L1953" s="2" t="inlineStr">
        <is>
          <t>Win</t>
        </is>
      </c>
      <c r="M1953" s="3">
        <f>M1952+J1953</f>
        <v/>
      </c>
    </row>
    <row r="1954">
      <c r="A1954" s="2" t="inlineStr">
        <is>
          <t>2026-01-13</t>
        </is>
      </c>
      <c r="B1954" s="2" t="inlineStr">
        <is>
          <t>Tuesday</t>
        </is>
      </c>
      <c r="C1954" s="2" t="inlineStr">
        <is>
          <t>MNQH6</t>
        </is>
      </c>
      <c r="D1954" s="3" t="n">
        <v>26043</v>
      </c>
      <c r="E1954" s="3" t="n">
        <v>25930.75</v>
      </c>
      <c r="F1954" s="3">
        <f>D1954-E1954</f>
        <v/>
      </c>
      <c r="G1954" s="2" t="inlineStr">
        <is>
          <t>Short</t>
        </is>
      </c>
      <c r="H1954" s="3" t="n">
        <v>25930.75</v>
      </c>
      <c r="I1954" s="3" t="n">
        <v>25818.5</v>
      </c>
      <c r="J1954" s="3">
        <f>IF(G1954="Long",I1954-H1954,IF(G1954="Short",H1954-I1954,0))</f>
        <v/>
      </c>
      <c r="K1954" s="4" t="n">
        <v>84.86</v>
      </c>
      <c r="L1954" s="2" t="inlineStr">
        <is>
          <t>Win</t>
        </is>
      </c>
      <c r="M1954" s="3">
        <f>M1953+J1954</f>
        <v/>
      </c>
    </row>
    <row r="1955">
      <c r="A1955" s="2" t="inlineStr">
        <is>
          <t>2026-01-14</t>
        </is>
      </c>
      <c r="B1955" s="2" t="inlineStr">
        <is>
          <t>Wednesday</t>
        </is>
      </c>
      <c r="C1955" s="2" t="inlineStr">
        <is>
          <t>MNQH6</t>
        </is>
      </c>
      <c r="D1955" s="3" t="n">
        <v>25791.25</v>
      </c>
      <c r="E1955" s="3" t="n">
        <v>25623.5</v>
      </c>
      <c r="F1955" s="3">
        <f>D1955-E1955</f>
        <v/>
      </c>
      <c r="G1955" s="2" t="inlineStr">
        <is>
          <t>Short</t>
        </is>
      </c>
      <c r="H1955" s="3" t="n">
        <v>25623.5</v>
      </c>
      <c r="I1955" s="3" t="n">
        <v>25455.75</v>
      </c>
      <c r="J1955" s="3">
        <f>IF(G1955="Long",I1955-H1955,IF(G1955="Short",H1955-I1955,0))</f>
        <v/>
      </c>
      <c r="K1955" s="4" t="n">
        <v>42.62</v>
      </c>
      <c r="L1955" s="2" t="inlineStr">
        <is>
          <t>Win</t>
        </is>
      </c>
      <c r="M1955" s="3">
        <f>M1954+J1955</f>
        <v/>
      </c>
    </row>
    <row r="1956">
      <c r="A1956" s="8" t="inlineStr">
        <is>
          <t>2026-01-14</t>
        </is>
      </c>
      <c r="B1956" s="8" t="inlineStr">
        <is>
          <t>Wednesday</t>
        </is>
      </c>
      <c r="C1956" s="8" t="inlineStr">
        <is>
          <t>MNQH6</t>
        </is>
      </c>
      <c r="D1956" s="9" t="n">
        <v>25791.25</v>
      </c>
      <c r="E1956" s="9" t="n">
        <v>25623.5</v>
      </c>
      <c r="F1956" s="9">
        <f>D1956-E1956</f>
        <v/>
      </c>
      <c r="G1956" s="8" t="inlineStr">
        <is>
          <t>Short</t>
        </is>
      </c>
      <c r="H1956" s="9" t="n">
        <v>25623.5</v>
      </c>
      <c r="I1956" s="9" t="n">
        <v>25636.75</v>
      </c>
      <c r="J1956" s="9">
        <f>IF(G1956="Long",I1956-H1956,IF(G1956="Short",H1956-I1956,0))</f>
        <v/>
      </c>
      <c r="K1956" s="10" t="n">
        <v>12.22</v>
      </c>
      <c r="L1956" s="8" t="inlineStr">
        <is>
          <t>EOD-Close</t>
        </is>
      </c>
      <c r="M1956" s="9">
        <f>M1955+J1956</f>
        <v/>
      </c>
    </row>
    <row r="1957">
      <c r="A1957" s="2" t="inlineStr">
        <is>
          <t>2026-01-15</t>
        </is>
      </c>
      <c r="B1957" s="2" t="inlineStr">
        <is>
          <t>Thursday</t>
        </is>
      </c>
      <c r="C1957" s="2" t="inlineStr">
        <is>
          <t>MNQH6</t>
        </is>
      </c>
      <c r="D1957" s="3" t="n">
        <v>25946.75</v>
      </c>
      <c r="E1957" s="3" t="n">
        <v>25853</v>
      </c>
      <c r="F1957" s="3">
        <f>D1957-E1957</f>
        <v/>
      </c>
      <c r="G1957" s="2" t="inlineStr">
        <is>
          <t>Short</t>
        </is>
      </c>
      <c r="H1957" s="3" t="n">
        <v>25853</v>
      </c>
      <c r="I1957" s="3" t="n">
        <v>25759.25</v>
      </c>
      <c r="J1957" s="3">
        <f>IF(G1957="Long",I1957-H1957,IF(G1957="Short",H1957-I1957,0))</f>
        <v/>
      </c>
      <c r="K1957" s="4" t="n">
        <v>92.53</v>
      </c>
      <c r="L1957" s="2" t="inlineStr">
        <is>
          <t>Win</t>
        </is>
      </c>
      <c r="M1957" s="3">
        <f>M1956+J1957</f>
        <v/>
      </c>
    </row>
    <row r="1958">
      <c r="A1958" s="2" t="inlineStr">
        <is>
          <t>2026-01-16</t>
        </is>
      </c>
      <c r="B1958" s="2" t="inlineStr">
        <is>
          <t>Friday</t>
        </is>
      </c>
      <c r="C1958" s="2" t="inlineStr">
        <is>
          <t>MNQH6</t>
        </is>
      </c>
      <c r="D1958" s="3" t="n">
        <v>25891.25</v>
      </c>
      <c r="E1958" s="3" t="n">
        <v>25817.5</v>
      </c>
      <c r="F1958" s="3">
        <f>D1958-E1958</f>
        <v/>
      </c>
      <c r="G1958" s="2" t="inlineStr">
        <is>
          <t>Short</t>
        </is>
      </c>
      <c r="H1958" s="3" t="n">
        <v>25817.5</v>
      </c>
      <c r="I1958" s="3" t="n">
        <v>25743.75</v>
      </c>
      <c r="J1958" s="3">
        <f>IF(G1958="Long",I1958-H1958,IF(G1958="Short",H1958-I1958,0))</f>
        <v/>
      </c>
      <c r="K1958" s="4" t="n">
        <v>0</v>
      </c>
      <c r="L1958" s="2" t="inlineStr">
        <is>
          <t>Win</t>
        </is>
      </c>
      <c r="M1958" s="3">
        <f>M1957+J1958</f>
        <v/>
      </c>
    </row>
    <row r="1959">
      <c r="A1959" s="2" t="inlineStr">
        <is>
          <t>2026-01-19</t>
        </is>
      </c>
      <c r="B1959" s="2" t="inlineStr">
        <is>
          <t>Monday</t>
        </is>
      </c>
      <c r="C1959" s="2" t="inlineStr">
        <is>
          <t>MNQH6</t>
        </is>
      </c>
      <c r="D1959" s="3" t="n">
        <v>25298</v>
      </c>
      <c r="E1959" s="3" t="n">
        <v>25240</v>
      </c>
      <c r="F1959" s="3">
        <f>D1959-E1959</f>
        <v/>
      </c>
      <c r="G1959" s="2" t="inlineStr">
        <is>
          <t>Long</t>
        </is>
      </c>
      <c r="H1959" s="3" t="n">
        <v>25298</v>
      </c>
      <c r="I1959" s="3" t="n">
        <v>25356</v>
      </c>
      <c r="J1959" s="3">
        <f>IF(G1959="Long",I1959-H1959,IF(G1959="Short",H1959-I1959,0))</f>
        <v/>
      </c>
      <c r="K1959" s="4" t="n">
        <v>17.67</v>
      </c>
      <c r="L1959" s="2" t="inlineStr">
        <is>
          <t>Win</t>
        </is>
      </c>
      <c r="M1959" s="3">
        <f>M1958+J1959</f>
        <v/>
      </c>
    </row>
    <row r="1960">
      <c r="A1960" s="5" t="inlineStr">
        <is>
          <t>2026-01-20</t>
        </is>
      </c>
      <c r="B1960" s="5" t="inlineStr">
        <is>
          <t>Tuesday</t>
        </is>
      </c>
      <c r="C1960" s="5" t="inlineStr">
        <is>
          <t>MNQH6</t>
        </is>
      </c>
      <c r="D1960" s="6" t="n">
        <v>25357.25</v>
      </c>
      <c r="E1960" s="6" t="n">
        <v>25232.5</v>
      </c>
      <c r="F1960" s="6">
        <f>D1960-E1960</f>
        <v/>
      </c>
      <c r="G1960" s="5" t="inlineStr">
        <is>
          <t>Long</t>
        </is>
      </c>
      <c r="H1960" s="6" t="n">
        <v>25357.25</v>
      </c>
      <c r="I1960" s="6" t="n">
        <v>25232.5</v>
      </c>
      <c r="J1960" s="6">
        <f>IF(G1960="Long",I1960-H1960,IF(G1960="Short",H1960-I1960,0))</f>
        <v/>
      </c>
      <c r="K1960" s="7" t="n">
        <v>100</v>
      </c>
      <c r="L1960" s="5" t="inlineStr">
        <is>
          <t>Loss</t>
        </is>
      </c>
      <c r="M1960" s="6">
        <f>M1959+J1960</f>
        <v/>
      </c>
    </row>
    <row r="1961">
      <c r="A1961" s="2" t="inlineStr">
        <is>
          <t>2026-01-20</t>
        </is>
      </c>
      <c r="B1961" s="2" t="inlineStr">
        <is>
          <t>Tuesday</t>
        </is>
      </c>
      <c r="C1961" s="2" t="inlineStr">
        <is>
          <t>MNQH6</t>
        </is>
      </c>
      <c r="D1961" s="3" t="n">
        <v>25357.25</v>
      </c>
      <c r="E1961" s="3" t="n">
        <v>25232.5</v>
      </c>
      <c r="F1961" s="3">
        <f>D1961-E1961</f>
        <v/>
      </c>
      <c r="G1961" s="2" t="inlineStr">
        <is>
          <t>Short</t>
        </is>
      </c>
      <c r="H1961" s="3" t="n">
        <v>25232.5</v>
      </c>
      <c r="I1961" s="3" t="n">
        <v>25107.75</v>
      </c>
      <c r="J1961" s="3">
        <f>IF(G1961="Long",I1961-H1961,IF(G1961="Short",H1961-I1961,0))</f>
        <v/>
      </c>
      <c r="K1961" s="4" t="n">
        <v>4.21</v>
      </c>
      <c r="L1961" s="2" t="inlineStr">
        <is>
          <t>Win</t>
        </is>
      </c>
      <c r="M1961" s="3">
        <f>M1960+J1961</f>
        <v/>
      </c>
    </row>
    <row r="1962">
      <c r="A1962" s="2" t="inlineStr">
        <is>
          <t>2026-01-21</t>
        </is>
      </c>
      <c r="B1962" s="2" t="inlineStr">
        <is>
          <t>Wednesday</t>
        </is>
      </c>
      <c r="C1962" s="2" t="inlineStr">
        <is>
          <t>MNQH6</t>
        </is>
      </c>
      <c r="D1962" s="3" t="n">
        <v>25223</v>
      </c>
      <c r="E1962" s="3" t="n">
        <v>25128.5</v>
      </c>
      <c r="F1962" s="3">
        <f>D1962-E1962</f>
        <v/>
      </c>
      <c r="G1962" s="2" t="inlineStr">
        <is>
          <t>Long</t>
        </is>
      </c>
      <c r="H1962" s="3" t="n">
        <v>25223</v>
      </c>
      <c r="I1962" s="3" t="n">
        <v>25317.5</v>
      </c>
      <c r="J1962" s="3">
        <f>IF(G1962="Long",I1962-H1962,IF(G1962="Short",H1962-I1962,0))</f>
        <v/>
      </c>
      <c r="K1962" s="4" t="n">
        <v>0</v>
      </c>
      <c r="L1962" s="2" t="inlineStr">
        <is>
          <t>Win</t>
        </is>
      </c>
      <c r="M1962" s="3">
        <f>M1961+J1962</f>
        <v/>
      </c>
    </row>
    <row r="1963">
      <c r="A1963" s="2" t="inlineStr">
        <is>
          <t>2026-01-21</t>
        </is>
      </c>
      <c r="B1963" s="2" t="inlineStr">
        <is>
          <t>Wednesday</t>
        </is>
      </c>
      <c r="C1963" s="2" t="inlineStr">
        <is>
          <t>MNQH6</t>
        </is>
      </c>
      <c r="D1963" s="3" t="n">
        <v>25223</v>
      </c>
      <c r="E1963" s="3" t="n">
        <v>25128.5</v>
      </c>
      <c r="F1963" s="3">
        <f>D1963-E1963</f>
        <v/>
      </c>
      <c r="G1963" s="2" t="inlineStr">
        <is>
          <t>Long</t>
        </is>
      </c>
      <c r="H1963" s="3" t="n">
        <v>25223</v>
      </c>
      <c r="I1963" s="3" t="n">
        <v>25317.5</v>
      </c>
      <c r="J1963" s="3">
        <f>IF(G1963="Long",I1963-H1963,IF(G1963="Short",H1963-I1963,0))</f>
        <v/>
      </c>
      <c r="K1963" s="4" t="n">
        <v>84.92</v>
      </c>
      <c r="L1963" s="2" t="inlineStr">
        <is>
          <t>Win</t>
        </is>
      </c>
      <c r="M1963" s="3">
        <f>M1962+J1963</f>
        <v/>
      </c>
    </row>
    <row r="1964">
      <c r="A1964" s="8" t="inlineStr">
        <is>
          <t>2026-01-22</t>
        </is>
      </c>
      <c r="B1964" s="8" t="inlineStr">
        <is>
          <t>Thursday</t>
        </is>
      </c>
      <c r="C1964" s="8" t="inlineStr">
        <is>
          <t>MNQH6</t>
        </is>
      </c>
      <c r="D1964" s="9" t="n">
        <v>25732.25</v>
      </c>
      <c r="E1964" s="9" t="n">
        <v>25612.25</v>
      </c>
      <c r="F1964" s="9">
        <f>D1964-E1964</f>
        <v/>
      </c>
      <c r="G1964" s="8" t="inlineStr">
        <is>
          <t>Short</t>
        </is>
      </c>
      <c r="H1964" s="9" t="n">
        <v>25612.25</v>
      </c>
      <c r="I1964" s="9" t="n">
        <v>25661.5</v>
      </c>
      <c r="J1964" s="9">
        <f>IF(G1964="Long",I1964-H1964,IF(G1964="Short",H1964-I1964,0))</f>
        <v/>
      </c>
      <c r="K1964" s="10" t="n">
        <v>90.83</v>
      </c>
      <c r="L1964" s="8" t="inlineStr">
        <is>
          <t>EOD-Close</t>
        </is>
      </c>
      <c r="M1964" s="9">
        <f>M1963+J1964</f>
        <v/>
      </c>
    </row>
    <row r="1965">
      <c r="A1965" s="2" t="inlineStr">
        <is>
          <t>2026-01-23</t>
        </is>
      </c>
      <c r="B1965" s="2" t="inlineStr">
        <is>
          <t>Friday</t>
        </is>
      </c>
      <c r="C1965" s="2" t="inlineStr">
        <is>
          <t>MNQH6</t>
        </is>
      </c>
      <c r="D1965" s="3" t="n">
        <v>25652.75</v>
      </c>
      <c r="E1965" s="3" t="n">
        <v>25562.5</v>
      </c>
      <c r="F1965" s="3">
        <f>D1965-E1965</f>
        <v/>
      </c>
      <c r="G1965" s="2" t="inlineStr">
        <is>
          <t>Long</t>
        </is>
      </c>
      <c r="H1965" s="3" t="n">
        <v>25652.75</v>
      </c>
      <c r="I1965" s="3" t="n">
        <v>25743</v>
      </c>
      <c r="J1965" s="3">
        <f>IF(G1965="Long",I1965-H1965,IF(G1965="Short",H1965-I1965,0))</f>
        <v/>
      </c>
      <c r="K1965" s="4" t="n">
        <v>0</v>
      </c>
      <c r="L1965" s="2" t="inlineStr">
        <is>
          <t>Win</t>
        </is>
      </c>
      <c r="M1965" s="3">
        <f>M1964+J1965</f>
        <v/>
      </c>
    </row>
    <row r="1966">
      <c r="A1966" s="8" t="inlineStr">
        <is>
          <t>2026-01-26</t>
        </is>
      </c>
      <c r="B1966" s="8" t="inlineStr">
        <is>
          <t>Monday</t>
        </is>
      </c>
      <c r="C1966" s="8" t="inlineStr">
        <is>
          <t>MNQH6</t>
        </is>
      </c>
      <c r="D1966" s="9" t="n">
        <v>25827.25</v>
      </c>
      <c r="E1966" s="9" t="n">
        <v>25704.25</v>
      </c>
      <c r="F1966" s="9">
        <f>D1966-E1966</f>
        <v/>
      </c>
      <c r="G1966" s="8" t="inlineStr">
        <is>
          <t>Long</t>
        </is>
      </c>
      <c r="H1966" s="9" t="n">
        <v>25827.25</v>
      </c>
      <c r="I1966" s="9" t="n">
        <v>25844.5</v>
      </c>
      <c r="J1966" s="9">
        <f>IF(G1966="Long",I1966-H1966,IF(G1966="Short",H1966-I1966,0))</f>
        <v/>
      </c>
      <c r="K1966" s="10" t="n">
        <v>19.72</v>
      </c>
      <c r="L1966" s="8" t="inlineStr">
        <is>
          <t>EOD-Close</t>
        </is>
      </c>
      <c r="M1966" s="9">
        <f>M1965+J1966</f>
        <v/>
      </c>
    </row>
    <row r="1967">
      <c r="A1967" s="2" t="inlineStr">
        <is>
          <t>2026-01-27</t>
        </is>
      </c>
      <c r="B1967" s="2" t="inlineStr">
        <is>
          <t>Tuesday</t>
        </is>
      </c>
      <c r="C1967" s="2" t="inlineStr">
        <is>
          <t>MNQH6</t>
        </is>
      </c>
      <c r="D1967" s="3" t="n">
        <v>26012.5</v>
      </c>
      <c r="E1967" s="3" t="n">
        <v>25917.25</v>
      </c>
      <c r="F1967" s="3">
        <f>D1967-E1967</f>
        <v/>
      </c>
      <c r="G1967" s="2" t="inlineStr">
        <is>
          <t>Long</t>
        </is>
      </c>
      <c r="H1967" s="3" t="n">
        <v>26012.5</v>
      </c>
      <c r="I1967" s="3" t="n">
        <v>26107.75</v>
      </c>
      <c r="J1967" s="3">
        <f>IF(G1967="Long",I1967-H1967,IF(G1967="Short",H1967-I1967,0))</f>
        <v/>
      </c>
      <c r="K1967" s="4" t="n">
        <v>0</v>
      </c>
      <c r="L1967" s="2" t="inlineStr">
        <is>
          <t>Win</t>
        </is>
      </c>
      <c r="M1967" s="3">
        <f>M1966+J1967</f>
        <v/>
      </c>
    </row>
    <row r="1968">
      <c r="A1968" s="2" t="inlineStr">
        <is>
          <t>2026-01-28</t>
        </is>
      </c>
      <c r="B1968" s="2" t="inlineStr">
        <is>
          <t>Wednesday</t>
        </is>
      </c>
      <c r="C1968" s="2" t="inlineStr">
        <is>
          <t>MNQH6</t>
        </is>
      </c>
      <c r="D1968" s="3" t="n">
        <v>26298.5</v>
      </c>
      <c r="E1968" s="3" t="n">
        <v>26213.5</v>
      </c>
      <c r="F1968" s="3">
        <f>D1968-E1968</f>
        <v/>
      </c>
      <c r="G1968" s="2" t="inlineStr">
        <is>
          <t>Short</t>
        </is>
      </c>
      <c r="H1968" s="3" t="n">
        <v>26213.5</v>
      </c>
      <c r="I1968" s="3" t="n">
        <v>26128.5</v>
      </c>
      <c r="J1968" s="3">
        <f>IF(G1968="Long",I1968-H1968,IF(G1968="Short",H1968-I1968,0))</f>
        <v/>
      </c>
      <c r="K1968" s="4" t="n">
        <v>17.35</v>
      </c>
      <c r="L1968" s="2" t="inlineStr">
        <is>
          <t>Win</t>
        </is>
      </c>
      <c r="M1968" s="3">
        <f>M1967+J1968</f>
        <v/>
      </c>
    </row>
    <row r="1969">
      <c r="A1969" s="2" t="inlineStr">
        <is>
          <t>2026-01-29</t>
        </is>
      </c>
      <c r="B1969" s="2" t="inlineStr">
        <is>
          <t>Thursday</t>
        </is>
      </c>
      <c r="C1969" s="2" t="inlineStr">
        <is>
          <t>MNQH6</t>
        </is>
      </c>
      <c r="D1969" s="3" t="n">
        <v>26177.25</v>
      </c>
      <c r="E1969" s="3" t="n">
        <v>25946</v>
      </c>
      <c r="F1969" s="3">
        <f>D1969-E1969</f>
        <v/>
      </c>
      <c r="G1969" s="2" t="inlineStr">
        <is>
          <t>Short</t>
        </is>
      </c>
      <c r="H1969" s="3" t="n">
        <v>25946</v>
      </c>
      <c r="I1969" s="3" t="n">
        <v>25714.75</v>
      </c>
      <c r="J1969" s="3">
        <f>IF(G1969="Long",I1969-H1969,IF(G1969="Short",H1969-I1969,0))</f>
        <v/>
      </c>
      <c r="K1969" s="4" t="n">
        <v>2.81</v>
      </c>
      <c r="L1969" s="2" t="inlineStr">
        <is>
          <t>Win</t>
        </is>
      </c>
      <c r="M1969" s="3">
        <f>M1968+J1969</f>
        <v/>
      </c>
    </row>
    <row r="1970">
      <c r="A1970" s="8" t="inlineStr">
        <is>
          <t>2026-01-29</t>
        </is>
      </c>
      <c r="B1970" s="8" t="inlineStr">
        <is>
          <t>Thursday</t>
        </is>
      </c>
      <c r="C1970" s="8" t="inlineStr">
        <is>
          <t>MNQH6</t>
        </is>
      </c>
      <c r="D1970" s="9" t="n">
        <v>26177.25</v>
      </c>
      <c r="E1970" s="9" t="n">
        <v>25946</v>
      </c>
      <c r="F1970" s="9">
        <f>D1970-E1970</f>
        <v/>
      </c>
      <c r="G1970" s="8" t="inlineStr">
        <is>
          <t>Short</t>
        </is>
      </c>
      <c r="H1970" s="9" t="n">
        <v>25946</v>
      </c>
      <c r="I1970" s="9" t="n">
        <v>25992.25</v>
      </c>
      <c r="J1970" s="9">
        <f>IF(G1970="Long",I1970-H1970,IF(G1970="Short",H1970-I1970,0))</f>
        <v/>
      </c>
      <c r="K1970" s="10" t="n">
        <v>32</v>
      </c>
      <c r="L1970" s="8" t="inlineStr">
        <is>
          <t>EOD-Close</t>
        </is>
      </c>
      <c r="M1970" s="9">
        <f>M1969+J1970</f>
        <v/>
      </c>
    </row>
    <row r="1971">
      <c r="A1971" s="2" t="inlineStr">
        <is>
          <t>2026-01-30</t>
        </is>
      </c>
      <c r="B1971" s="2" t="inlineStr">
        <is>
          <t>Friday</t>
        </is>
      </c>
      <c r="C1971" s="2" t="inlineStr">
        <is>
          <t>MNQH6</t>
        </is>
      </c>
      <c r="D1971" s="3" t="n">
        <v>25939.25</v>
      </c>
      <c r="E1971" s="3" t="n">
        <v>25813</v>
      </c>
      <c r="F1971" s="3">
        <f>D1971-E1971</f>
        <v/>
      </c>
      <c r="G1971" s="2" t="inlineStr">
        <is>
          <t>Short</t>
        </is>
      </c>
      <c r="H1971" s="3" t="n">
        <v>25813</v>
      </c>
      <c r="I1971" s="3" t="n">
        <v>25686.75</v>
      </c>
      <c r="J1971" s="3">
        <f>IF(G1971="Long",I1971-H1971,IF(G1971="Short",H1971-I1971,0))</f>
        <v/>
      </c>
      <c r="K1971" s="4" t="n">
        <v>96.04000000000001</v>
      </c>
      <c r="L1971" s="2" t="inlineStr">
        <is>
          <t>Win</t>
        </is>
      </c>
      <c r="M1971" s="3">
        <f>M1970+J1971</f>
        <v/>
      </c>
    </row>
    <row r="1972">
      <c r="A1972" s="2" t="inlineStr">
        <is>
          <t>2026-02-02</t>
        </is>
      </c>
      <c r="B1972" s="2" t="inlineStr">
        <is>
          <t>Monday</t>
        </is>
      </c>
      <c r="C1972" s="2" t="inlineStr">
        <is>
          <t>MNQH6</t>
        </is>
      </c>
      <c r="D1972" s="3" t="n">
        <v>25734</v>
      </c>
      <c r="E1972" s="3" t="n">
        <v>25540.25</v>
      </c>
      <c r="F1972" s="3">
        <f>D1972-E1972</f>
        <v/>
      </c>
      <c r="G1972" s="2" t="inlineStr">
        <is>
          <t>Long</t>
        </is>
      </c>
      <c r="H1972" s="3" t="n">
        <v>25734</v>
      </c>
      <c r="I1972" s="3" t="n">
        <v>25927.75</v>
      </c>
      <c r="J1972" s="3">
        <f>IF(G1972="Long",I1972-H1972,IF(G1972="Short",H1972-I1972,0))</f>
        <v/>
      </c>
      <c r="K1972" s="4" t="n">
        <v>10.32</v>
      </c>
      <c r="L1972" s="2" t="inlineStr">
        <is>
          <t>Win</t>
        </is>
      </c>
      <c r="M1972" s="3">
        <f>M1971+J1972</f>
        <v/>
      </c>
    </row>
    <row r="1973">
      <c r="A1973" s="2" t="inlineStr">
        <is>
          <t>2026-02-03</t>
        </is>
      </c>
      <c r="B1973" s="2" t="inlineStr">
        <is>
          <t>Tuesday</t>
        </is>
      </c>
      <c r="C1973" s="2" t="inlineStr">
        <is>
          <t>MNQH6</t>
        </is>
      </c>
      <c r="D1973" s="3" t="n">
        <v>25952.5</v>
      </c>
      <c r="E1973" s="3" t="n">
        <v>25721.75</v>
      </c>
      <c r="F1973" s="3">
        <f>D1973-E1973</f>
        <v/>
      </c>
      <c r="G1973" s="2" t="inlineStr">
        <is>
          <t>Short</t>
        </is>
      </c>
      <c r="H1973" s="3" t="n">
        <v>25721.75</v>
      </c>
      <c r="I1973" s="3" t="n">
        <v>25491</v>
      </c>
      <c r="J1973" s="3">
        <f>IF(G1973="Long",I1973-H1973,IF(G1973="Short",H1973-I1973,0))</f>
        <v/>
      </c>
      <c r="K1973" s="4" t="n">
        <v>2.71</v>
      </c>
      <c r="L1973" s="2" t="inlineStr">
        <is>
          <t>Win</t>
        </is>
      </c>
      <c r="M1973" s="3">
        <f>M1972+J1973</f>
        <v/>
      </c>
    </row>
    <row r="1974">
      <c r="A1974" s="2" t="inlineStr">
        <is>
          <t>2026-02-04</t>
        </is>
      </c>
      <c r="B1974" s="2" t="inlineStr">
        <is>
          <t>Wednesday</t>
        </is>
      </c>
      <c r="C1974" s="2" t="inlineStr">
        <is>
          <t>MNQH6</t>
        </is>
      </c>
      <c r="D1974" s="3" t="n">
        <v>25386.5</v>
      </c>
      <c r="E1974" s="3" t="n">
        <v>25230</v>
      </c>
      <c r="F1974" s="3">
        <f>D1974-E1974</f>
        <v/>
      </c>
      <c r="G1974" s="2" t="inlineStr">
        <is>
          <t>Short</t>
        </is>
      </c>
      <c r="H1974" s="3" t="n">
        <v>25230</v>
      </c>
      <c r="I1974" s="3" t="n">
        <v>25073.5</v>
      </c>
      <c r="J1974" s="3">
        <f>IF(G1974="Long",I1974-H1974,IF(G1974="Short",H1974-I1974,0))</f>
        <v/>
      </c>
      <c r="K1974" s="4" t="n">
        <v>48.4</v>
      </c>
      <c r="L1974" s="2" t="inlineStr">
        <is>
          <t>Win</t>
        </is>
      </c>
      <c r="M1974" s="3">
        <f>M1973+J1974</f>
        <v/>
      </c>
    </row>
    <row r="1975">
      <c r="A1975" s="8" t="inlineStr">
        <is>
          <t>2026-02-05</t>
        </is>
      </c>
      <c r="B1975" s="8" t="inlineStr">
        <is>
          <t>Thursday</t>
        </is>
      </c>
      <c r="C1975" s="8" t="inlineStr">
        <is>
          <t>MNQH6</t>
        </is>
      </c>
      <c r="D1975" s="9" t="n">
        <v>24936.25</v>
      </c>
      <c r="E1975" s="9" t="n">
        <v>24651.75</v>
      </c>
      <c r="F1975" s="9">
        <f>D1975-E1975</f>
        <v/>
      </c>
      <c r="G1975" s="8" t="inlineStr">
        <is>
          <t>Short</t>
        </is>
      </c>
      <c r="H1975" s="9" t="n">
        <v>24651.75</v>
      </c>
      <c r="I1975" s="9" t="n">
        <v>24639.25</v>
      </c>
      <c r="J1975" s="9">
        <f>IF(G1975="Long",I1975-H1975,IF(G1975="Short",H1975-I1975,0))</f>
        <v/>
      </c>
      <c r="K1975" s="10" t="n">
        <v>82.95</v>
      </c>
      <c r="L1975" s="8" t="inlineStr">
        <is>
          <t>EOD-Close</t>
        </is>
      </c>
      <c r="M1975" s="9">
        <f>M1974+J1975</f>
        <v/>
      </c>
    </row>
    <row r="1976">
      <c r="A1976" s="2" t="inlineStr">
        <is>
          <t>2026-02-06</t>
        </is>
      </c>
      <c r="B1976" s="2" t="inlineStr">
        <is>
          <t>Friday</t>
        </is>
      </c>
      <c r="C1976" s="2" t="inlineStr">
        <is>
          <t>MNQH6</t>
        </is>
      </c>
      <c r="D1976" s="3" t="n">
        <v>24927.5</v>
      </c>
      <c r="E1976" s="3" t="n">
        <v>24700.5</v>
      </c>
      <c r="F1976" s="3">
        <f>D1976-E1976</f>
        <v/>
      </c>
      <c r="G1976" s="2" t="inlineStr">
        <is>
          <t>Long</t>
        </is>
      </c>
      <c r="H1976" s="3" t="n">
        <v>24927.5</v>
      </c>
      <c r="I1976" s="3" t="n">
        <v>25154.5</v>
      </c>
      <c r="J1976" s="3">
        <f>IF(G1976="Long",I1976-H1976,IF(G1976="Short",H1976-I1976,0))</f>
        <v/>
      </c>
      <c r="K1976" s="4" t="n">
        <v>81.72</v>
      </c>
      <c r="L1976" s="2" t="inlineStr">
        <is>
          <t>Win</t>
        </is>
      </c>
      <c r="M1976" s="3">
        <f>M1975+J1976</f>
        <v/>
      </c>
    </row>
    <row r="1977">
      <c r="A1977" s="2" t="inlineStr">
        <is>
          <t>2026-02-09</t>
        </is>
      </c>
      <c r="B1977" s="2" t="inlineStr">
        <is>
          <t>Monday</t>
        </is>
      </c>
      <c r="C1977" s="2" t="inlineStr">
        <is>
          <t>MNQH6</t>
        </is>
      </c>
      <c r="D1977" s="3" t="n">
        <v>25152.5</v>
      </c>
      <c r="E1977" s="3" t="n">
        <v>24955.5</v>
      </c>
      <c r="F1977" s="3">
        <f>D1977-E1977</f>
        <v/>
      </c>
      <c r="G1977" s="2" t="inlineStr">
        <is>
          <t>Long</t>
        </is>
      </c>
      <c r="H1977" s="3" t="n">
        <v>25152.5</v>
      </c>
      <c r="I1977" s="3" t="n">
        <v>25349.5</v>
      </c>
      <c r="J1977" s="3">
        <f>IF(G1977="Long",I1977-H1977,IF(G1977="Short",H1977-I1977,0))</f>
        <v/>
      </c>
      <c r="K1977" s="4" t="n">
        <v>30.58</v>
      </c>
      <c r="L1977" s="2" t="inlineStr">
        <is>
          <t>Win</t>
        </is>
      </c>
      <c r="M1977" s="3">
        <f>M1976+J1977</f>
        <v/>
      </c>
    </row>
    <row r="1978">
      <c r="A1978" s="5" t="inlineStr">
        <is>
          <t>2026-02-10</t>
        </is>
      </c>
      <c r="B1978" s="5" t="inlineStr">
        <is>
          <t>Tuesday</t>
        </is>
      </c>
      <c r="C1978" s="5" t="inlineStr">
        <is>
          <t>MNQH6</t>
        </is>
      </c>
      <c r="D1978" s="6" t="n">
        <v>25410.25</v>
      </c>
      <c r="E1978" s="6" t="n">
        <v>25265.25</v>
      </c>
      <c r="F1978" s="6">
        <f>D1978-E1978</f>
        <v/>
      </c>
      <c r="G1978" s="5" t="inlineStr">
        <is>
          <t>Long</t>
        </is>
      </c>
      <c r="H1978" s="6" t="n">
        <v>25410.25</v>
      </c>
      <c r="I1978" s="6" t="n">
        <v>25265.25</v>
      </c>
      <c r="J1978" s="6">
        <f>IF(G1978="Long",I1978-H1978,IF(G1978="Short",H1978-I1978,0))</f>
        <v/>
      </c>
      <c r="K1978" s="7" t="n">
        <v>100</v>
      </c>
      <c r="L1978" s="5" t="inlineStr">
        <is>
          <t>Loss</t>
        </is>
      </c>
      <c r="M1978" s="6">
        <f>M1977+J1978</f>
        <v/>
      </c>
    </row>
    <row r="1979">
      <c r="A1979" s="8" t="inlineStr">
        <is>
          <t>2026-02-10</t>
        </is>
      </c>
      <c r="B1979" s="8" t="inlineStr">
        <is>
          <t>Tuesday</t>
        </is>
      </c>
      <c r="C1979" s="8" t="inlineStr">
        <is>
          <t>MNQH6</t>
        </is>
      </c>
      <c r="D1979" s="9" t="n">
        <v>25410.25</v>
      </c>
      <c r="E1979" s="9" t="n">
        <v>25265.25</v>
      </c>
      <c r="F1979" s="9">
        <f>D1979-E1979</f>
        <v/>
      </c>
      <c r="G1979" s="8" t="inlineStr">
        <is>
          <t>Short</t>
        </is>
      </c>
      <c r="H1979" s="9" t="n">
        <v>25265.25</v>
      </c>
      <c r="I1979" s="9" t="n">
        <v>25219</v>
      </c>
      <c r="J1979" s="9">
        <f>IF(G1979="Long",I1979-H1979,IF(G1979="Short",H1979-I1979,0))</f>
        <v/>
      </c>
      <c r="K1979" s="10" t="n">
        <v>7.41</v>
      </c>
      <c r="L1979" s="8" t="inlineStr">
        <is>
          <t>EOD-Close</t>
        </is>
      </c>
      <c r="M1979" s="9">
        <f>M1978+J1979</f>
        <v/>
      </c>
    </row>
    <row r="1980">
      <c r="A1980" s="2" t="inlineStr">
        <is>
          <t>2026-02-11</t>
        </is>
      </c>
      <c r="B1980" s="2" t="inlineStr">
        <is>
          <t>Wednesday</t>
        </is>
      </c>
      <c r="C1980" s="2" t="inlineStr">
        <is>
          <t>MNQH6</t>
        </is>
      </c>
      <c r="D1980" s="3" t="n">
        <v>25465.5</v>
      </c>
      <c r="E1980" s="3" t="n">
        <v>25339</v>
      </c>
      <c r="F1980" s="3">
        <f>D1980-E1980</f>
        <v/>
      </c>
      <c r="G1980" s="2" t="inlineStr">
        <is>
          <t>Short</t>
        </is>
      </c>
      <c r="H1980" s="3" t="n">
        <v>25339</v>
      </c>
      <c r="I1980" s="3" t="n">
        <v>25212.5</v>
      </c>
      <c r="J1980" s="3">
        <f>IF(G1980="Long",I1980-H1980,IF(G1980="Short",H1980-I1980,0))</f>
        <v/>
      </c>
      <c r="K1980" s="4" t="n">
        <v>2.96</v>
      </c>
      <c r="L1980" s="2" t="inlineStr">
        <is>
          <t>Win</t>
        </is>
      </c>
      <c r="M1980" s="3">
        <f>M1979+J1980</f>
        <v/>
      </c>
    </row>
    <row r="1981">
      <c r="A1981" s="8" t="inlineStr">
        <is>
          <t>2026-02-11</t>
        </is>
      </c>
      <c r="B1981" s="8" t="inlineStr">
        <is>
          <t>Wednesday</t>
        </is>
      </c>
      <c r="C1981" s="8" t="inlineStr">
        <is>
          <t>MNQH6</t>
        </is>
      </c>
      <c r="D1981" s="9" t="n">
        <v>25465.5</v>
      </c>
      <c r="E1981" s="9" t="n">
        <v>25339</v>
      </c>
      <c r="F1981" s="9">
        <f>D1981-E1981</f>
        <v/>
      </c>
      <c r="G1981" s="8" t="inlineStr">
        <is>
          <t>Short</t>
        </is>
      </c>
      <c r="H1981" s="9" t="n">
        <v>25339</v>
      </c>
      <c r="I1981" s="9" t="n">
        <v>25278.25</v>
      </c>
      <c r="J1981" s="9">
        <f>IF(G1981="Long",I1981-H1981,IF(G1981="Short",H1981-I1981,0))</f>
        <v/>
      </c>
      <c r="K1981" s="10" t="n">
        <v>17.19</v>
      </c>
      <c r="L1981" s="8" t="inlineStr">
        <is>
          <t>EOD-Close</t>
        </is>
      </c>
      <c r="M1981" s="9">
        <f>M1980+J1981</f>
        <v/>
      </c>
    </row>
    <row r="1982">
      <c r="A1982" s="2" t="inlineStr">
        <is>
          <t>2026-02-12</t>
        </is>
      </c>
      <c r="B1982" s="2" t="inlineStr">
        <is>
          <t>Thursday</t>
        </is>
      </c>
      <c r="C1982" s="2" t="inlineStr">
        <is>
          <t>MNQH6</t>
        </is>
      </c>
      <c r="D1982" s="3" t="n">
        <v>25393.75</v>
      </c>
      <c r="E1982" s="3" t="n">
        <v>25303.75</v>
      </c>
      <c r="F1982" s="3">
        <f>D1982-E1982</f>
        <v/>
      </c>
      <c r="G1982" s="2" t="inlineStr">
        <is>
          <t>Short</t>
        </is>
      </c>
      <c r="H1982" s="3" t="n">
        <v>25303.75</v>
      </c>
      <c r="I1982" s="3" t="n">
        <v>25213.75</v>
      </c>
      <c r="J1982" s="3">
        <f>IF(G1982="Long",I1982-H1982,IF(G1982="Short",H1982-I1982,0))</f>
        <v/>
      </c>
      <c r="K1982" s="4" t="n">
        <v>0</v>
      </c>
      <c r="L1982" s="2" t="inlineStr">
        <is>
          <t>Win</t>
        </is>
      </c>
      <c r="M1982" s="3">
        <f>M1981+J1982</f>
        <v/>
      </c>
    </row>
    <row r="1983">
      <c r="A1983" s="8" t="inlineStr">
        <is>
          <t>2026-02-13</t>
        </is>
      </c>
      <c r="B1983" s="8" t="inlineStr">
        <is>
          <t>Friday</t>
        </is>
      </c>
      <c r="C1983" s="8" t="inlineStr">
        <is>
          <t>MNQH6</t>
        </is>
      </c>
      <c r="D1983" s="9" t="n">
        <v>24800</v>
      </c>
      <c r="E1983" s="9" t="n">
        <v>24578.75</v>
      </c>
      <c r="F1983" s="9">
        <f>D1983-E1983</f>
        <v/>
      </c>
      <c r="G1983" s="8" t="inlineStr">
        <is>
          <t>Long</t>
        </is>
      </c>
      <c r="H1983" s="9" t="n">
        <v>24800</v>
      </c>
      <c r="I1983" s="9" t="n">
        <v>24802.5</v>
      </c>
      <c r="J1983" s="9">
        <f>IF(G1983="Long",I1983-H1983,IF(G1983="Short",H1983-I1983,0))</f>
        <v/>
      </c>
      <c r="K1983" s="10" t="n">
        <v>37.18</v>
      </c>
      <c r="L1983" s="8" t="inlineStr">
        <is>
          <t>EOD-Close</t>
        </is>
      </c>
      <c r="M1983" s="9">
        <f>M1982+J1983</f>
        <v/>
      </c>
    </row>
    <row r="1984">
      <c r="A1984" s="5" t="inlineStr">
        <is>
          <t>2026-02-16</t>
        </is>
      </c>
      <c r="B1984" s="5" t="inlineStr">
        <is>
          <t>Monday</t>
        </is>
      </c>
      <c r="C1984" s="5" t="inlineStr">
        <is>
          <t>MNQH6</t>
        </is>
      </c>
      <c r="D1984" s="6" t="n">
        <v>24777</v>
      </c>
      <c r="E1984" s="6" t="n">
        <v>24710.25</v>
      </c>
      <c r="F1984" s="6">
        <f>D1984-E1984</f>
        <v/>
      </c>
      <c r="G1984" s="5" t="inlineStr">
        <is>
          <t>Long</t>
        </is>
      </c>
      <c r="H1984" s="6" t="n">
        <v>24777</v>
      </c>
      <c r="I1984" s="6" t="n">
        <v>24710.25</v>
      </c>
      <c r="J1984" s="6">
        <f>IF(G1984="Long",I1984-H1984,IF(G1984="Short",H1984-I1984,0))</f>
        <v/>
      </c>
      <c r="K1984" s="7" t="n">
        <v>100</v>
      </c>
      <c r="L1984" s="5" t="inlineStr">
        <is>
          <t>Loss</t>
        </is>
      </c>
      <c r="M1984" s="6">
        <f>M1983+J1984</f>
        <v/>
      </c>
    </row>
    <row r="1985">
      <c r="A1985" s="8" t="inlineStr">
        <is>
          <t>2026-02-16</t>
        </is>
      </c>
      <c r="B1985" s="8" t="inlineStr">
        <is>
          <t>Monday</t>
        </is>
      </c>
      <c r="C1985" s="8" t="inlineStr">
        <is>
          <t>MNQH6</t>
        </is>
      </c>
      <c r="D1985" s="9" t="n">
        <v>24777</v>
      </c>
      <c r="E1985" s="9" t="n">
        <v>24710.25</v>
      </c>
      <c r="F1985" s="9">
        <f>D1985-E1985</f>
        <v/>
      </c>
      <c r="G1985" s="8" t="inlineStr">
        <is>
          <t>Short</t>
        </is>
      </c>
      <c r="H1985" s="9" t="n">
        <v>24710.25</v>
      </c>
      <c r="I1985" s="9" t="n">
        <v>24746</v>
      </c>
      <c r="J1985" s="9">
        <f>IF(G1985="Long",I1985-H1985,IF(G1985="Short",H1985-I1985,0))</f>
        <v/>
      </c>
      <c r="K1985" s="10" t="n">
        <v>91.39</v>
      </c>
      <c r="L1985" s="8" t="inlineStr">
        <is>
          <t>EOD-Close</t>
        </is>
      </c>
      <c r="M1985" s="9">
        <f>M1984+J1985</f>
        <v/>
      </c>
    </row>
    <row r="1986">
      <c r="A1986" s="5" t="inlineStr">
        <is>
          <t>2026-02-17</t>
        </is>
      </c>
      <c r="B1986" s="5" t="inlineStr">
        <is>
          <t>Tuesday</t>
        </is>
      </c>
      <c r="C1986" s="5" t="inlineStr">
        <is>
          <t>MNQH6</t>
        </is>
      </c>
      <c r="D1986" s="6" t="n">
        <v>24815.5</v>
      </c>
      <c r="E1986" s="6" t="n">
        <v>24605.75</v>
      </c>
      <c r="F1986" s="6">
        <f>D1986-E1986</f>
        <v/>
      </c>
      <c r="G1986" s="5" t="inlineStr">
        <is>
          <t>Short</t>
        </is>
      </c>
      <c r="H1986" s="6" t="n">
        <v>24605.75</v>
      </c>
      <c r="I1986" s="6" t="n">
        <v>24815.5</v>
      </c>
      <c r="J1986" s="6">
        <f>IF(G1986="Long",I1986-H1986,IF(G1986="Short",H1986-I1986,0))</f>
        <v/>
      </c>
      <c r="K1986" s="7" t="n">
        <v>100</v>
      </c>
      <c r="L1986" s="5" t="inlineStr">
        <is>
          <t>Loss</t>
        </is>
      </c>
      <c r="M1986" s="6">
        <f>M1985+J1986</f>
        <v/>
      </c>
    </row>
    <row r="1987">
      <c r="A1987" s="8" t="inlineStr">
        <is>
          <t>2026-02-17</t>
        </is>
      </c>
      <c r="B1987" s="8" t="inlineStr">
        <is>
          <t>Tuesday</t>
        </is>
      </c>
      <c r="C1987" s="8" t="inlineStr">
        <is>
          <t>MNQH6</t>
        </is>
      </c>
      <c r="D1987" s="9" t="n">
        <v>24815.5</v>
      </c>
      <c r="E1987" s="9" t="n">
        <v>24605.75</v>
      </c>
      <c r="F1987" s="9">
        <f>D1987-E1987</f>
        <v/>
      </c>
      <c r="G1987" s="8" t="inlineStr">
        <is>
          <t>Long</t>
        </is>
      </c>
      <c r="H1987" s="9" t="n">
        <v>24815.5</v>
      </c>
      <c r="I1987" s="9" t="n">
        <v>24776.75</v>
      </c>
      <c r="J1987" s="9">
        <f>IF(G1987="Long",I1987-H1987,IF(G1987="Short",H1987-I1987,0))</f>
        <v/>
      </c>
      <c r="K1987" s="10" t="n">
        <v>38.02</v>
      </c>
      <c r="L1987" s="8" t="inlineStr">
        <is>
          <t>EOD-Close</t>
        </is>
      </c>
      <c r="M1987" s="9">
        <f>M1986+J1987</f>
        <v/>
      </c>
    </row>
    <row r="1988">
      <c r="A1988" s="2" t="inlineStr">
        <is>
          <t>2026-02-18</t>
        </is>
      </c>
      <c r="B1988" s="2" t="inlineStr">
        <is>
          <t>Wednesday</t>
        </is>
      </c>
      <c r="C1988" s="2" t="inlineStr">
        <is>
          <t>MNQH6</t>
        </is>
      </c>
      <c r="D1988" s="3" t="n">
        <v>24868.75</v>
      </c>
      <c r="E1988" s="3" t="n">
        <v>24752</v>
      </c>
      <c r="F1988" s="3">
        <f>D1988-E1988</f>
        <v/>
      </c>
      <c r="G1988" s="2" t="inlineStr">
        <is>
          <t>Long</t>
        </is>
      </c>
      <c r="H1988" s="3" t="n">
        <v>24868.75</v>
      </c>
      <c r="I1988" s="3" t="n">
        <v>24985.5</v>
      </c>
      <c r="J1988" s="3">
        <f>IF(G1988="Long",I1988-H1988,IF(G1988="Short",H1988-I1988,0))</f>
        <v/>
      </c>
      <c r="K1988" s="4" t="n">
        <v>0</v>
      </c>
      <c r="L1988" s="2" t="inlineStr">
        <is>
          <t>Win</t>
        </is>
      </c>
      <c r="M1988" s="3">
        <f>M1987+J1988</f>
        <v/>
      </c>
    </row>
    <row r="1989">
      <c r="A1989" s="2" t="inlineStr">
        <is>
          <t>2026-02-18</t>
        </is>
      </c>
      <c r="B1989" s="2" t="inlineStr">
        <is>
          <t>Wednesday</t>
        </is>
      </c>
      <c r="C1989" s="2" t="inlineStr">
        <is>
          <t>MNQH6</t>
        </is>
      </c>
      <c r="D1989" s="3" t="n">
        <v>24868.75</v>
      </c>
      <c r="E1989" s="3" t="n">
        <v>24752</v>
      </c>
      <c r="F1989" s="3">
        <f>D1989-E1989</f>
        <v/>
      </c>
      <c r="G1989" s="2" t="inlineStr">
        <is>
          <t>Long</t>
        </is>
      </c>
      <c r="H1989" s="3" t="n">
        <v>24868.75</v>
      </c>
      <c r="I1989" s="3" t="n">
        <v>24985.5</v>
      </c>
      <c r="J1989" s="3">
        <f>IF(G1989="Long",I1989-H1989,IF(G1989="Short",H1989-I1989,0))</f>
        <v/>
      </c>
      <c r="K1989" s="4" t="n">
        <v>10.92</v>
      </c>
      <c r="L1989" s="2" t="inlineStr">
        <is>
          <t>Win</t>
        </is>
      </c>
      <c r="M1989" s="3">
        <f>M1988+J1989</f>
        <v/>
      </c>
    </row>
    <row r="1990">
      <c r="A1990" s="5" t="inlineStr">
        <is>
          <t>2026-02-19</t>
        </is>
      </c>
      <c r="B1990" s="5" t="inlineStr">
        <is>
          <t>Thursday</t>
        </is>
      </c>
      <c r="C1990" s="5" t="inlineStr">
        <is>
          <t>MNQH6</t>
        </is>
      </c>
      <c r="D1990" s="6" t="n">
        <v>24883.25</v>
      </c>
      <c r="E1990" s="6" t="n">
        <v>24762.5</v>
      </c>
      <c r="F1990" s="6">
        <f>D1990-E1990</f>
        <v/>
      </c>
      <c r="G1990" s="5" t="inlineStr">
        <is>
          <t>Long</t>
        </is>
      </c>
      <c r="H1990" s="6" t="n">
        <v>24883.25</v>
      </c>
      <c r="I1990" s="6" t="n">
        <v>24762.5</v>
      </c>
      <c r="J1990" s="6">
        <f>IF(G1990="Long",I1990-H1990,IF(G1990="Short",H1990-I1990,0))</f>
        <v/>
      </c>
      <c r="K1990" s="7" t="n">
        <v>100</v>
      </c>
      <c r="L1990" s="5" t="inlineStr">
        <is>
          <t>Loss</t>
        </is>
      </c>
      <c r="M1990" s="6">
        <f>M1989+J1990</f>
        <v/>
      </c>
    </row>
    <row r="1991">
      <c r="A1991" s="8" t="inlineStr">
        <is>
          <t>2026-02-19</t>
        </is>
      </c>
      <c r="B1991" s="8" t="inlineStr">
        <is>
          <t>Thursday</t>
        </is>
      </c>
      <c r="C1991" s="8" t="inlineStr">
        <is>
          <t>MNQH6</t>
        </is>
      </c>
      <c r="D1991" s="9" t="n">
        <v>24883.25</v>
      </c>
      <c r="E1991" s="9" t="n">
        <v>24762.5</v>
      </c>
      <c r="F1991" s="9">
        <f>D1991-E1991</f>
        <v/>
      </c>
      <c r="G1991" s="8" t="inlineStr">
        <is>
          <t>Short</t>
        </is>
      </c>
      <c r="H1991" s="9" t="n">
        <v>24762.5</v>
      </c>
      <c r="I1991" s="9" t="n">
        <v>24863</v>
      </c>
      <c r="J1991" s="9">
        <f>IF(G1991="Long",I1991-H1991,IF(G1991="Short",H1991-I1991,0))</f>
        <v/>
      </c>
      <c r="K1991" s="10" t="n">
        <v>85.51000000000001</v>
      </c>
      <c r="L1991" s="8" t="inlineStr">
        <is>
          <t>EOD-Close</t>
        </is>
      </c>
      <c r="M1991" s="9">
        <f>M1990+J1991</f>
        <v/>
      </c>
    </row>
    <row r="1992">
      <c r="A1992" s="8" t="inlineStr">
        <is>
          <t>2026-02-20</t>
        </is>
      </c>
      <c r="B1992" s="8" t="inlineStr">
        <is>
          <t>Friday</t>
        </is>
      </c>
      <c r="C1992" s="8" t="inlineStr">
        <is>
          <t>MNQH6</t>
        </is>
      </c>
      <c r="D1992" s="9" t="n">
        <v>24948.75</v>
      </c>
      <c r="E1992" s="9" t="n">
        <v>24677</v>
      </c>
      <c r="F1992" s="9">
        <f>D1992-E1992</f>
        <v/>
      </c>
      <c r="G1992" s="8" t="inlineStr">
        <is>
          <t>Long</t>
        </is>
      </c>
      <c r="H1992" s="9" t="n">
        <v>24948.75</v>
      </c>
      <c r="I1992" s="9" t="n">
        <v>25074.25</v>
      </c>
      <c r="J1992" s="9">
        <f>IF(G1992="Long",I1992-H1992,IF(G1992="Short",H1992-I1992,0))</f>
        <v/>
      </c>
      <c r="K1992" s="10" t="n">
        <v>33.3</v>
      </c>
      <c r="L1992" s="8" t="inlineStr">
        <is>
          <t>EOD-Close</t>
        </is>
      </c>
      <c r="M1992" s="9">
        <f>M1991+J1992</f>
        <v/>
      </c>
    </row>
    <row r="1993">
      <c r="A1993" s="2" t="inlineStr">
        <is>
          <t>2026-02-23</t>
        </is>
      </c>
      <c r="B1993" s="2" t="inlineStr">
        <is>
          <t>Monday</t>
        </is>
      </c>
      <c r="C1993" s="2" t="inlineStr">
        <is>
          <t>MNQH6</t>
        </is>
      </c>
      <c r="D1993" s="3" t="n">
        <v>25040</v>
      </c>
      <c r="E1993" s="3" t="n">
        <v>24880.25</v>
      </c>
      <c r="F1993" s="3">
        <f>D1993-E1993</f>
        <v/>
      </c>
      <c r="G1993" s="2" t="inlineStr">
        <is>
          <t>Short</t>
        </is>
      </c>
      <c r="H1993" s="3" t="n">
        <v>24880.25</v>
      </c>
      <c r="I1993" s="3" t="n">
        <v>24720.5</v>
      </c>
      <c r="J1993" s="3">
        <f>IF(G1993="Long",I1993-H1993,IF(G1993="Short",H1993-I1993,0))</f>
        <v/>
      </c>
      <c r="K1993" s="4" t="n">
        <v>30.99</v>
      </c>
      <c r="L1993" s="2" t="inlineStr">
        <is>
          <t>Win</t>
        </is>
      </c>
      <c r="M1993" s="3">
        <f>M1992+J1993</f>
        <v/>
      </c>
    </row>
    <row r="1994">
      <c r="A1994" s="8" t="inlineStr">
        <is>
          <t>2026-02-24</t>
        </is>
      </c>
      <c r="B1994" s="8" t="inlineStr">
        <is>
          <t>Tuesday</t>
        </is>
      </c>
      <c r="C1994" s="8" t="inlineStr">
        <is>
          <t>MNQH6</t>
        </is>
      </c>
      <c r="D1994" s="9" t="n">
        <v>24912.25</v>
      </c>
      <c r="E1994" s="9" t="n">
        <v>24694</v>
      </c>
      <c r="F1994" s="9">
        <f>D1994-E1994</f>
        <v/>
      </c>
      <c r="G1994" s="8" t="inlineStr">
        <is>
          <t>Long</t>
        </is>
      </c>
      <c r="H1994" s="9" t="n">
        <v>24912.25</v>
      </c>
      <c r="I1994" s="9" t="n">
        <v>25029.75</v>
      </c>
      <c r="J1994" s="9">
        <f>IF(G1994="Long",I1994-H1994,IF(G1994="Short",H1994-I1994,0))</f>
        <v/>
      </c>
      <c r="K1994" s="10" t="n">
        <v>42.5</v>
      </c>
      <c r="L1994" s="8" t="inlineStr">
        <is>
          <t>EOD-Close</t>
        </is>
      </c>
      <c r="M1994" s="9">
        <f>M1993+J1994</f>
        <v/>
      </c>
    </row>
    <row r="1995">
      <c r="A1995" s="8" t="inlineStr">
        <is>
          <t>2026-02-25</t>
        </is>
      </c>
      <c r="B1995" s="8" t="inlineStr">
        <is>
          <t>Wednesday</t>
        </is>
      </c>
      <c r="C1995" s="8" t="inlineStr">
        <is>
          <t>MNQH6</t>
        </is>
      </c>
      <c r="D1995" s="9" t="n">
        <v>25279.75</v>
      </c>
      <c r="E1995" s="9" t="n">
        <v>25156.75</v>
      </c>
      <c r="F1995" s="9">
        <f>D1995-E1995</f>
        <v/>
      </c>
      <c r="G1995" s="8" t="inlineStr">
        <is>
          <t>Long</t>
        </is>
      </c>
      <c r="H1995" s="9" t="n">
        <v>25279.75</v>
      </c>
      <c r="I1995" s="9" t="n">
        <v>25384</v>
      </c>
      <c r="J1995" s="9">
        <f>IF(G1995="Long",I1995-H1995,IF(G1995="Short",H1995-I1995,0))</f>
        <v/>
      </c>
      <c r="K1995" s="10" t="n">
        <v>12.2</v>
      </c>
      <c r="L1995" s="8" t="inlineStr">
        <is>
          <t>EOD-Close</t>
        </is>
      </c>
      <c r="M1995" s="9">
        <f>M1994+J1995</f>
        <v/>
      </c>
    </row>
    <row r="1996">
      <c r="A1996" s="2" t="inlineStr">
        <is>
          <t>2026-02-26</t>
        </is>
      </c>
      <c r="B1996" s="2" t="inlineStr">
        <is>
          <t>Thursday</t>
        </is>
      </c>
      <c r="C1996" s="2" t="inlineStr">
        <is>
          <t>MNQH6</t>
        </is>
      </c>
      <c r="D1996" s="3" t="n">
        <v>25342</v>
      </c>
      <c r="E1996" s="3" t="n">
        <v>25224.75</v>
      </c>
      <c r="F1996" s="3">
        <f>D1996-E1996</f>
        <v/>
      </c>
      <c r="G1996" s="2" t="inlineStr">
        <is>
          <t>Short</t>
        </is>
      </c>
      <c r="H1996" s="3" t="n">
        <v>25224.75</v>
      </c>
      <c r="I1996" s="3" t="n">
        <v>25107.5</v>
      </c>
      <c r="J1996" s="3">
        <f>IF(G1996="Long",I1996-H1996,IF(G1996="Short",H1996-I1996,0))</f>
        <v/>
      </c>
      <c r="K1996" s="4" t="n">
        <v>14.29</v>
      </c>
      <c r="L1996" s="2" t="inlineStr">
        <is>
          <t>Win</t>
        </is>
      </c>
      <c r="M1996" s="3">
        <f>M1995+J1996</f>
        <v/>
      </c>
    </row>
    <row r="1997">
      <c r="A1997" s="8" t="inlineStr">
        <is>
          <t>2026-02-27</t>
        </is>
      </c>
      <c r="B1997" s="8" t="inlineStr">
        <is>
          <t>Friday</t>
        </is>
      </c>
      <c r="C1997" s="8" t="inlineStr">
        <is>
          <t>MNQH6</t>
        </is>
      </c>
      <c r="D1997" s="9" t="n">
        <v>24910</v>
      </c>
      <c r="E1997" s="9" t="n">
        <v>24780</v>
      </c>
      <c r="F1997" s="9">
        <f>D1997-E1997</f>
        <v/>
      </c>
      <c r="G1997" s="8" t="inlineStr">
        <is>
          <t>Long</t>
        </is>
      </c>
      <c r="H1997" s="9" t="n">
        <v>24910</v>
      </c>
      <c r="I1997" s="9" t="n">
        <v>24998.25</v>
      </c>
      <c r="J1997" s="9">
        <f>IF(G1997="Long",I1997-H1997,IF(G1997="Short",H1997-I1997,0))</f>
        <v/>
      </c>
      <c r="K1997" s="10" t="n">
        <v>46.15</v>
      </c>
      <c r="L1997" s="8" t="inlineStr">
        <is>
          <t>EOD-Close</t>
        </is>
      </c>
      <c r="M1997" s="9">
        <f>M1996+J1997</f>
        <v/>
      </c>
    </row>
    <row r="1998">
      <c r="A1998" s="8" t="inlineStr">
        <is>
          <t>2026-03-02</t>
        </is>
      </c>
      <c r="B1998" s="8" t="inlineStr">
        <is>
          <t>Monday</t>
        </is>
      </c>
      <c r="C1998" s="8" t="inlineStr">
        <is>
          <t>MNQH6</t>
        </is>
      </c>
      <c r="D1998" s="9" t="n">
        <v>24885.25</v>
      </c>
      <c r="E1998" s="9" t="n">
        <v>24605.25</v>
      </c>
      <c r="F1998" s="9">
        <f>D1998-E1998</f>
        <v/>
      </c>
      <c r="G1998" s="8" t="inlineStr">
        <is>
          <t>Long</t>
        </is>
      </c>
      <c r="H1998" s="9" t="n">
        <v>24885.25</v>
      </c>
      <c r="I1998" s="9" t="n">
        <v>25022.25</v>
      </c>
      <c r="J1998" s="9">
        <f>IF(G1998="Long",I1998-H1998,IF(G1998="Short",H1998-I1998,0))</f>
        <v/>
      </c>
      <c r="K1998" s="10" t="n">
        <v>29.38</v>
      </c>
      <c r="L1998" s="8" t="inlineStr">
        <is>
          <t>EOD-Close</t>
        </is>
      </c>
      <c r="M1998" s="9">
        <f>M1997+J1998</f>
        <v/>
      </c>
    </row>
    <row r="1999">
      <c r="A1999" s="5" t="inlineStr">
        <is>
          <t>2026-03-03</t>
        </is>
      </c>
      <c r="B1999" s="5" t="inlineStr">
        <is>
          <t>Tuesday</t>
        </is>
      </c>
      <c r="C1999" s="5" t="inlineStr">
        <is>
          <t>MNQH6</t>
        </is>
      </c>
      <c r="D1999" s="6" t="n">
        <v>24661</v>
      </c>
      <c r="E1999" s="6" t="n">
        <v>24502.25</v>
      </c>
      <c r="F1999" s="6">
        <f>D1999-E1999</f>
        <v/>
      </c>
      <c r="G1999" s="5" t="inlineStr">
        <is>
          <t>Short</t>
        </is>
      </c>
      <c r="H1999" s="6" t="n">
        <v>24502.25</v>
      </c>
      <c r="I1999" s="6" t="n">
        <v>24661</v>
      </c>
      <c r="J1999" s="6">
        <f>IF(G1999="Long",I1999-H1999,IF(G1999="Short",H1999-I1999,0))</f>
        <v/>
      </c>
      <c r="K1999" s="7" t="n">
        <v>100</v>
      </c>
      <c r="L1999" s="5" t="inlineStr">
        <is>
          <t>Loss</t>
        </is>
      </c>
      <c r="M1999" s="6">
        <f>M1998+J1999</f>
        <v/>
      </c>
    </row>
    <row r="2000">
      <c r="A2000" s="2" t="inlineStr">
        <is>
          <t>2026-03-03</t>
        </is>
      </c>
      <c r="B2000" s="2" t="inlineStr">
        <is>
          <t>Tuesday</t>
        </is>
      </c>
      <c r="C2000" s="2" t="inlineStr">
        <is>
          <t>MNQH6</t>
        </is>
      </c>
      <c r="D2000" s="3" t="n">
        <v>24661</v>
      </c>
      <c r="E2000" s="3" t="n">
        <v>24502.25</v>
      </c>
      <c r="F2000" s="3">
        <f>D2000-E2000</f>
        <v/>
      </c>
      <c r="G2000" s="2" t="inlineStr">
        <is>
          <t>Long</t>
        </is>
      </c>
      <c r="H2000" s="3" t="n">
        <v>24661</v>
      </c>
      <c r="I2000" s="3" t="n">
        <v>24819.75</v>
      </c>
      <c r="J2000" s="3">
        <f>IF(G2000="Long",I2000-H2000,IF(G2000="Short",H2000-I2000,0))</f>
        <v/>
      </c>
      <c r="K2000" s="4" t="n">
        <v>37.32</v>
      </c>
      <c r="L2000" s="2" t="inlineStr">
        <is>
          <t>Win</t>
        </is>
      </c>
      <c r="M2000" s="3">
        <f>M1999+J2000</f>
        <v/>
      </c>
    </row>
    <row r="2001">
      <c r="A2001" s="2" t="inlineStr">
        <is>
          <t>2026-03-04</t>
        </is>
      </c>
      <c r="B2001" s="2" t="inlineStr">
        <is>
          <t>Wednesday</t>
        </is>
      </c>
      <c r="C2001" s="2" t="inlineStr">
        <is>
          <t>MNQH6</t>
        </is>
      </c>
      <c r="D2001" s="3" t="n">
        <v>24970.5</v>
      </c>
      <c r="E2001" s="3" t="n">
        <v>24837.25</v>
      </c>
      <c r="F2001" s="3">
        <f>D2001-E2001</f>
        <v/>
      </c>
      <c r="G2001" s="2" t="inlineStr">
        <is>
          <t>Long</t>
        </is>
      </c>
      <c r="H2001" s="3" t="n">
        <v>24970.5</v>
      </c>
      <c r="I2001" s="3" t="n">
        <v>25103.75</v>
      </c>
      <c r="J2001" s="3">
        <f>IF(G2001="Long",I2001-H2001,IF(G2001="Short",H2001-I2001,0))</f>
        <v/>
      </c>
      <c r="K2001" s="4" t="n">
        <v>9.76</v>
      </c>
      <c r="L2001" s="2" t="inlineStr">
        <is>
          <t>Win</t>
        </is>
      </c>
      <c r="M2001" s="3">
        <f>M2000+J2001</f>
        <v/>
      </c>
    </row>
    <row r="2002">
      <c r="A2002" s="5" t="inlineStr">
        <is>
          <t>2026-03-05</t>
        </is>
      </c>
      <c r="B2002" s="5" t="inlineStr">
        <is>
          <t>Thursday</t>
        </is>
      </c>
      <c r="C2002" s="5" t="inlineStr">
        <is>
          <t>MNQH6</t>
        </is>
      </c>
      <c r="D2002" s="6" t="n">
        <v>25125.25</v>
      </c>
      <c r="E2002" s="6" t="n">
        <v>24985.25</v>
      </c>
      <c r="F2002" s="6">
        <f>D2002-E2002</f>
        <v/>
      </c>
      <c r="G2002" s="5" t="inlineStr">
        <is>
          <t>Long</t>
        </is>
      </c>
      <c r="H2002" s="6" t="n">
        <v>25125.25</v>
      </c>
      <c r="I2002" s="6" t="n">
        <v>24985.25</v>
      </c>
      <c r="J2002" s="6">
        <f>IF(G2002="Long",I2002-H2002,IF(G2002="Short",H2002-I2002,0))</f>
        <v/>
      </c>
      <c r="K2002" s="7" t="n">
        <v>100</v>
      </c>
      <c r="L2002" s="5" t="inlineStr">
        <is>
          <t>Loss</t>
        </is>
      </c>
      <c r="M2002" s="6">
        <f>M2001+J2002</f>
        <v/>
      </c>
    </row>
    <row r="2003">
      <c r="A2003" s="2" t="inlineStr">
        <is>
          <t>2026-03-05</t>
        </is>
      </c>
      <c r="B2003" s="2" t="inlineStr">
        <is>
          <t>Thursday</t>
        </is>
      </c>
      <c r="C2003" s="2" t="inlineStr">
        <is>
          <t>MNQH6</t>
        </is>
      </c>
      <c r="D2003" s="3" t="n">
        <v>25125.25</v>
      </c>
      <c r="E2003" s="3" t="n">
        <v>24985.25</v>
      </c>
      <c r="F2003" s="3">
        <f>D2003-E2003</f>
        <v/>
      </c>
      <c r="G2003" s="2" t="inlineStr">
        <is>
          <t>Short</t>
        </is>
      </c>
      <c r="H2003" s="3" t="n">
        <v>24985.25</v>
      </c>
      <c r="I2003" s="3" t="n">
        <v>24845.25</v>
      </c>
      <c r="J2003" s="3">
        <f>IF(G2003="Long",I2003-H2003,IF(G2003="Short",H2003-I2003,0))</f>
        <v/>
      </c>
      <c r="K2003" s="4" t="n">
        <v>98.39</v>
      </c>
      <c r="L2003" s="2" t="inlineStr">
        <is>
          <t>Win</t>
        </is>
      </c>
      <c r="M2003" s="3">
        <f>M2002+J2003</f>
        <v/>
      </c>
    </row>
    <row r="2004">
      <c r="A2004" s="2" t="inlineStr">
        <is>
          <t>2026-03-06</t>
        </is>
      </c>
      <c r="B2004" s="2" t="inlineStr">
        <is>
          <t>Friday</t>
        </is>
      </c>
      <c r="C2004" s="2" t="inlineStr">
        <is>
          <t>MNQH6</t>
        </is>
      </c>
      <c r="D2004" s="3" t="n">
        <v>24732.25</v>
      </c>
      <c r="E2004" s="3" t="n">
        <v>24611.75</v>
      </c>
      <c r="F2004" s="3">
        <f>D2004-E2004</f>
        <v/>
      </c>
      <c r="G2004" s="2" t="inlineStr">
        <is>
          <t>Long</t>
        </is>
      </c>
      <c r="H2004" s="3" t="n">
        <v>24732.25</v>
      </c>
      <c r="I2004" s="3" t="n">
        <v>24852.75</v>
      </c>
      <c r="J2004" s="3">
        <f>IF(G2004="Long",I2004-H2004,IF(G2004="Short",H2004-I2004,0))</f>
        <v/>
      </c>
      <c r="K2004" s="4" t="n">
        <v>56.43</v>
      </c>
      <c r="L2004" s="2" t="inlineStr">
        <is>
          <t>Win</t>
        </is>
      </c>
      <c r="M2004" s="3">
        <f>M2003+J2004</f>
        <v/>
      </c>
    </row>
    <row r="2005">
      <c r="A2005" s="5" t="inlineStr">
        <is>
          <t>2026-03-06</t>
        </is>
      </c>
      <c r="B2005" s="5" t="inlineStr">
        <is>
          <t>Friday</t>
        </is>
      </c>
      <c r="C2005" s="5" t="inlineStr">
        <is>
          <t>MNQH6</t>
        </is>
      </c>
      <c r="D2005" s="6" t="n">
        <v>24732.25</v>
      </c>
      <c r="E2005" s="6" t="n">
        <v>24611.75</v>
      </c>
      <c r="F2005" s="6">
        <f>D2005-E2005</f>
        <v/>
      </c>
      <c r="G2005" s="5" t="inlineStr">
        <is>
          <t>Long</t>
        </is>
      </c>
      <c r="H2005" s="6" t="n">
        <v>24732.25</v>
      </c>
      <c r="I2005" s="6" t="n">
        <v>24611.75</v>
      </c>
      <c r="J2005" s="6">
        <f>IF(G2005="Long",I2005-H2005,IF(G2005="Short",H2005-I2005,0))</f>
        <v/>
      </c>
      <c r="K2005" s="7" t="n">
        <v>100</v>
      </c>
      <c r="L2005" s="5" t="inlineStr">
        <is>
          <t>Loss</t>
        </is>
      </c>
      <c r="M2005" s="6">
        <f>M2004+J2005</f>
        <v/>
      </c>
    </row>
    <row r="2006">
      <c r="A2006" s="5" t="inlineStr">
        <is>
          <t>2026-03-09</t>
        </is>
      </c>
      <c r="B2006" s="5" t="inlineStr">
        <is>
          <t>Monday</t>
        </is>
      </c>
      <c r="C2006" s="5" t="inlineStr">
        <is>
          <t>MNQH6</t>
        </is>
      </c>
      <c r="D2006" s="6" t="n">
        <v>24526</v>
      </c>
      <c r="E2006" s="6" t="n">
        <v>24354.75</v>
      </c>
      <c r="F2006" s="6">
        <f>D2006-E2006</f>
        <v/>
      </c>
      <c r="G2006" s="5" t="inlineStr">
        <is>
          <t>Short</t>
        </is>
      </c>
      <c r="H2006" s="6" t="n">
        <v>24354.75</v>
      </c>
      <c r="I2006" s="6" t="n">
        <v>24526</v>
      </c>
      <c r="J2006" s="6">
        <f>IF(G2006="Long",I2006-H2006,IF(G2006="Short",H2006-I2006,0))</f>
        <v/>
      </c>
      <c r="K2006" s="7" t="n">
        <v>100</v>
      </c>
      <c r="L2006" s="5" t="inlineStr">
        <is>
          <t>Loss</t>
        </is>
      </c>
      <c r="M2006" s="6">
        <f>M2005+J2006</f>
        <v/>
      </c>
    </row>
    <row r="2007">
      <c r="A2007" s="2" t="inlineStr">
        <is>
          <t>2026-03-09</t>
        </is>
      </c>
      <c r="B2007" s="2" t="inlineStr">
        <is>
          <t>Monday</t>
        </is>
      </c>
      <c r="C2007" s="2" t="inlineStr">
        <is>
          <t>MNQH6</t>
        </is>
      </c>
      <c r="D2007" s="3" t="n">
        <v>24526</v>
      </c>
      <c r="E2007" s="3" t="n">
        <v>24354.75</v>
      </c>
      <c r="F2007" s="3">
        <f>D2007-E2007</f>
        <v/>
      </c>
      <c r="G2007" s="2" t="inlineStr">
        <is>
          <t>Long</t>
        </is>
      </c>
      <c r="H2007" s="3" t="n">
        <v>24526</v>
      </c>
      <c r="I2007" s="3" t="n">
        <v>24697.25</v>
      </c>
      <c r="J2007" s="3">
        <f>IF(G2007="Long",I2007-H2007,IF(G2007="Short",H2007-I2007,0))</f>
        <v/>
      </c>
      <c r="K2007" s="4" t="n">
        <v>0</v>
      </c>
      <c r="L2007" s="2" t="inlineStr">
        <is>
          <t>Win</t>
        </is>
      </c>
      <c r="M2007" s="3">
        <f>M2006+J2007</f>
        <v/>
      </c>
    </row>
    <row r="2008">
      <c r="A2008" s="5" t="inlineStr">
        <is>
          <t>2026-03-10</t>
        </is>
      </c>
      <c r="B2008" s="5" t="inlineStr">
        <is>
          <t>Tuesday</t>
        </is>
      </c>
      <c r="C2008" s="5" t="inlineStr">
        <is>
          <t>MNQH6</t>
        </is>
      </c>
      <c r="D2008" s="6" t="n">
        <v>25081</v>
      </c>
      <c r="E2008" s="6" t="n">
        <v>24959.5</v>
      </c>
      <c r="F2008" s="6">
        <f>D2008-E2008</f>
        <v/>
      </c>
      <c r="G2008" s="5" t="inlineStr">
        <is>
          <t>Short</t>
        </is>
      </c>
      <c r="H2008" s="6" t="n">
        <v>24959.5</v>
      </c>
      <c r="I2008" s="6" t="n">
        <v>25081</v>
      </c>
      <c r="J2008" s="6">
        <f>IF(G2008="Long",I2008-H2008,IF(G2008="Short",H2008-I2008,0))</f>
        <v/>
      </c>
      <c r="K2008" s="7" t="n">
        <v>100</v>
      </c>
      <c r="L2008" s="5" t="inlineStr">
        <is>
          <t>Loss</t>
        </is>
      </c>
      <c r="M2008" s="6">
        <f>M2007+J2008</f>
        <v/>
      </c>
    </row>
    <row r="2009">
      <c r="A2009" s="2" t="inlineStr">
        <is>
          <t>2026-03-10</t>
        </is>
      </c>
      <c r="B2009" s="2" t="inlineStr">
        <is>
          <t>Tuesday</t>
        </is>
      </c>
      <c r="C2009" s="2" t="inlineStr">
        <is>
          <t>MNQH6</t>
        </is>
      </c>
      <c r="D2009" s="3" t="n">
        <v>25081</v>
      </c>
      <c r="E2009" s="3" t="n">
        <v>24959.5</v>
      </c>
      <c r="F2009" s="3">
        <f>D2009-E2009</f>
        <v/>
      </c>
      <c r="G2009" s="2" t="inlineStr">
        <is>
          <t>Long</t>
        </is>
      </c>
      <c r="H2009" s="3" t="n">
        <v>25081</v>
      </c>
      <c r="I2009" s="3" t="n">
        <v>25202.5</v>
      </c>
      <c r="J2009" s="3">
        <f>IF(G2009="Long",I2009-H2009,IF(G2009="Short",H2009-I2009,0))</f>
        <v/>
      </c>
      <c r="K2009" s="4" t="n">
        <v>6.38</v>
      </c>
      <c r="L2009" s="2" t="inlineStr">
        <is>
          <t>Win</t>
        </is>
      </c>
      <c r="M2009" s="3">
        <f>M2008+J2009</f>
        <v/>
      </c>
    </row>
    <row r="2010">
      <c r="A2010" s="5" t="inlineStr">
        <is>
          <t>2026-03-11</t>
        </is>
      </c>
      <c r="B2010" s="5" t="inlineStr">
        <is>
          <t>Wednesday</t>
        </is>
      </c>
      <c r="C2010" s="5" t="inlineStr">
        <is>
          <t>MNQH6</t>
        </is>
      </c>
      <c r="D2010" s="6" t="n">
        <v>25115.5</v>
      </c>
      <c r="E2010" s="6" t="n">
        <v>25035</v>
      </c>
      <c r="F2010" s="6">
        <f>D2010-E2010</f>
        <v/>
      </c>
      <c r="G2010" s="5" t="inlineStr">
        <is>
          <t>Long</t>
        </is>
      </c>
      <c r="H2010" s="6" t="n">
        <v>25115.5</v>
      </c>
      <c r="I2010" s="6" t="n">
        <v>25035</v>
      </c>
      <c r="J2010" s="6">
        <f>IF(G2010="Long",I2010-H2010,IF(G2010="Short",H2010-I2010,0))</f>
        <v/>
      </c>
      <c r="K2010" s="7" t="n">
        <v>100</v>
      </c>
      <c r="L2010" s="5" t="inlineStr">
        <is>
          <t>Loss</t>
        </is>
      </c>
      <c r="M2010" s="6">
        <f>M2009+J2010</f>
        <v/>
      </c>
    </row>
    <row r="2011">
      <c r="A2011" s="2" t="inlineStr">
        <is>
          <t>2026-03-11</t>
        </is>
      </c>
      <c r="B2011" s="2" t="inlineStr">
        <is>
          <t>Wednesday</t>
        </is>
      </c>
      <c r="C2011" s="2" t="inlineStr">
        <is>
          <t>MNQH6</t>
        </is>
      </c>
      <c r="D2011" s="3" t="n">
        <v>25115.5</v>
      </c>
      <c r="E2011" s="3" t="n">
        <v>25035</v>
      </c>
      <c r="F2011" s="3">
        <f>D2011-E2011</f>
        <v/>
      </c>
      <c r="G2011" s="2" t="inlineStr">
        <is>
          <t>Short</t>
        </is>
      </c>
      <c r="H2011" s="3" t="n">
        <v>25035</v>
      </c>
      <c r="I2011" s="3" t="n">
        <v>24954.5</v>
      </c>
      <c r="J2011" s="3">
        <f>IF(G2011="Long",I2011-H2011,IF(G2011="Short",H2011-I2011,0))</f>
        <v/>
      </c>
      <c r="K2011" s="4" t="n">
        <v>68.31999999999999</v>
      </c>
      <c r="L2011" s="2" t="inlineStr">
        <is>
          <t>Win</t>
        </is>
      </c>
      <c r="M2011" s="3">
        <f>M2010+J2011</f>
        <v/>
      </c>
    </row>
    <row r="2012">
      <c r="A2012" s="2" t="inlineStr">
        <is>
          <t>2026-03-12</t>
        </is>
      </c>
      <c r="B2012" s="2" t="inlineStr">
        <is>
          <t>Thursday</t>
        </is>
      </c>
      <c r="C2012" s="2" t="inlineStr">
        <is>
          <t>MNQH6</t>
        </is>
      </c>
      <c r="D2012" s="3" t="n">
        <v>24834.75</v>
      </c>
      <c r="E2012" s="3" t="n">
        <v>24742</v>
      </c>
      <c r="F2012" s="3">
        <f>D2012-E2012</f>
        <v/>
      </c>
      <c r="G2012" s="2" t="inlineStr">
        <is>
          <t>Short</t>
        </is>
      </c>
      <c r="H2012" s="3" t="n">
        <v>24742</v>
      </c>
      <c r="I2012" s="3" t="n">
        <v>24649.25</v>
      </c>
      <c r="J2012" s="3">
        <f>IF(G2012="Long",I2012-H2012,IF(G2012="Short",H2012-I2012,0))</f>
        <v/>
      </c>
      <c r="K2012" s="4" t="n">
        <v>26.95</v>
      </c>
      <c r="L2012" s="2" t="inlineStr">
        <is>
          <t>Win</t>
        </is>
      </c>
      <c r="M2012" s="3">
        <f>M2011+J2012</f>
        <v/>
      </c>
    </row>
    <row r="2013">
      <c r="A2013" s="2" t="inlineStr">
        <is>
          <t>2026-03-12</t>
        </is>
      </c>
      <c r="B2013" s="2" t="inlineStr">
        <is>
          <t>Thursday</t>
        </is>
      </c>
      <c r="C2013" s="2" t="inlineStr">
        <is>
          <t>MNQH6</t>
        </is>
      </c>
      <c r="D2013" s="3" t="n">
        <v>24834.75</v>
      </c>
      <c r="E2013" s="3" t="n">
        <v>24742</v>
      </c>
      <c r="F2013" s="3">
        <f>D2013-E2013</f>
        <v/>
      </c>
      <c r="G2013" s="2" t="inlineStr">
        <is>
          <t>Short</t>
        </is>
      </c>
      <c r="H2013" s="3" t="n">
        <v>24742</v>
      </c>
      <c r="I2013" s="3" t="n">
        <v>24649.25</v>
      </c>
      <c r="J2013" s="3">
        <f>IF(G2013="Long",I2013-H2013,IF(G2013="Short",H2013-I2013,0))</f>
        <v/>
      </c>
      <c r="K2013" s="4" t="n">
        <v>8.630000000000001</v>
      </c>
      <c r="L2013" s="2" t="inlineStr">
        <is>
          <t>Win</t>
        </is>
      </c>
      <c r="M2013" s="3">
        <f>M2012+J2013</f>
        <v/>
      </c>
    </row>
    <row r="2014">
      <c r="A2014" s="5" t="inlineStr">
        <is>
          <t>2026-03-13</t>
        </is>
      </c>
      <c r="B2014" s="5" t="inlineStr">
        <is>
          <t>Friday</t>
        </is>
      </c>
      <c r="C2014" s="5" t="inlineStr">
        <is>
          <t>MNQH6</t>
        </is>
      </c>
      <c r="D2014" s="6" t="n">
        <v>24772.75</v>
      </c>
      <c r="E2014" s="6" t="n">
        <v>24611</v>
      </c>
      <c r="F2014" s="6">
        <f>D2014-E2014</f>
        <v/>
      </c>
      <c r="G2014" s="5" t="inlineStr">
        <is>
          <t>Long</t>
        </is>
      </c>
      <c r="H2014" s="6" t="n">
        <v>24772.75</v>
      </c>
      <c r="I2014" s="6" t="n">
        <v>24611</v>
      </c>
      <c r="J2014" s="6">
        <f>IF(G2014="Long",I2014-H2014,IF(G2014="Short",H2014-I2014,0))</f>
        <v/>
      </c>
      <c r="K2014" s="7" t="n">
        <v>100</v>
      </c>
      <c r="L2014" s="5" t="inlineStr">
        <is>
          <t>Loss</t>
        </is>
      </c>
      <c r="M2014" s="6">
        <f>M2013+J2014</f>
        <v/>
      </c>
    </row>
    <row r="2015">
      <c r="A2015" s="2" t="inlineStr">
        <is>
          <t>2026-03-13</t>
        </is>
      </c>
      <c r="B2015" s="2" t="inlineStr">
        <is>
          <t>Friday</t>
        </is>
      </c>
      <c r="C2015" s="2" t="inlineStr">
        <is>
          <t>MNQH6</t>
        </is>
      </c>
      <c r="D2015" s="3" t="n">
        <v>24772.75</v>
      </c>
      <c r="E2015" s="3" t="n">
        <v>24611</v>
      </c>
      <c r="F2015" s="3">
        <f>D2015-E2015</f>
        <v/>
      </c>
      <c r="G2015" s="2" t="inlineStr">
        <is>
          <t>Short</t>
        </is>
      </c>
      <c r="H2015" s="3" t="n">
        <v>24611</v>
      </c>
      <c r="I2015" s="3" t="n">
        <v>24449.25</v>
      </c>
      <c r="J2015" s="3">
        <f>IF(G2015="Long",I2015-H2015,IF(G2015="Short",H2015-I2015,0))</f>
        <v/>
      </c>
      <c r="K2015" s="4" t="n">
        <v>0</v>
      </c>
      <c r="L2015" s="2" t="inlineStr">
        <is>
          <t>Win</t>
        </is>
      </c>
      <c r="M2015" s="3">
        <f>M2014+J2015</f>
        <v/>
      </c>
    </row>
    <row r="2016">
      <c r="A2016" s="5" t="inlineStr">
        <is>
          <t>2026-03-16</t>
        </is>
      </c>
      <c r="B2016" s="5" t="inlineStr">
        <is>
          <t>Monday</t>
        </is>
      </c>
      <c r="C2016" s="5" t="inlineStr">
        <is>
          <t>MNQM6</t>
        </is>
      </c>
      <c r="D2016" s="6" t="n">
        <v>24931.75</v>
      </c>
      <c r="E2016" s="6" t="n">
        <v>24836.25</v>
      </c>
      <c r="F2016" s="6">
        <f>D2016-E2016</f>
        <v/>
      </c>
      <c r="G2016" s="5" t="inlineStr">
        <is>
          <t>Long</t>
        </is>
      </c>
      <c r="H2016" s="6" t="n">
        <v>24931.75</v>
      </c>
      <c r="I2016" s="6" t="n">
        <v>24836.25</v>
      </c>
      <c r="J2016" s="6">
        <f>IF(G2016="Long",I2016-H2016,IF(G2016="Short",H2016-I2016,0))</f>
        <v/>
      </c>
      <c r="K2016" s="7" t="n">
        <v>100</v>
      </c>
      <c r="L2016" s="5" t="inlineStr">
        <is>
          <t>Loss</t>
        </is>
      </c>
      <c r="M2016" s="6">
        <f>M2015+J2016</f>
        <v/>
      </c>
    </row>
    <row r="2017">
      <c r="A2017" s="5" t="inlineStr">
        <is>
          <t>2026-03-16</t>
        </is>
      </c>
      <c r="B2017" s="5" t="inlineStr">
        <is>
          <t>Monday</t>
        </is>
      </c>
      <c r="C2017" s="5" t="inlineStr">
        <is>
          <t>MNQM6</t>
        </is>
      </c>
      <c r="D2017" s="6" t="n">
        <v>24931.75</v>
      </c>
      <c r="E2017" s="6" t="n">
        <v>24836.25</v>
      </c>
      <c r="F2017" s="6">
        <f>D2017-E2017</f>
        <v/>
      </c>
      <c r="G2017" s="5" t="inlineStr">
        <is>
          <t>Long</t>
        </is>
      </c>
      <c r="H2017" s="6" t="n">
        <v>24931.75</v>
      </c>
      <c r="I2017" s="6" t="n">
        <v>24836.25</v>
      </c>
      <c r="J2017" s="6">
        <f>IF(G2017="Long",I2017-H2017,IF(G2017="Short",H2017-I2017,0))</f>
        <v/>
      </c>
      <c r="K2017" s="7" t="n">
        <v>100</v>
      </c>
      <c r="L2017" s="5" t="inlineStr">
        <is>
          <t>Loss</t>
        </is>
      </c>
      <c r="M2017" s="6">
        <f>M2016+J2017</f>
        <v/>
      </c>
    </row>
    <row r="2018">
      <c r="A2018" s="5" t="inlineStr">
        <is>
          <t>2026-03-17</t>
        </is>
      </c>
      <c r="B2018" s="5" t="inlineStr">
        <is>
          <t>Tuesday</t>
        </is>
      </c>
      <c r="C2018" s="5" t="inlineStr">
        <is>
          <t>MNQM6</t>
        </is>
      </c>
      <c r="D2018" s="6" t="n">
        <v>25076</v>
      </c>
      <c r="E2018" s="6" t="n">
        <v>24964.25</v>
      </c>
      <c r="F2018" s="6">
        <f>D2018-E2018</f>
        <v/>
      </c>
      <c r="G2018" s="5" t="inlineStr">
        <is>
          <t>Long</t>
        </is>
      </c>
      <c r="H2018" s="6" t="n">
        <v>25076</v>
      </c>
      <c r="I2018" s="6" t="n">
        <v>24964.25</v>
      </c>
      <c r="J2018" s="6">
        <f>IF(G2018="Long",I2018-H2018,IF(G2018="Short",H2018-I2018,0))</f>
        <v/>
      </c>
      <c r="K2018" s="7" t="n">
        <v>100</v>
      </c>
      <c r="L2018" s="5" t="inlineStr">
        <is>
          <t>Loss</t>
        </is>
      </c>
      <c r="M2018" s="6">
        <f>M2017+J2018</f>
        <v/>
      </c>
    </row>
    <row r="2019">
      <c r="A2019" s="2" t="inlineStr">
        <is>
          <t>2026-03-18</t>
        </is>
      </c>
      <c r="B2019" s="2" t="inlineStr">
        <is>
          <t>Wednesday</t>
        </is>
      </c>
      <c r="C2019" s="2" t="inlineStr">
        <is>
          <t>MNQM6</t>
        </is>
      </c>
      <c r="D2019" s="3" t="n">
        <v>24990.5</v>
      </c>
      <c r="E2019" s="3" t="n">
        <v>24903.75</v>
      </c>
      <c r="F2019" s="3">
        <f>D2019-E2019</f>
        <v/>
      </c>
      <c r="G2019" s="2" t="inlineStr">
        <is>
          <t>Short</t>
        </is>
      </c>
      <c r="H2019" s="3" t="n">
        <v>24903.75</v>
      </c>
      <c r="I2019" s="3" t="n">
        <v>24817</v>
      </c>
      <c r="J2019" s="3">
        <f>IF(G2019="Long",I2019-H2019,IF(G2019="Short",H2019-I2019,0))</f>
        <v/>
      </c>
      <c r="K2019" s="4" t="n">
        <v>25.65</v>
      </c>
      <c r="L2019" s="2" t="inlineStr">
        <is>
          <t>Win</t>
        </is>
      </c>
      <c r="M2019" s="3">
        <f>M2018+J2019</f>
        <v/>
      </c>
    </row>
    <row r="2020">
      <c r="A2020" s="2" t="inlineStr">
        <is>
          <t>2026-03-18</t>
        </is>
      </c>
      <c r="B2020" s="2" t="inlineStr">
        <is>
          <t>Wednesday</t>
        </is>
      </c>
      <c r="C2020" s="2" t="inlineStr">
        <is>
          <t>MNQM6</t>
        </is>
      </c>
      <c r="D2020" s="3" t="n">
        <v>24990.5</v>
      </c>
      <c r="E2020" s="3" t="n">
        <v>24903.75</v>
      </c>
      <c r="F2020" s="3">
        <f>D2020-E2020</f>
        <v/>
      </c>
      <c r="G2020" s="2" t="inlineStr">
        <is>
          <t>Short</t>
        </is>
      </c>
      <c r="H2020" s="3" t="n">
        <v>24903.75</v>
      </c>
      <c r="I2020" s="3" t="n">
        <v>24817</v>
      </c>
      <c r="J2020" s="3">
        <f>IF(G2020="Long",I2020-H2020,IF(G2020="Short",H2020-I2020,0))</f>
        <v/>
      </c>
      <c r="K2020" s="4" t="n">
        <v>32.28</v>
      </c>
      <c r="L2020" s="2" t="inlineStr">
        <is>
          <t>Win</t>
        </is>
      </c>
      <c r="M2020" s="3">
        <f>M2019+J2020</f>
        <v/>
      </c>
    </row>
    <row r="2021">
      <c r="A2021" s="2" t="inlineStr">
        <is>
          <t>2026-03-19</t>
        </is>
      </c>
      <c r="B2021" s="2" t="inlineStr">
        <is>
          <t>Thursday</t>
        </is>
      </c>
      <c r="C2021" s="2" t="inlineStr">
        <is>
          <t>MNQM6</t>
        </is>
      </c>
      <c r="D2021" s="3" t="n">
        <v>24453</v>
      </c>
      <c r="E2021" s="3" t="n">
        <v>24324.25</v>
      </c>
      <c r="F2021" s="3">
        <f>D2021-E2021</f>
        <v/>
      </c>
      <c r="G2021" s="2" t="inlineStr">
        <is>
          <t>Long</t>
        </is>
      </c>
      <c r="H2021" s="3" t="n">
        <v>24453</v>
      </c>
      <c r="I2021" s="3" t="n">
        <v>24581.75</v>
      </c>
      <c r="J2021" s="3">
        <f>IF(G2021="Long",I2021-H2021,IF(G2021="Short",H2021-I2021,0))</f>
        <v/>
      </c>
      <c r="K2021" s="4" t="n">
        <v>58.83</v>
      </c>
      <c r="L2021" s="2" t="inlineStr">
        <is>
          <t>Win</t>
        </is>
      </c>
      <c r="M2021" s="3">
        <f>M2020+J2021</f>
        <v/>
      </c>
    </row>
    <row r="2022">
      <c r="A2022" s="2" t="inlineStr">
        <is>
          <t>2026-03-20</t>
        </is>
      </c>
      <c r="B2022" s="2" t="inlineStr">
        <is>
          <t>Friday</t>
        </is>
      </c>
      <c r="C2022" s="2" t="inlineStr">
        <is>
          <t>MNQM6</t>
        </is>
      </c>
      <c r="D2022" s="3" t="n">
        <v>24491</v>
      </c>
      <c r="E2022" s="3" t="n">
        <v>24379.25</v>
      </c>
      <c r="F2022" s="3">
        <f>D2022-E2022</f>
        <v/>
      </c>
      <c r="G2022" s="2" t="inlineStr">
        <is>
          <t>Short</t>
        </is>
      </c>
      <c r="H2022" s="3" t="n">
        <v>24379.25</v>
      </c>
      <c r="I2022" s="3" t="n">
        <v>24267.5</v>
      </c>
      <c r="J2022" s="3">
        <f>IF(G2022="Long",I2022-H2022,IF(G2022="Short",H2022-I2022,0))</f>
        <v/>
      </c>
      <c r="K2022" s="4" t="n">
        <v>0</v>
      </c>
      <c r="L2022" s="2" t="inlineStr">
        <is>
          <t>Win</t>
        </is>
      </c>
      <c r="M2022" s="3">
        <f>M2021+J2022</f>
        <v/>
      </c>
    </row>
    <row r="2023">
      <c r="A2023" s="5" t="inlineStr">
        <is>
          <t>2026-03-23</t>
        </is>
      </c>
      <c r="B2023" s="5" t="inlineStr">
        <is>
          <t>Monday</t>
        </is>
      </c>
      <c r="C2023" s="5" t="inlineStr">
        <is>
          <t>MNQM6</t>
        </is>
      </c>
      <c r="D2023" s="6" t="n">
        <v>24568.5</v>
      </c>
      <c r="E2023" s="6" t="n">
        <v>24432.5</v>
      </c>
      <c r="F2023" s="6">
        <f>D2023-E2023</f>
        <v/>
      </c>
      <c r="G2023" s="5" t="inlineStr">
        <is>
          <t>Long</t>
        </is>
      </c>
      <c r="H2023" s="6" t="n">
        <v>24568.5</v>
      </c>
      <c r="I2023" s="6" t="n">
        <v>24432.5</v>
      </c>
      <c r="J2023" s="6">
        <f>IF(G2023="Long",I2023-H2023,IF(G2023="Short",H2023-I2023,0))</f>
        <v/>
      </c>
      <c r="K2023" s="7" t="n">
        <v>100</v>
      </c>
      <c r="L2023" s="5" t="inlineStr">
        <is>
          <t>Loss</t>
        </is>
      </c>
      <c r="M2023" s="6">
        <f>M2022+J2023</f>
        <v/>
      </c>
    </row>
    <row r="2024">
      <c r="A2024" s="8" t="inlineStr">
        <is>
          <t>2026-03-23</t>
        </is>
      </c>
      <c r="B2024" s="8" t="inlineStr">
        <is>
          <t>Monday</t>
        </is>
      </c>
      <c r="C2024" s="8" t="inlineStr">
        <is>
          <t>MNQM6</t>
        </is>
      </c>
      <c r="D2024" s="9" t="n">
        <v>24568.5</v>
      </c>
      <c r="E2024" s="9" t="n">
        <v>24432.5</v>
      </c>
      <c r="F2024" s="9">
        <f>D2024-E2024</f>
        <v/>
      </c>
      <c r="G2024" s="8" t="inlineStr">
        <is>
          <t>Short</t>
        </is>
      </c>
      <c r="H2024" s="9" t="n">
        <v>24432.5</v>
      </c>
      <c r="I2024" s="9" t="n">
        <v>24398.75</v>
      </c>
      <c r="J2024" s="9">
        <f>IF(G2024="Long",I2024-H2024,IF(G2024="Short",H2024-I2024,0))</f>
        <v/>
      </c>
      <c r="K2024" s="10" t="n">
        <v>76.84</v>
      </c>
      <c r="L2024" s="8" t="inlineStr">
        <is>
          <t>EOD-Close</t>
        </is>
      </c>
      <c r="M2024" s="9">
        <f>M2023+J2024</f>
        <v/>
      </c>
    </row>
    <row r="2025">
      <c r="A2025" s="8" t="inlineStr">
        <is>
          <t>2026-03-24</t>
        </is>
      </c>
      <c r="B2025" s="8" t="inlineStr">
        <is>
          <t>Tuesday</t>
        </is>
      </c>
      <c r="C2025" s="8" t="inlineStr">
        <is>
          <t>MNQM6</t>
        </is>
      </c>
      <c r="D2025" s="9" t="n">
        <v>24317</v>
      </c>
      <c r="E2025" s="9" t="n">
        <v>24140.25</v>
      </c>
      <c r="F2025" s="9">
        <f>D2025-E2025</f>
        <v/>
      </c>
      <c r="G2025" s="8" t="inlineStr">
        <is>
          <t>Long</t>
        </is>
      </c>
      <c r="H2025" s="9" t="n">
        <v>24317</v>
      </c>
      <c r="I2025" s="9" t="n">
        <v>24218.75</v>
      </c>
      <c r="J2025" s="9">
        <f>IF(G2025="Long",I2025-H2025,IF(G2025="Short",H2025-I2025,0))</f>
        <v/>
      </c>
      <c r="K2025" s="10" t="n">
        <v>88.68000000000001</v>
      </c>
      <c r="L2025" s="8" t="inlineStr">
        <is>
          <t>EOD-Close</t>
        </is>
      </c>
      <c r="M2025" s="9">
        <f>M2024+J2025</f>
        <v/>
      </c>
    </row>
    <row r="2026">
      <c r="A2026" s="2" t="inlineStr">
        <is>
          <t>2026-03-25</t>
        </is>
      </c>
      <c r="B2026" s="2" t="inlineStr">
        <is>
          <t>Wednesday</t>
        </is>
      </c>
      <c r="C2026" s="2" t="inlineStr">
        <is>
          <t>MNQM6</t>
        </is>
      </c>
      <c r="D2026" s="3" t="n">
        <v>24526</v>
      </c>
      <c r="E2026" s="3" t="n">
        <v>24426</v>
      </c>
      <c r="F2026" s="3">
        <f>D2026-E2026</f>
        <v/>
      </c>
      <c r="G2026" s="2" t="inlineStr">
        <is>
          <t>Short</t>
        </is>
      </c>
      <c r="H2026" s="3" t="n">
        <v>24426</v>
      </c>
      <c r="I2026" s="3" t="n">
        <v>24326</v>
      </c>
      <c r="J2026" s="3">
        <f>IF(G2026="Long",I2026-H2026,IF(G2026="Short",H2026-I2026,0))</f>
        <v/>
      </c>
      <c r="K2026" s="4" t="n">
        <v>93.25</v>
      </c>
      <c r="L2026" s="2" t="inlineStr">
        <is>
          <t>Win</t>
        </is>
      </c>
      <c r="M2026" s="3">
        <f>M2025+J2026</f>
        <v/>
      </c>
    </row>
    <row r="2027">
      <c r="A2027" s="2" t="inlineStr">
        <is>
          <t>2026-03-25</t>
        </is>
      </c>
      <c r="B2027" s="2" t="inlineStr">
        <is>
          <t>Wednesday</t>
        </is>
      </c>
      <c r="C2027" s="2" t="inlineStr">
        <is>
          <t>MNQM6</t>
        </is>
      </c>
      <c r="D2027" s="3" t="n">
        <v>24526</v>
      </c>
      <c r="E2027" s="3" t="n">
        <v>24426</v>
      </c>
      <c r="F2027" s="3">
        <f>D2027-E2027</f>
        <v/>
      </c>
      <c r="G2027" s="2" t="inlineStr">
        <is>
          <t>Short</t>
        </is>
      </c>
      <c r="H2027" s="3" t="n">
        <v>24426</v>
      </c>
      <c r="I2027" s="3" t="n">
        <v>24326</v>
      </c>
      <c r="J2027" s="3">
        <f>IF(G2027="Long",I2027-H2027,IF(G2027="Short",H2027-I2027,0))</f>
        <v/>
      </c>
      <c r="K2027" s="4" t="n">
        <v>67.75</v>
      </c>
      <c r="L2027" s="2" t="inlineStr">
        <is>
          <t>Win</t>
        </is>
      </c>
      <c r="M2027" s="3">
        <f>M2026+J2027</f>
        <v/>
      </c>
    </row>
    <row r="2028">
      <c r="A2028" s="5" t="inlineStr">
        <is>
          <t>2026-03-26</t>
        </is>
      </c>
      <c r="B2028" s="5" t="inlineStr">
        <is>
          <t>Thursday</t>
        </is>
      </c>
      <c r="C2028" s="5" t="inlineStr">
        <is>
          <t>MNQM6</t>
        </is>
      </c>
      <c r="D2028" s="6" t="n">
        <v>24158.5</v>
      </c>
      <c r="E2028" s="6" t="n">
        <v>24066</v>
      </c>
      <c r="F2028" s="6">
        <f>D2028-E2028</f>
        <v/>
      </c>
      <c r="G2028" s="5" t="inlineStr">
        <is>
          <t>Long</t>
        </is>
      </c>
      <c r="H2028" s="6" t="n">
        <v>24158.5</v>
      </c>
      <c r="I2028" s="6" t="n">
        <v>24066</v>
      </c>
      <c r="J2028" s="6">
        <f>IF(G2028="Long",I2028-H2028,IF(G2028="Short",H2028-I2028,0))</f>
        <v/>
      </c>
      <c r="K2028" s="7" t="n">
        <v>100</v>
      </c>
      <c r="L2028" s="5" t="inlineStr">
        <is>
          <t>Loss</t>
        </is>
      </c>
      <c r="M2028" s="6">
        <f>M2027+J2028</f>
        <v/>
      </c>
    </row>
    <row r="2029">
      <c r="A2029" s="2" t="inlineStr">
        <is>
          <t>2026-03-26</t>
        </is>
      </c>
      <c r="B2029" s="2" t="inlineStr">
        <is>
          <t>Thursday</t>
        </is>
      </c>
      <c r="C2029" s="2" t="inlineStr">
        <is>
          <t>MNQM6</t>
        </is>
      </c>
      <c r="D2029" s="3" t="n">
        <v>24158.5</v>
      </c>
      <c r="E2029" s="3" t="n">
        <v>24066</v>
      </c>
      <c r="F2029" s="3">
        <f>D2029-E2029</f>
        <v/>
      </c>
      <c r="G2029" s="2" t="inlineStr">
        <is>
          <t>Short</t>
        </is>
      </c>
      <c r="H2029" s="3" t="n">
        <v>24066</v>
      </c>
      <c r="I2029" s="3" t="n">
        <v>23973.5</v>
      </c>
      <c r="J2029" s="3">
        <f>IF(G2029="Long",I2029-H2029,IF(G2029="Short",H2029-I2029,0))</f>
        <v/>
      </c>
      <c r="K2029" s="4" t="n">
        <v>66.22</v>
      </c>
      <c r="L2029" s="2" t="inlineStr">
        <is>
          <t>Win</t>
        </is>
      </c>
      <c r="M2029" s="3">
        <f>M2028+J2029</f>
        <v/>
      </c>
    </row>
    <row r="2030">
      <c r="A2030" s="2" t="inlineStr">
        <is>
          <t>2026-03-27</t>
        </is>
      </c>
      <c r="B2030" s="2" t="inlineStr">
        <is>
          <t>Friday</t>
        </is>
      </c>
      <c r="C2030" s="2" t="inlineStr">
        <is>
          <t>MNQM6</t>
        </is>
      </c>
      <c r="D2030" s="3" t="n">
        <v>23664.25</v>
      </c>
      <c r="E2030" s="3" t="n">
        <v>23531.5</v>
      </c>
      <c r="F2030" s="3">
        <f>D2030-E2030</f>
        <v/>
      </c>
      <c r="G2030" s="2" t="inlineStr">
        <is>
          <t>Short</t>
        </is>
      </c>
      <c r="H2030" s="3" t="n">
        <v>23531.5</v>
      </c>
      <c r="I2030" s="3" t="n">
        <v>23398.75</v>
      </c>
      <c r="J2030" s="3">
        <f>IF(G2030="Long",I2030-H2030,IF(G2030="Short",H2030-I2030,0))</f>
        <v/>
      </c>
      <c r="K2030" s="4" t="n">
        <v>59.89</v>
      </c>
      <c r="L2030" s="2" t="inlineStr">
        <is>
          <t>Win</t>
        </is>
      </c>
      <c r="M2030" s="3">
        <f>M2029+J2030</f>
        <v/>
      </c>
    </row>
    <row r="2031">
      <c r="A2031" s="2" t="inlineStr">
        <is>
          <t>2026-03-30</t>
        </is>
      </c>
      <c r="B2031" s="2" t="inlineStr">
        <is>
          <t>Monday</t>
        </is>
      </c>
      <c r="C2031" s="2" t="inlineStr">
        <is>
          <t>MNQM6</t>
        </is>
      </c>
      <c r="D2031" s="3" t="n">
        <v>23538</v>
      </c>
      <c r="E2031" s="3" t="n">
        <v>23374.25</v>
      </c>
      <c r="F2031" s="3">
        <f>D2031-E2031</f>
        <v/>
      </c>
      <c r="G2031" s="2" t="inlineStr">
        <is>
          <t>Short</t>
        </is>
      </c>
      <c r="H2031" s="3" t="n">
        <v>23374.25</v>
      </c>
      <c r="I2031" s="3" t="n">
        <v>23210.5</v>
      </c>
      <c r="J2031" s="3">
        <f>IF(G2031="Long",I2031-H2031,IF(G2031="Short",H2031-I2031,0))</f>
        <v/>
      </c>
      <c r="K2031" s="4" t="n">
        <v>38.78</v>
      </c>
      <c r="L2031" s="2" t="inlineStr">
        <is>
          <t>Win</t>
        </is>
      </c>
      <c r="M2031" s="3">
        <f>M2030+J2031</f>
        <v/>
      </c>
    </row>
    <row r="2032">
      <c r="A2032" s="2" t="inlineStr">
        <is>
          <t>2026-03-31</t>
        </is>
      </c>
      <c r="B2032" s="2" t="inlineStr">
        <is>
          <t>Tuesday</t>
        </is>
      </c>
      <c r="C2032" s="2" t="inlineStr">
        <is>
          <t>MNQM6</t>
        </is>
      </c>
      <c r="D2032" s="3" t="n">
        <v>23470</v>
      </c>
      <c r="E2032" s="3" t="n">
        <v>23378.75</v>
      </c>
      <c r="F2032" s="3">
        <f>D2032-E2032</f>
        <v/>
      </c>
      <c r="G2032" s="2" t="inlineStr">
        <is>
          <t>Long</t>
        </is>
      </c>
      <c r="H2032" s="3" t="n">
        <v>23470</v>
      </c>
      <c r="I2032" s="3" t="n">
        <v>23561.25</v>
      </c>
      <c r="J2032" s="3">
        <f>IF(G2032="Long",I2032-H2032,IF(G2032="Short",H2032-I2032,0))</f>
        <v/>
      </c>
      <c r="K2032" s="4" t="n">
        <v>0</v>
      </c>
      <c r="L2032" s="2" t="inlineStr">
        <is>
          <t>Win</t>
        </is>
      </c>
      <c r="M2032" s="3">
        <f>M2031+J2032</f>
        <v/>
      </c>
    </row>
    <row r="2033">
      <c r="A2033" s="5" t="inlineStr">
        <is>
          <t>2026-03-31</t>
        </is>
      </c>
      <c r="B2033" s="5" t="inlineStr">
        <is>
          <t>Tuesday</t>
        </is>
      </c>
      <c r="C2033" s="5" t="inlineStr">
        <is>
          <t>MNQM6</t>
        </is>
      </c>
      <c r="D2033" s="6" t="n">
        <v>23470</v>
      </c>
      <c r="E2033" s="6" t="n">
        <v>23378.75</v>
      </c>
      <c r="F2033" s="6">
        <f>D2033-E2033</f>
        <v/>
      </c>
      <c r="G2033" s="5" t="inlineStr">
        <is>
          <t>Long</t>
        </is>
      </c>
      <c r="H2033" s="6" t="n">
        <v>23470</v>
      </c>
      <c r="I2033" s="6" t="n">
        <v>23378.75</v>
      </c>
      <c r="J2033" s="6">
        <f>IF(G2033="Long",I2033-H2033,IF(G2033="Short",H2033-I2033,0))</f>
        <v/>
      </c>
      <c r="K2033" s="7" t="n">
        <v>100</v>
      </c>
      <c r="L2033" s="5" t="inlineStr">
        <is>
          <t>Loss</t>
        </is>
      </c>
      <c r="M2033" s="6">
        <f>M2032+J2033</f>
        <v/>
      </c>
    </row>
    <row r="2034">
      <c r="A2034" s="2" t="inlineStr">
        <is>
          <t>2026-04-01</t>
        </is>
      </c>
      <c r="B2034" s="2" t="inlineStr">
        <is>
          <t>Wednesday</t>
        </is>
      </c>
      <c r="C2034" s="2" t="inlineStr">
        <is>
          <t>MNQM6</t>
        </is>
      </c>
      <c r="D2034" s="3" t="n">
        <v>24194.5</v>
      </c>
      <c r="E2034" s="3" t="n">
        <v>24043.5</v>
      </c>
      <c r="F2034" s="3">
        <f>D2034-E2034</f>
        <v/>
      </c>
      <c r="G2034" s="2" t="inlineStr">
        <is>
          <t>Long</t>
        </is>
      </c>
      <c r="H2034" s="3" t="n">
        <v>24194.5</v>
      </c>
      <c r="I2034" s="3" t="n">
        <v>24345.5</v>
      </c>
      <c r="J2034" s="3">
        <f>IF(G2034="Long",I2034-H2034,IF(G2034="Short",H2034-I2034,0))</f>
        <v/>
      </c>
      <c r="K2034" s="4" t="n">
        <v>17.55</v>
      </c>
      <c r="L2034" s="2" t="inlineStr">
        <is>
          <t>Win</t>
        </is>
      </c>
      <c r="M2034" s="3">
        <f>M2033+J2034</f>
        <v/>
      </c>
    </row>
    <row r="2035">
      <c r="A2035" s="8" t="inlineStr">
        <is>
          <t>2026-04-01</t>
        </is>
      </c>
      <c r="B2035" s="8" t="inlineStr">
        <is>
          <t>Wednesday</t>
        </is>
      </c>
      <c r="C2035" s="8" t="inlineStr">
        <is>
          <t>MNQM6</t>
        </is>
      </c>
      <c r="D2035" s="9" t="n">
        <v>24194.5</v>
      </c>
      <c r="E2035" s="9" t="n">
        <v>24043.5</v>
      </c>
      <c r="F2035" s="9">
        <f>D2035-E2035</f>
        <v/>
      </c>
      <c r="G2035" s="8" t="inlineStr">
        <is>
          <t>Long</t>
        </is>
      </c>
      <c r="H2035" s="9" t="n">
        <v>24194.5</v>
      </c>
      <c r="I2035" s="9" t="n">
        <v>24199.75</v>
      </c>
      <c r="J2035" s="9">
        <f>IF(G2035="Long",I2035-H2035,IF(G2035="Short",H2035-I2035,0))</f>
        <v/>
      </c>
      <c r="K2035" s="10" t="n">
        <v>46.19</v>
      </c>
      <c r="L2035" s="8" t="inlineStr">
        <is>
          <t>EOD-Close</t>
        </is>
      </c>
      <c r="M2035" s="9">
        <f>M2034+J2035</f>
        <v/>
      </c>
    </row>
    <row r="2036">
      <c r="A2036" s="2" t="inlineStr">
        <is>
          <t>2026-04-02</t>
        </is>
      </c>
      <c r="B2036" s="2" t="inlineStr">
        <is>
          <t>Thursday</t>
        </is>
      </c>
      <c r="C2036" s="2" t="inlineStr">
        <is>
          <t>MNQM6</t>
        </is>
      </c>
      <c r="D2036" s="3" t="n">
        <v>23819</v>
      </c>
      <c r="E2036" s="3" t="n">
        <v>23678</v>
      </c>
      <c r="F2036" s="3">
        <f>D2036-E2036</f>
        <v/>
      </c>
      <c r="G2036" s="2" t="inlineStr">
        <is>
          <t>Long</t>
        </is>
      </c>
      <c r="H2036" s="3" t="n">
        <v>23819</v>
      </c>
      <c r="I2036" s="3" t="n">
        <v>23960</v>
      </c>
      <c r="J2036" s="3">
        <f>IF(G2036="Long",I2036-H2036,IF(G2036="Short",H2036-I2036,0))</f>
        <v/>
      </c>
      <c r="K2036" s="4" t="n">
        <v>0</v>
      </c>
      <c r="L2036" s="2" t="inlineStr">
        <is>
          <t>Win</t>
        </is>
      </c>
      <c r="M2036" s="3">
        <f>M2035+J2036</f>
        <v/>
      </c>
    </row>
    <row r="2037">
      <c r="A2037" s="5" t="inlineStr">
        <is>
          <t>2026-04-06</t>
        </is>
      </c>
      <c r="B2037" s="5" t="inlineStr">
        <is>
          <t>Monday</t>
        </is>
      </c>
      <c r="C2037" s="5" t="inlineStr">
        <is>
          <t>MNQM6</t>
        </is>
      </c>
      <c r="D2037" s="6" t="n">
        <v>24373.75</v>
      </c>
      <c r="E2037" s="6" t="n">
        <v>24245.25</v>
      </c>
      <c r="F2037" s="6">
        <f>D2037-E2037</f>
        <v/>
      </c>
      <c r="G2037" s="5" t="inlineStr">
        <is>
          <t>Long</t>
        </is>
      </c>
      <c r="H2037" s="6" t="n">
        <v>24373.75</v>
      </c>
      <c r="I2037" s="6" t="n">
        <v>24245.25</v>
      </c>
      <c r="J2037" s="6">
        <f>IF(G2037="Long",I2037-H2037,IF(G2037="Short",H2037-I2037,0))</f>
        <v/>
      </c>
      <c r="K2037" s="7" t="n">
        <v>100</v>
      </c>
      <c r="L2037" s="5" t="inlineStr">
        <is>
          <t>Loss</t>
        </is>
      </c>
      <c r="M2037" s="6">
        <f>M2036+J2037</f>
        <v/>
      </c>
    </row>
    <row r="2038">
      <c r="A2038" s="5" t="inlineStr">
        <is>
          <t>2026-04-06</t>
        </is>
      </c>
      <c r="B2038" s="5" t="inlineStr">
        <is>
          <t>Monday</t>
        </is>
      </c>
      <c r="C2038" s="5" t="inlineStr">
        <is>
          <t>MNQM6</t>
        </is>
      </c>
      <c r="D2038" s="6" t="n">
        <v>24373.75</v>
      </c>
      <c r="E2038" s="6" t="n">
        <v>24245.25</v>
      </c>
      <c r="F2038" s="6">
        <f>D2038-E2038</f>
        <v/>
      </c>
      <c r="G2038" s="5" t="inlineStr">
        <is>
          <t>Short</t>
        </is>
      </c>
      <c r="H2038" s="6" t="n">
        <v>24245.25</v>
      </c>
      <c r="I2038" s="6" t="n">
        <v>24373.75</v>
      </c>
      <c r="J2038" s="6">
        <f>IF(G2038="Long",I2038-H2038,IF(G2038="Short",H2038-I2038,0))</f>
        <v/>
      </c>
      <c r="K2038" s="7" t="n">
        <v>100</v>
      </c>
      <c r="L2038" s="5" t="inlineStr">
        <is>
          <t>Loss</t>
        </is>
      </c>
      <c r="M2038" s="6">
        <f>M2037+J2038</f>
        <v/>
      </c>
    </row>
    <row r="2039">
      <c r="A2039" s="2" t="inlineStr">
        <is>
          <t>2026-04-07</t>
        </is>
      </c>
      <c r="B2039" s="2" t="inlineStr">
        <is>
          <t>Tuesday</t>
        </is>
      </c>
      <c r="C2039" s="2" t="inlineStr">
        <is>
          <t>MNQM6</t>
        </is>
      </c>
      <c r="D2039" s="3" t="n">
        <v>24303.25</v>
      </c>
      <c r="E2039" s="3" t="n">
        <v>24187.75</v>
      </c>
      <c r="F2039" s="3">
        <f>D2039-E2039</f>
        <v/>
      </c>
      <c r="G2039" s="2" t="inlineStr">
        <is>
          <t>Short</t>
        </is>
      </c>
      <c r="H2039" s="3" t="n">
        <v>24187.75</v>
      </c>
      <c r="I2039" s="3" t="n">
        <v>24072.25</v>
      </c>
      <c r="J2039" s="3">
        <f>IF(G2039="Long",I2039-H2039,IF(G2039="Short",H2039-I2039,0))</f>
        <v/>
      </c>
      <c r="K2039" s="4" t="n">
        <v>19.26</v>
      </c>
      <c r="L2039" s="2" t="inlineStr">
        <is>
          <t>Win</t>
        </is>
      </c>
      <c r="M2039" s="3">
        <f>M2038+J2039</f>
        <v/>
      </c>
    </row>
    <row r="2040">
      <c r="A2040" s="5" t="inlineStr">
        <is>
          <t>2026-04-07</t>
        </is>
      </c>
      <c r="B2040" s="5" t="inlineStr">
        <is>
          <t>Tuesday</t>
        </is>
      </c>
      <c r="C2040" s="5" t="inlineStr">
        <is>
          <t>MNQM6</t>
        </is>
      </c>
      <c r="D2040" s="6" t="n">
        <v>24303.25</v>
      </c>
      <c r="E2040" s="6" t="n">
        <v>24187.75</v>
      </c>
      <c r="F2040" s="6">
        <f>D2040-E2040</f>
        <v/>
      </c>
      <c r="G2040" s="5" t="inlineStr">
        <is>
          <t>Short</t>
        </is>
      </c>
      <c r="H2040" s="6" t="n">
        <v>24187.75</v>
      </c>
      <c r="I2040" s="6" t="n">
        <v>24303.25</v>
      </c>
      <c r="J2040" s="6">
        <f>IF(G2040="Long",I2040-H2040,IF(G2040="Short",H2040-I2040,0))</f>
        <v/>
      </c>
      <c r="K2040" s="7" t="n">
        <v>100</v>
      </c>
      <c r="L2040" s="5" t="inlineStr">
        <is>
          <t>Loss</t>
        </is>
      </c>
      <c r="M2040" s="6">
        <f>M2039+J2040</f>
        <v/>
      </c>
    </row>
    <row r="2041">
      <c r="A2041" s="2" t="inlineStr">
        <is>
          <t>2026-04-08</t>
        </is>
      </c>
      <c r="B2041" s="2" t="inlineStr">
        <is>
          <t>Wednesday</t>
        </is>
      </c>
      <c r="C2041" s="2" t="inlineStr">
        <is>
          <t>MNQM6</t>
        </is>
      </c>
      <c r="D2041" s="3" t="n">
        <v>25251.75</v>
      </c>
      <c r="E2041" s="3" t="n">
        <v>25089.5</v>
      </c>
      <c r="F2041" s="3">
        <f>D2041-E2041</f>
        <v/>
      </c>
      <c r="G2041" s="2" t="inlineStr">
        <is>
          <t>Short</t>
        </is>
      </c>
      <c r="H2041" s="3" t="n">
        <v>25089.5</v>
      </c>
      <c r="I2041" s="3" t="n">
        <v>24927.25</v>
      </c>
      <c r="J2041" s="3">
        <f>IF(G2041="Long",I2041-H2041,IF(G2041="Short",H2041-I2041,0))</f>
        <v/>
      </c>
      <c r="K2041" s="4" t="n">
        <v>10.79</v>
      </c>
      <c r="L2041" s="2" t="inlineStr">
        <is>
          <t>Win</t>
        </is>
      </c>
      <c r="M2041" s="3">
        <f>M2040+J2041</f>
        <v/>
      </c>
    </row>
    <row r="2042">
      <c r="A2042" s="8" t="inlineStr">
        <is>
          <t>2026-04-08</t>
        </is>
      </c>
      <c r="B2042" s="8" t="inlineStr">
        <is>
          <t>Wednesday</t>
        </is>
      </c>
      <c r="C2042" s="8" t="inlineStr">
        <is>
          <t>MNQM6</t>
        </is>
      </c>
      <c r="D2042" s="9" t="n">
        <v>25251.75</v>
      </c>
      <c r="E2042" s="9" t="n">
        <v>25089.5</v>
      </c>
      <c r="F2042" s="9">
        <f>D2042-E2042</f>
        <v/>
      </c>
      <c r="G2042" s="8" t="inlineStr">
        <is>
          <t>Short</t>
        </is>
      </c>
      <c r="H2042" s="9" t="n">
        <v>25089.5</v>
      </c>
      <c r="I2042" s="9" t="n">
        <v>25079.5</v>
      </c>
      <c r="J2042" s="9">
        <f>IF(G2042="Long",I2042-H2042,IF(G2042="Short",H2042-I2042,0))</f>
        <v/>
      </c>
      <c r="K2042" s="10" t="n">
        <v>41.91</v>
      </c>
      <c r="L2042" s="8" t="inlineStr">
        <is>
          <t>EOD-Close</t>
        </is>
      </c>
      <c r="M2042" s="9">
        <f>M2041+J2042</f>
        <v/>
      </c>
    </row>
    <row r="2043">
      <c r="A2043" s="5" t="inlineStr">
        <is>
          <t>2026-04-09</t>
        </is>
      </c>
      <c r="B2043" s="5" t="inlineStr">
        <is>
          <t>Thursday</t>
        </is>
      </c>
      <c r="C2043" s="5" t="inlineStr">
        <is>
          <t>MNQM6</t>
        </is>
      </c>
      <c r="D2043" s="6" t="n">
        <v>25112.75</v>
      </c>
      <c r="E2043" s="6" t="n">
        <v>25019</v>
      </c>
      <c r="F2043" s="6">
        <f>D2043-E2043</f>
        <v/>
      </c>
      <c r="G2043" s="5" t="inlineStr">
        <is>
          <t>Short</t>
        </is>
      </c>
      <c r="H2043" s="6" t="n">
        <v>25019</v>
      </c>
      <c r="I2043" s="6" t="n">
        <v>25112.75</v>
      </c>
      <c r="J2043" s="6">
        <f>IF(G2043="Long",I2043-H2043,IF(G2043="Short",H2043-I2043,0))</f>
        <v/>
      </c>
      <c r="K2043" s="7" t="n">
        <v>100</v>
      </c>
      <c r="L2043" s="5" t="inlineStr">
        <is>
          <t>Loss</t>
        </is>
      </c>
      <c r="M2043" s="6">
        <f>M2042+J2043</f>
        <v/>
      </c>
    </row>
    <row r="2044">
      <c r="A2044" s="2" t="inlineStr">
        <is>
          <t>2026-04-09</t>
        </is>
      </c>
      <c r="B2044" s="2" t="inlineStr">
        <is>
          <t>Thursday</t>
        </is>
      </c>
      <c r="C2044" s="2" t="inlineStr">
        <is>
          <t>MNQM6</t>
        </is>
      </c>
      <c r="D2044" s="3" t="n">
        <v>25112.75</v>
      </c>
      <c r="E2044" s="3" t="n">
        <v>25019</v>
      </c>
      <c r="F2044" s="3">
        <f>D2044-E2044</f>
        <v/>
      </c>
      <c r="G2044" s="2" t="inlineStr">
        <is>
          <t>Long</t>
        </is>
      </c>
      <c r="H2044" s="3" t="n">
        <v>25112.75</v>
      </c>
      <c r="I2044" s="3" t="n">
        <v>25206.5</v>
      </c>
      <c r="J2044" s="3">
        <f>IF(G2044="Long",I2044-H2044,IF(G2044="Short",H2044-I2044,0))</f>
        <v/>
      </c>
      <c r="K2044" s="4" t="n">
        <v>24.8</v>
      </c>
      <c r="L2044" s="2" t="inlineStr">
        <is>
          <t>Win</t>
        </is>
      </c>
      <c r="M2044" s="3">
        <f>M2043+J2044</f>
        <v/>
      </c>
    </row>
    <row r="2045">
      <c r="A2045" s="5" t="inlineStr">
        <is>
          <t>2026-04-10</t>
        </is>
      </c>
      <c r="B2045" s="5" t="inlineStr">
        <is>
          <t>Friday</t>
        </is>
      </c>
      <c r="C2045" s="5" t="inlineStr">
        <is>
          <t>MNQM6</t>
        </is>
      </c>
      <c r="D2045" s="6" t="n">
        <v>25372</v>
      </c>
      <c r="E2045" s="6" t="n">
        <v>25290</v>
      </c>
      <c r="F2045" s="6">
        <f>D2045-E2045</f>
        <v/>
      </c>
      <c r="G2045" s="5" t="inlineStr">
        <is>
          <t>Short</t>
        </is>
      </c>
      <c r="H2045" s="6" t="n">
        <v>25290</v>
      </c>
      <c r="I2045" s="6" t="n">
        <v>25372</v>
      </c>
      <c r="J2045" s="6">
        <f>IF(G2045="Long",I2045-H2045,IF(G2045="Short",H2045-I2045,0))</f>
        <v/>
      </c>
      <c r="K2045" s="7" t="n">
        <v>100</v>
      </c>
      <c r="L2045" s="5" t="inlineStr">
        <is>
          <t>Loss</t>
        </is>
      </c>
      <c r="M2045" s="6">
        <f>M2044+J2045</f>
        <v/>
      </c>
    </row>
    <row r="2046">
      <c r="A2046" s="5" t="inlineStr">
        <is>
          <t>2026-04-10</t>
        </is>
      </c>
      <c r="B2046" s="5" t="inlineStr">
        <is>
          <t>Friday</t>
        </is>
      </c>
      <c r="C2046" s="5" t="inlineStr">
        <is>
          <t>MNQM6</t>
        </is>
      </c>
      <c r="D2046" s="6" t="n">
        <v>25372</v>
      </c>
      <c r="E2046" s="6" t="n">
        <v>25290</v>
      </c>
      <c r="F2046" s="6">
        <f>D2046-E2046</f>
        <v/>
      </c>
      <c r="G2046" s="5" t="inlineStr">
        <is>
          <t>Long</t>
        </is>
      </c>
      <c r="H2046" s="6" t="n">
        <v>25372</v>
      </c>
      <c r="I2046" s="6" t="n">
        <v>25290</v>
      </c>
      <c r="J2046" s="6">
        <f>IF(G2046="Long",I2046-H2046,IF(G2046="Short",H2046-I2046,0))</f>
        <v/>
      </c>
      <c r="K2046" s="7" t="n">
        <v>100</v>
      </c>
      <c r="L2046" s="5" t="inlineStr">
        <is>
          <t>Loss</t>
        </is>
      </c>
      <c r="M2046" s="6">
        <f>M2045+J2046</f>
        <v/>
      </c>
    </row>
    <row r="2047">
      <c r="A2047" s="2" t="inlineStr">
        <is>
          <t>2026-04-13</t>
        </is>
      </c>
      <c r="B2047" s="2" t="inlineStr">
        <is>
          <t>Monday</t>
        </is>
      </c>
      <c r="C2047" s="2" t="inlineStr">
        <is>
          <t>MNQM6</t>
        </is>
      </c>
      <c r="D2047" s="3" t="n">
        <v>25239.25</v>
      </c>
      <c r="E2047" s="3" t="n">
        <v>25174.5</v>
      </c>
      <c r="F2047" s="3">
        <f>D2047-E2047</f>
        <v/>
      </c>
      <c r="G2047" s="2" t="inlineStr">
        <is>
          <t>Long</t>
        </is>
      </c>
      <c r="H2047" s="3" t="n">
        <v>25239.25</v>
      </c>
      <c r="I2047" s="3" t="n">
        <v>25304</v>
      </c>
      <c r="J2047" s="3">
        <f>IF(G2047="Long",I2047-H2047,IF(G2047="Short",H2047-I2047,0))</f>
        <v/>
      </c>
      <c r="K2047" s="4" t="n">
        <v>15.83</v>
      </c>
      <c r="L2047" s="2" t="inlineStr">
        <is>
          <t>Win</t>
        </is>
      </c>
      <c r="M2047" s="3">
        <f>M2046+J2047</f>
        <v/>
      </c>
    </row>
    <row r="2048">
      <c r="A2048" s="2" t="inlineStr">
        <is>
          <t>2026-04-14</t>
        </is>
      </c>
      <c r="B2048" s="2" t="inlineStr">
        <is>
          <t>Tuesday</t>
        </is>
      </c>
      <c r="C2048" s="2" t="inlineStr">
        <is>
          <t>MNQM6</t>
        </is>
      </c>
      <c r="D2048" s="3" t="n">
        <v>25756.25</v>
      </c>
      <c r="E2048" s="3" t="n">
        <v>25655.75</v>
      </c>
      <c r="F2048" s="3">
        <f>D2048-E2048</f>
        <v/>
      </c>
      <c r="G2048" s="2" t="inlineStr">
        <is>
          <t>Long</t>
        </is>
      </c>
      <c r="H2048" s="3" t="n">
        <v>25756.25</v>
      </c>
      <c r="I2048" s="3" t="n">
        <v>25856.75</v>
      </c>
      <c r="J2048" s="3">
        <f>IF(G2048="Long",I2048-H2048,IF(G2048="Short",H2048-I2048,0))</f>
        <v/>
      </c>
      <c r="K2048" s="4" t="n">
        <v>13.93</v>
      </c>
      <c r="L2048" s="2" t="inlineStr">
        <is>
          <t>Win</t>
        </is>
      </c>
      <c r="M2048" s="3">
        <f>M2047+J2048</f>
        <v/>
      </c>
    </row>
    <row r="2049">
      <c r="A2049" s="2" t="inlineStr">
        <is>
          <t>2026-04-15</t>
        </is>
      </c>
      <c r="B2049" s="2" t="inlineStr">
        <is>
          <t>Wednesday</t>
        </is>
      </c>
      <c r="C2049" s="2" t="inlineStr">
        <is>
          <t>MNQM6</t>
        </is>
      </c>
      <c r="D2049" s="3" t="n">
        <v>26059.5</v>
      </c>
      <c r="E2049" s="3" t="n">
        <v>25982.75</v>
      </c>
      <c r="F2049" s="3">
        <f>D2049-E2049</f>
        <v/>
      </c>
      <c r="G2049" s="2" t="inlineStr">
        <is>
          <t>Long</t>
        </is>
      </c>
      <c r="H2049" s="3" t="n">
        <v>26059.5</v>
      </c>
      <c r="I2049" s="3" t="n">
        <v>26136.25</v>
      </c>
      <c r="J2049" s="3">
        <f>IF(G2049="Long",I2049-H2049,IF(G2049="Short",H2049-I2049,0))</f>
        <v/>
      </c>
      <c r="K2049" s="4" t="n">
        <v>15.96</v>
      </c>
      <c r="L2049" s="2" t="inlineStr">
        <is>
          <t>Win</t>
        </is>
      </c>
      <c r="M2049" s="3">
        <f>M2048+J2049</f>
        <v/>
      </c>
    </row>
    <row r="2050">
      <c r="A2050" s="5" t="inlineStr">
        <is>
          <t>2026-04-16</t>
        </is>
      </c>
      <c r="B2050" s="5" t="inlineStr">
        <is>
          <t>Thursday</t>
        </is>
      </c>
      <c r="C2050" s="5" t="inlineStr">
        <is>
          <t>MNQM6</t>
        </is>
      </c>
      <c r="D2050" s="6" t="n">
        <v>26453.5</v>
      </c>
      <c r="E2050" s="6" t="n">
        <v>26345.5</v>
      </c>
      <c r="F2050" s="6">
        <f>D2050-E2050</f>
        <v/>
      </c>
      <c r="G2050" s="5" t="inlineStr">
        <is>
          <t>Short</t>
        </is>
      </c>
      <c r="H2050" s="6" t="n">
        <v>26345.5</v>
      </c>
      <c r="I2050" s="6" t="n">
        <v>26453.5</v>
      </c>
      <c r="J2050" s="6">
        <f>IF(G2050="Long",I2050-H2050,IF(G2050="Short",H2050-I2050,0))</f>
        <v/>
      </c>
      <c r="K2050" s="7" t="n">
        <v>100</v>
      </c>
      <c r="L2050" s="5" t="inlineStr">
        <is>
          <t>Loss</t>
        </is>
      </c>
      <c r="M2050" s="6">
        <f>M2049+J2050</f>
        <v/>
      </c>
    </row>
    <row r="2051">
      <c r="A2051" s="2" t="inlineStr">
        <is>
          <t>2026-04-16</t>
        </is>
      </c>
      <c r="B2051" s="2" t="inlineStr">
        <is>
          <t>Thursday</t>
        </is>
      </c>
      <c r="C2051" s="2" t="inlineStr">
        <is>
          <t>MNQM6</t>
        </is>
      </c>
      <c r="D2051" s="3" t="n">
        <v>26453.5</v>
      </c>
      <c r="E2051" s="3" t="n">
        <v>26345.5</v>
      </c>
      <c r="F2051" s="3">
        <f>D2051-E2051</f>
        <v/>
      </c>
      <c r="G2051" s="2" t="inlineStr">
        <is>
          <t>Long</t>
        </is>
      </c>
      <c r="H2051" s="3" t="n">
        <v>26453.5</v>
      </c>
      <c r="I2051" s="3" t="n">
        <v>26561.5</v>
      </c>
      <c r="J2051" s="3">
        <f>IF(G2051="Long",I2051-H2051,IF(G2051="Short",H2051-I2051,0))</f>
        <v/>
      </c>
      <c r="K2051" s="4" t="n">
        <v>1.39</v>
      </c>
      <c r="L2051" s="2" t="inlineStr">
        <is>
          <t>Win</t>
        </is>
      </c>
      <c r="M2051" s="3">
        <f>M2050+J2051</f>
        <v/>
      </c>
    </row>
    <row r="2052">
      <c r="A2052" s="2" t="inlineStr">
        <is>
          <t>2026-04-17</t>
        </is>
      </c>
      <c r="B2052" s="2" t="inlineStr">
        <is>
          <t>Friday</t>
        </is>
      </c>
      <c r="C2052" s="2" t="inlineStr">
        <is>
          <t>MNQM6</t>
        </is>
      </c>
      <c r="D2052" s="3" t="n">
        <v>26720.75</v>
      </c>
      <c r="E2052" s="3" t="n">
        <v>26629.5</v>
      </c>
      <c r="F2052" s="3">
        <f>D2052-E2052</f>
        <v/>
      </c>
      <c r="G2052" s="2" t="inlineStr">
        <is>
          <t>Long</t>
        </is>
      </c>
      <c r="H2052" s="3" t="n">
        <v>26720.75</v>
      </c>
      <c r="I2052" s="3" t="n">
        <v>26812</v>
      </c>
      <c r="J2052" s="3">
        <f>IF(G2052="Long",I2052-H2052,IF(G2052="Short",H2052-I2052,0))</f>
        <v/>
      </c>
      <c r="K2052" s="4" t="n">
        <v>23.84</v>
      </c>
      <c r="L2052" s="2" t="inlineStr">
        <is>
          <t>Win</t>
        </is>
      </c>
      <c r="M2052" s="3">
        <f>M2051+J2052</f>
        <v/>
      </c>
    </row>
    <row r="2053">
      <c r="A2053" s="2" t="inlineStr">
        <is>
          <t>2026-04-20</t>
        </is>
      </c>
      <c r="B2053" s="2" t="inlineStr">
        <is>
          <t>Monday</t>
        </is>
      </c>
      <c r="C2053" s="2" t="inlineStr">
        <is>
          <t>MNQM6</t>
        </is>
      </c>
      <c r="D2053" s="3" t="n">
        <v>26826</v>
      </c>
      <c r="E2053" s="3" t="n">
        <v>26732.75</v>
      </c>
      <c r="F2053" s="3">
        <f>D2053-E2053</f>
        <v/>
      </c>
      <c r="G2053" s="2" t="inlineStr">
        <is>
          <t>Short</t>
        </is>
      </c>
      <c r="H2053" s="3" t="n">
        <v>26732.75</v>
      </c>
      <c r="I2053" s="3" t="n">
        <v>26639.5</v>
      </c>
      <c r="J2053" s="3">
        <f>IF(G2053="Long",I2053-H2053,IF(G2053="Short",H2053-I2053,0))</f>
        <v/>
      </c>
      <c r="K2053" s="4" t="n">
        <v>76.68000000000001</v>
      </c>
      <c r="L2053" s="2" t="inlineStr">
        <is>
          <t>Win</t>
        </is>
      </c>
      <c r="M2053" s="3">
        <f>M2052+J2053</f>
        <v/>
      </c>
    </row>
    <row r="2054">
      <c r="A2054" s="8" t="inlineStr">
        <is>
          <t>2026-04-20</t>
        </is>
      </c>
      <c r="B2054" s="8" t="inlineStr">
        <is>
          <t>Monday</t>
        </is>
      </c>
      <c r="C2054" s="8" t="inlineStr">
        <is>
          <t>MNQM6</t>
        </is>
      </c>
      <c r="D2054" s="9" t="n">
        <v>26826</v>
      </c>
      <c r="E2054" s="9" t="n">
        <v>26732.75</v>
      </c>
      <c r="F2054" s="9">
        <f>D2054-E2054</f>
        <v/>
      </c>
      <c r="G2054" s="8" t="inlineStr">
        <is>
          <t>Short</t>
        </is>
      </c>
      <c r="H2054" s="9" t="n">
        <v>26732.75</v>
      </c>
      <c r="I2054" s="9" t="n">
        <v>26745.25</v>
      </c>
      <c r="J2054" s="9">
        <f>IF(G2054="Long",I2054-H2054,IF(G2054="Short",H2054-I2054,0))</f>
        <v/>
      </c>
      <c r="K2054" s="10" t="n">
        <v>20.91</v>
      </c>
      <c r="L2054" s="8" t="inlineStr">
        <is>
          <t>EOD-Close</t>
        </is>
      </c>
      <c r="M2054" s="9">
        <f>M2053+J2054</f>
        <v/>
      </c>
    </row>
    <row r="2055">
      <c r="A2055" s="5" t="inlineStr">
        <is>
          <t>2026-04-21</t>
        </is>
      </c>
      <c r="B2055" s="5" t="inlineStr">
        <is>
          <t>Tuesday</t>
        </is>
      </c>
      <c r="C2055" s="5" t="inlineStr">
        <is>
          <t>MNQM6</t>
        </is>
      </c>
      <c r="D2055" s="6" t="n">
        <v>26838</v>
      </c>
      <c r="E2055" s="6" t="n">
        <v>26726.25</v>
      </c>
      <c r="F2055" s="6">
        <f>D2055-E2055</f>
        <v/>
      </c>
      <c r="G2055" s="5" t="inlineStr">
        <is>
          <t>Long</t>
        </is>
      </c>
      <c r="H2055" s="6" t="n">
        <v>26838</v>
      </c>
      <c r="I2055" s="6" t="n">
        <v>26726.25</v>
      </c>
      <c r="J2055" s="6">
        <f>IF(G2055="Long",I2055-H2055,IF(G2055="Short",H2055-I2055,0))</f>
        <v/>
      </c>
      <c r="K2055" s="7" t="n">
        <v>100</v>
      </c>
      <c r="L2055" s="5" t="inlineStr">
        <is>
          <t>Loss</t>
        </is>
      </c>
      <c r="M2055" s="6">
        <f>M2054+J2055</f>
        <v/>
      </c>
    </row>
    <row r="2056">
      <c r="A2056" s="2" t="inlineStr">
        <is>
          <t>2026-04-21</t>
        </is>
      </c>
      <c r="B2056" s="2" t="inlineStr">
        <is>
          <t>Tuesday</t>
        </is>
      </c>
      <c r="C2056" s="2" t="inlineStr">
        <is>
          <t>MNQM6</t>
        </is>
      </c>
      <c r="D2056" s="3" t="n">
        <v>26838</v>
      </c>
      <c r="E2056" s="3" t="n">
        <v>26726.25</v>
      </c>
      <c r="F2056" s="3">
        <f>D2056-E2056</f>
        <v/>
      </c>
      <c r="G2056" s="2" t="inlineStr">
        <is>
          <t>Short</t>
        </is>
      </c>
      <c r="H2056" s="3" t="n">
        <v>26726.25</v>
      </c>
      <c r="I2056" s="3" t="n">
        <v>26614.5</v>
      </c>
      <c r="J2056" s="3">
        <f>IF(G2056="Long",I2056-H2056,IF(G2056="Short",H2056-I2056,0))</f>
        <v/>
      </c>
      <c r="K2056" s="4" t="n">
        <v>53.69</v>
      </c>
      <c r="L2056" s="2" t="inlineStr">
        <is>
          <t>Win</t>
        </is>
      </c>
      <c r="M2056" s="3">
        <f>M2055+J2056</f>
        <v/>
      </c>
    </row>
    <row r="2057">
      <c r="A2057" s="2" t="inlineStr">
        <is>
          <t>2026-04-22</t>
        </is>
      </c>
      <c r="B2057" s="2" t="inlineStr">
        <is>
          <t>Wednesday</t>
        </is>
      </c>
      <c r="C2057" s="2" t="inlineStr">
        <is>
          <t>MNQM6</t>
        </is>
      </c>
      <c r="D2057" s="3" t="n">
        <v>26892.5</v>
      </c>
      <c r="E2057" s="3" t="n">
        <v>26813</v>
      </c>
      <c r="F2057" s="3">
        <f>D2057-E2057</f>
        <v/>
      </c>
      <c r="G2057" s="2" t="inlineStr">
        <is>
          <t>Long</t>
        </is>
      </c>
      <c r="H2057" s="3" t="n">
        <v>26892.5</v>
      </c>
      <c r="I2057" s="3" t="n">
        <v>26972</v>
      </c>
      <c r="J2057" s="3">
        <f>IF(G2057="Long",I2057-H2057,IF(G2057="Short",H2057-I2057,0))</f>
        <v/>
      </c>
      <c r="K2057" s="4" t="n">
        <v>0</v>
      </c>
      <c r="L2057" s="2" t="inlineStr">
        <is>
          <t>Win</t>
        </is>
      </c>
      <c r="M2057" s="3">
        <f>M2056+J2057</f>
        <v/>
      </c>
    </row>
    <row r="2058">
      <c r="A2058" s="5" t="inlineStr">
        <is>
          <t>2026-04-23</t>
        </is>
      </c>
      <c r="B2058" s="5" t="inlineStr">
        <is>
          <t>Thursday</t>
        </is>
      </c>
      <c r="C2058" s="5" t="inlineStr">
        <is>
          <t>MNQM6</t>
        </is>
      </c>
      <c r="D2058" s="6" t="n">
        <v>27067.75</v>
      </c>
      <c r="E2058" s="6" t="n">
        <v>26964</v>
      </c>
      <c r="F2058" s="6">
        <f>D2058-E2058</f>
        <v/>
      </c>
      <c r="G2058" s="5" t="inlineStr">
        <is>
          <t>Long</t>
        </is>
      </c>
      <c r="H2058" s="6" t="n">
        <v>27067.75</v>
      </c>
      <c r="I2058" s="6" t="n">
        <v>26964</v>
      </c>
      <c r="J2058" s="6">
        <f>IF(G2058="Long",I2058-H2058,IF(G2058="Short",H2058-I2058,0))</f>
        <v/>
      </c>
      <c r="K2058" s="7" t="n">
        <v>100</v>
      </c>
      <c r="L2058" s="5" t="inlineStr">
        <is>
          <t>Loss</t>
        </is>
      </c>
      <c r="M2058" s="6">
        <f>M2057+J2058</f>
        <v/>
      </c>
    </row>
    <row r="2059">
      <c r="A2059" s="2" t="inlineStr">
        <is>
          <t>2026-04-23</t>
        </is>
      </c>
      <c r="B2059" s="2" t="inlineStr">
        <is>
          <t>Thursday</t>
        </is>
      </c>
      <c r="C2059" s="2" t="inlineStr">
        <is>
          <t>MNQM6</t>
        </is>
      </c>
      <c r="D2059" s="3" t="n">
        <v>27067.75</v>
      </c>
      <c r="E2059" s="3" t="n">
        <v>26964</v>
      </c>
      <c r="F2059" s="3">
        <f>D2059-E2059</f>
        <v/>
      </c>
      <c r="G2059" s="2" t="inlineStr">
        <is>
          <t>Short</t>
        </is>
      </c>
      <c r="H2059" s="3" t="n">
        <v>26964</v>
      </c>
      <c r="I2059" s="3" t="n">
        <v>26860.25</v>
      </c>
      <c r="J2059" s="3">
        <f>IF(G2059="Long",I2059-H2059,IF(G2059="Short",H2059-I2059,0))</f>
        <v/>
      </c>
      <c r="K2059" s="4" t="n">
        <v>3.37</v>
      </c>
      <c r="L2059" s="2" t="inlineStr">
        <is>
          <t>Win</t>
        </is>
      </c>
      <c r="M2059" s="3">
        <f>M2058+J2059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Total Rows</t>
        </is>
      </c>
      <c r="B2">
        <f>COUNTA('ORB Results'!L2:L2059)</f>
        <v/>
      </c>
    </row>
    <row r="3">
      <c r="A3" t="inlineStr">
        <is>
          <t>Trades (excl No-Op)</t>
        </is>
      </c>
      <c r="B3">
        <f>COUNTIF('ORB Results'!L2:L2059,"Win")+COUNTIF('ORB Results'!L2:L2059,"Loss")+COUNTIF('ORB Results'!L2:L2059,"EOD-Close")+COUNTIF('ORB Results'!L2:L2059,"Period-Close")</f>
        <v/>
      </c>
    </row>
    <row r="4">
      <c r="A4" t="inlineStr">
        <is>
          <t>Wins</t>
        </is>
      </c>
      <c r="B4">
        <f>COUNTIF('ORB Results'!L2:L2059,"Win")</f>
        <v/>
      </c>
    </row>
    <row r="5">
      <c r="A5" t="inlineStr">
        <is>
          <t>Losses</t>
        </is>
      </c>
      <c r="B5">
        <f>COUNTIF('ORB Results'!L2:L2059,"Loss")</f>
        <v/>
      </c>
    </row>
    <row r="6">
      <c r="A6" t="inlineStr">
        <is>
          <t>EOD/Period Close</t>
        </is>
      </c>
      <c r="B6">
        <f>COUNTIF('ORB Results'!L2:L2059,"EOD-Close")+COUNTIF('ORB Results'!L2:L2059,"Period-Close")</f>
        <v/>
      </c>
    </row>
    <row r="7">
      <c r="A7" t="inlineStr">
        <is>
          <t>No-Op</t>
        </is>
      </c>
      <c r="B7">
        <f>COUNTIF('ORB Results'!L2:L2059,"No-Op")</f>
        <v/>
      </c>
    </row>
    <row r="8">
      <c r="A8" t="inlineStr">
        <is>
          <t>Win Rate (W/L only)</t>
        </is>
      </c>
      <c r="B8" s="15">
        <f>IF(B4+B5&gt;0,B4/(B4+B5),0)</f>
        <v/>
      </c>
    </row>
    <row r="9">
      <c r="A9" t="inlineStr">
        <is>
          <t>Win Rate (all trades)</t>
        </is>
      </c>
      <c r="B9" s="15">
        <f>IF(B3&gt;0,COUNTIFS('ORB Results'!L2:L2059,"&lt;&gt;No-Op",'ORB Results'!J2:J2059,"&gt;"&amp;0)/B3,0)</f>
        <v/>
      </c>
    </row>
    <row r="10">
      <c r="A10" t="inlineStr">
        <is>
          <t>Total P/L</t>
        </is>
      </c>
      <c r="B10" s="16">
        <f>SUM('ORB Results'!J2:J2059)</f>
        <v/>
      </c>
    </row>
    <row r="11">
      <c r="A11" t="inlineStr">
        <is>
          <t>Avg Trade P/L</t>
        </is>
      </c>
      <c r="B11" s="16">
        <f>IF(B3&gt;0,B10/B3,0)</f>
        <v/>
      </c>
    </row>
    <row r="12">
      <c r="A12" t="inlineStr">
        <is>
          <t>Avg Drawdown %</t>
        </is>
      </c>
      <c r="B12" s="17">
        <f>AVERAGEIFS('ORB Results'!K2:K2059,'ORB Results'!L2:L2059,"&lt;&gt;No-Op")</f>
        <v/>
      </c>
    </row>
    <row r="13">
      <c r="A13" t="inlineStr">
        <is>
          <t>Avg Win Drawdown %</t>
        </is>
      </c>
      <c r="B13" s="17">
        <f>AVERAGEIF('ORB Results'!L2:L2059,"Win",'ORB Results'!K2:K2059)</f>
        <v/>
      </c>
    </row>
    <row r="14">
      <c r="A14" t="inlineStr">
        <is>
          <t>Final Cumulative P/L</t>
        </is>
      </c>
      <c r="B14" s="16">
        <f>'ORB Results'!M2059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2026-04-24T13:54:28Z</dcterms:created>
  <dcterms:modified xsi:type="dcterms:W3CDTF">2026-04-24T13:54:29Z</dcterms:modified>
</cp:coreProperties>
</file>