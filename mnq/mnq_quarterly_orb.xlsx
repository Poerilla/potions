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2019-Q2</t>
        </is>
      </c>
      <c r="B2" s="2" t="inlineStr">
        <is>
          <t>MNQM9</t>
        </is>
      </c>
      <c r="C2" s="2" t="n">
        <v>13</v>
      </c>
      <c r="D2" s="2" t="n">
        <v>36</v>
      </c>
      <c r="E2" s="3" t="n">
        <v>7817.5</v>
      </c>
      <c r="F2" s="3" t="n">
        <v>7286</v>
      </c>
      <c r="G2" s="3">
        <f>E2-F2</f>
        <v/>
      </c>
      <c r="H2" s="2" t="inlineStr">
        <is>
          <t>Short</t>
        </is>
      </c>
      <c r="I2" s="3" t="n">
        <v>7286</v>
      </c>
      <c r="J2" s="3" t="n">
        <v>7817.5</v>
      </c>
      <c r="K2" s="3">
        <f>IF(H2="Long",J2-I2,IF(H2="Short",I2-J2,0))</f>
        <v/>
      </c>
      <c r="L2" s="4" t="n">
        <v>100</v>
      </c>
      <c r="M2" s="2" t="inlineStr">
        <is>
          <t>Loss</t>
        </is>
      </c>
      <c r="N2" s="3">
        <f>K2</f>
        <v/>
      </c>
    </row>
    <row r="3">
      <c r="A3" s="2" t="inlineStr">
        <is>
          <t>2019-Q3</t>
        </is>
      </c>
      <c r="B3" s="2" t="inlineStr">
        <is>
          <t>MNQU9</t>
        </is>
      </c>
      <c r="C3" s="2" t="n">
        <v>18</v>
      </c>
      <c r="D3" s="2" t="n">
        <v>61</v>
      </c>
      <c r="E3" s="3" t="n">
        <v>8001.5</v>
      </c>
      <c r="F3" s="3" t="n">
        <v>7743.25</v>
      </c>
      <c r="G3" s="3">
        <f>E3-F3</f>
        <v/>
      </c>
      <c r="H3" s="2" t="inlineStr">
        <is>
          <t>Long</t>
        </is>
      </c>
      <c r="I3" s="3" t="n">
        <v>8001.5</v>
      </c>
      <c r="J3" s="3" t="n">
        <v>7743.25</v>
      </c>
      <c r="K3" s="3">
        <f>IF(H3="Long",J3-I3,IF(H3="Short",I3-J3,0))</f>
        <v/>
      </c>
      <c r="L3" s="4" t="n">
        <v>100</v>
      </c>
      <c r="M3" s="2" t="inlineStr">
        <is>
          <t>Loss</t>
        </is>
      </c>
      <c r="N3" s="3">
        <f>N2+K3</f>
        <v/>
      </c>
    </row>
    <row r="4">
      <c r="A4" s="5" t="inlineStr">
        <is>
          <t>2019-Q3</t>
        </is>
      </c>
      <c r="B4" s="5" t="inlineStr">
        <is>
          <t>MNQU9</t>
        </is>
      </c>
      <c r="C4" s="5" t="n">
        <v>18</v>
      </c>
      <c r="D4" s="5" t="n">
        <v>61</v>
      </c>
      <c r="E4" s="6" t="n">
        <v>8001.5</v>
      </c>
      <c r="F4" s="6" t="n">
        <v>7743.25</v>
      </c>
      <c r="G4" s="6">
        <f>E4-F4</f>
        <v/>
      </c>
      <c r="H4" s="5" t="inlineStr">
        <is>
          <t>Short</t>
        </is>
      </c>
      <c r="I4" s="6" t="n">
        <v>7743.25</v>
      </c>
      <c r="J4" s="6" t="n">
        <v>7485</v>
      </c>
      <c r="K4" s="6">
        <f>IF(H4="Long",J4-I4,IF(H4="Short",I4-J4,0))</f>
        <v/>
      </c>
      <c r="L4" s="7" t="n">
        <v>0</v>
      </c>
      <c r="M4" s="5" t="inlineStr">
        <is>
          <t>Win</t>
        </is>
      </c>
      <c r="N4" s="6">
        <f>N3+K4</f>
        <v/>
      </c>
    </row>
    <row r="5">
      <c r="A5" s="5" t="inlineStr">
        <is>
          <t>2019-Q4</t>
        </is>
      </c>
      <c r="B5" s="5" t="inlineStr">
        <is>
          <t>MNQZ9</t>
        </is>
      </c>
      <c r="C5" s="5" t="n">
        <v>17</v>
      </c>
      <c r="D5" s="5" t="n">
        <v>62</v>
      </c>
      <c r="E5" s="6" t="n">
        <v>7994.75</v>
      </c>
      <c r="F5" s="6" t="n">
        <v>7474.75</v>
      </c>
      <c r="G5" s="6">
        <f>E5-F5</f>
        <v/>
      </c>
      <c r="H5" s="5" t="inlineStr">
        <is>
          <t>Long</t>
        </is>
      </c>
      <c r="I5" s="6" t="n">
        <v>7994.75</v>
      </c>
      <c r="J5" s="6" t="n">
        <v>8514.75</v>
      </c>
      <c r="K5" s="6">
        <f>IF(H5="Long",J5-I5,IF(H5="Short",I5-J5,0))</f>
        <v/>
      </c>
      <c r="L5" s="7" t="n">
        <v>0</v>
      </c>
      <c r="M5" s="5" t="inlineStr">
        <is>
          <t>Win</t>
        </is>
      </c>
      <c r="N5" s="6">
        <f>N4+K5</f>
        <v/>
      </c>
    </row>
    <row r="6">
      <c r="A6" s="5" t="inlineStr">
        <is>
          <t>2020-Q1</t>
        </is>
      </c>
      <c r="B6" s="5" t="inlineStr">
        <is>
          <t>MNQH0</t>
        </is>
      </c>
      <c r="C6" s="5" t="n">
        <v>16</v>
      </c>
      <c r="D6" s="5" t="n">
        <v>62</v>
      </c>
      <c r="E6" s="6" t="n">
        <v>9189.25</v>
      </c>
      <c r="F6" s="6" t="n">
        <v>8678.25</v>
      </c>
      <c r="G6" s="6">
        <f>E6-F6</f>
        <v/>
      </c>
      <c r="H6" s="5" t="inlineStr">
        <is>
          <t>Long</t>
        </is>
      </c>
      <c r="I6" s="6" t="n">
        <v>9189.25</v>
      </c>
      <c r="J6" s="6" t="n">
        <v>9700.25</v>
      </c>
      <c r="K6" s="6">
        <f>IF(H6="Long",J6-I6,IF(H6="Short",I6-J6,0))</f>
        <v/>
      </c>
      <c r="L6" s="7" t="n">
        <v>51.52</v>
      </c>
      <c r="M6" s="5" t="inlineStr">
        <is>
          <t>Win</t>
        </is>
      </c>
      <c r="N6" s="6">
        <f>N5+K6</f>
        <v/>
      </c>
    </row>
    <row r="7">
      <c r="A7" s="2" t="inlineStr">
        <is>
          <t>2020-Q1</t>
        </is>
      </c>
      <c r="B7" s="2" t="inlineStr">
        <is>
          <t>MNQH0</t>
        </is>
      </c>
      <c r="C7" s="2" t="n">
        <v>16</v>
      </c>
      <c r="D7" s="2" t="n">
        <v>62</v>
      </c>
      <c r="E7" s="3" t="n">
        <v>9189.25</v>
      </c>
      <c r="F7" s="3" t="n">
        <v>8678.25</v>
      </c>
      <c r="G7" s="3">
        <f>E7-F7</f>
        <v/>
      </c>
      <c r="H7" s="2" t="inlineStr">
        <is>
          <t>Long</t>
        </is>
      </c>
      <c r="I7" s="3" t="n">
        <v>9189.25</v>
      </c>
      <c r="J7" s="3" t="n">
        <v>8678.25</v>
      </c>
      <c r="K7" s="3">
        <f>IF(H7="Long",J7-I7,IF(H7="Short",I7-J7,0))</f>
        <v/>
      </c>
      <c r="L7" s="4" t="n">
        <v>100</v>
      </c>
      <c r="M7" s="2" t="inlineStr">
        <is>
          <t>Loss</t>
        </is>
      </c>
      <c r="N7" s="3">
        <f>N6+K7</f>
        <v/>
      </c>
    </row>
    <row r="8">
      <c r="A8" s="8" t="inlineStr">
        <is>
          <t>2020-Q2</t>
        </is>
      </c>
      <c r="B8" s="8" t="inlineStr">
        <is>
          <t>MNQM0</t>
        </is>
      </c>
      <c r="C8" s="8" t="n">
        <v>15</v>
      </c>
      <c r="D8" s="8" t="n">
        <v>62</v>
      </c>
      <c r="E8" s="9" t="n">
        <v>8967.75</v>
      </c>
      <c r="F8" s="9" t="n">
        <v>7375.5</v>
      </c>
      <c r="G8" s="9">
        <f>E8-F8</f>
        <v/>
      </c>
      <c r="H8" s="8" t="inlineStr">
        <is>
          <t>Long</t>
        </is>
      </c>
      <c r="I8" s="9" t="n">
        <v>8967.75</v>
      </c>
      <c r="J8" s="9" t="n">
        <v>10034.75</v>
      </c>
      <c r="K8" s="9">
        <f>IF(H8="Long",J8-I8,IF(H8="Short",I8-J8,0))</f>
        <v/>
      </c>
      <c r="L8" s="10" t="n">
        <v>25.81</v>
      </c>
      <c r="M8" s="8" t="inlineStr">
        <is>
          <t>Period-Close</t>
        </is>
      </c>
      <c r="N8" s="9">
        <f>N7+K8</f>
        <v/>
      </c>
    </row>
    <row r="9">
      <c r="A9" s="5" t="inlineStr">
        <is>
          <t>2020-Q3</t>
        </is>
      </c>
      <c r="B9" s="5" t="inlineStr">
        <is>
          <t>MNQU0</t>
        </is>
      </c>
      <c r="C9" s="5" t="n">
        <v>16</v>
      </c>
      <c r="D9" s="5" t="n">
        <v>63</v>
      </c>
      <c r="E9" s="6" t="n">
        <v>11058.25</v>
      </c>
      <c r="F9" s="6" t="n">
        <v>10075.75</v>
      </c>
      <c r="G9" s="6">
        <f>E9-F9</f>
        <v/>
      </c>
      <c r="H9" s="5" t="inlineStr">
        <is>
          <t>Long</t>
        </is>
      </c>
      <c r="I9" s="6" t="n">
        <v>11058.25</v>
      </c>
      <c r="J9" s="6" t="n">
        <v>12040.75</v>
      </c>
      <c r="K9" s="6">
        <f>IF(H9="Long",J9-I9,IF(H9="Short",I9-J9,0))</f>
        <v/>
      </c>
      <c r="L9" s="7" t="n">
        <v>21.68</v>
      </c>
      <c r="M9" s="5" t="inlineStr">
        <is>
          <t>Win</t>
        </is>
      </c>
      <c r="N9" s="6">
        <f>N8+K9</f>
        <v/>
      </c>
    </row>
    <row r="10">
      <c r="A10" s="8" t="inlineStr">
        <is>
          <t>2020-Q3</t>
        </is>
      </c>
      <c r="B10" s="8" t="inlineStr">
        <is>
          <t>MNQU0</t>
        </is>
      </c>
      <c r="C10" s="8" t="n">
        <v>16</v>
      </c>
      <c r="D10" s="8" t="n">
        <v>63</v>
      </c>
      <c r="E10" s="9" t="n">
        <v>11058.25</v>
      </c>
      <c r="F10" s="9" t="n">
        <v>10075.75</v>
      </c>
      <c r="G10" s="9">
        <f>E10-F10</f>
        <v/>
      </c>
      <c r="H10" s="8" t="inlineStr">
        <is>
          <t>Long</t>
        </is>
      </c>
      <c r="I10" s="9" t="n">
        <v>11058.25</v>
      </c>
      <c r="J10" s="9" t="n">
        <v>11444</v>
      </c>
      <c r="K10" s="9">
        <f>IF(H10="Long",J10-I10,IF(H10="Short",I10-J10,0))</f>
        <v/>
      </c>
      <c r="L10" s="10" t="n">
        <v>40.87</v>
      </c>
      <c r="M10" s="8" t="inlineStr">
        <is>
          <t>Period-Close</t>
        </is>
      </c>
      <c r="N10" s="9">
        <f>N9+K10</f>
        <v/>
      </c>
    </row>
    <row r="11">
      <c r="A11" s="2" t="inlineStr">
        <is>
          <t>2020-Q4</t>
        </is>
      </c>
      <c r="B11" s="2" t="inlineStr">
        <is>
          <t>MNQZ0</t>
        </is>
      </c>
      <c r="C11" s="2" t="n">
        <v>15</v>
      </c>
      <c r="D11" s="2" t="n">
        <v>63</v>
      </c>
      <c r="E11" s="3" t="n">
        <v>12249</v>
      </c>
      <c r="F11" s="3" t="n">
        <v>11197.5</v>
      </c>
      <c r="G11" s="3">
        <f>E11-F11</f>
        <v/>
      </c>
      <c r="H11" s="2" t="inlineStr">
        <is>
          <t>Short</t>
        </is>
      </c>
      <c r="I11" s="3" t="n">
        <v>11197.5</v>
      </c>
      <c r="J11" s="3" t="n">
        <v>12249</v>
      </c>
      <c r="K11" s="3">
        <f>IF(H11="Long",J11-I11,IF(H11="Short",I11-J11,0))</f>
        <v/>
      </c>
      <c r="L11" s="4" t="n">
        <v>100</v>
      </c>
      <c r="M11" s="2" t="inlineStr">
        <is>
          <t>Loss</t>
        </is>
      </c>
      <c r="N11" s="3">
        <f>N10+K11</f>
        <v/>
      </c>
    </row>
    <row r="12">
      <c r="A12" s="8" t="inlineStr">
        <is>
          <t>2020-Q4</t>
        </is>
      </c>
      <c r="B12" s="8" t="inlineStr">
        <is>
          <t>MNQZ0</t>
        </is>
      </c>
      <c r="C12" s="8" t="n">
        <v>15</v>
      </c>
      <c r="D12" s="8" t="n">
        <v>63</v>
      </c>
      <c r="E12" s="9" t="n">
        <v>12249</v>
      </c>
      <c r="F12" s="9" t="n">
        <v>11197.5</v>
      </c>
      <c r="G12" s="9">
        <f>E12-F12</f>
        <v/>
      </c>
      <c r="H12" s="8" t="inlineStr">
        <is>
          <t>Long</t>
        </is>
      </c>
      <c r="I12" s="9" t="n">
        <v>12249</v>
      </c>
      <c r="J12" s="9" t="n">
        <v>12885</v>
      </c>
      <c r="K12" s="9">
        <f>IF(H12="Long",J12-I12,IF(H12="Short",I12-J12,0))</f>
        <v/>
      </c>
      <c r="L12" s="10" t="n">
        <v>15.53</v>
      </c>
      <c r="M12" s="8" t="inlineStr">
        <is>
          <t>Period-Close</t>
        </is>
      </c>
      <c r="N12" s="9">
        <f>N11+K12</f>
        <v/>
      </c>
    </row>
    <row r="13">
      <c r="A13" s="5" t="inlineStr">
        <is>
          <t>2021-Q1</t>
        </is>
      </c>
      <c r="B13" s="5" t="inlineStr">
        <is>
          <t>MNQH1</t>
        </is>
      </c>
      <c r="C13" s="5" t="n">
        <v>13</v>
      </c>
      <c r="D13" s="5" t="n">
        <v>63</v>
      </c>
      <c r="E13" s="6" t="n">
        <v>13125.25</v>
      </c>
      <c r="F13" s="6" t="n">
        <v>12491.25</v>
      </c>
      <c r="G13" s="6">
        <f>E13-F13</f>
        <v/>
      </c>
      <c r="H13" s="5" t="inlineStr">
        <is>
          <t>Long</t>
        </is>
      </c>
      <c r="I13" s="6" t="n">
        <v>13125.25</v>
      </c>
      <c r="J13" s="6" t="n">
        <v>13759.25</v>
      </c>
      <c r="K13" s="6">
        <f>IF(H13="Long",J13-I13,IF(H13="Short",I13-J13,0))</f>
        <v/>
      </c>
      <c r="L13" s="7" t="n">
        <v>62.85</v>
      </c>
      <c r="M13" s="5" t="inlineStr">
        <is>
          <t>Win</t>
        </is>
      </c>
      <c r="N13" s="6">
        <f>N12+K13</f>
        <v/>
      </c>
    </row>
    <row r="14">
      <c r="A14" s="2" t="inlineStr">
        <is>
          <t>2021-Q1</t>
        </is>
      </c>
      <c r="B14" s="2" t="inlineStr">
        <is>
          <t>MNQH1</t>
        </is>
      </c>
      <c r="C14" s="2" t="n">
        <v>13</v>
      </c>
      <c r="D14" s="2" t="n">
        <v>63</v>
      </c>
      <c r="E14" s="3" t="n">
        <v>13125.25</v>
      </c>
      <c r="F14" s="3" t="n">
        <v>12491.25</v>
      </c>
      <c r="G14" s="3">
        <f>E14-F14</f>
        <v/>
      </c>
      <c r="H14" s="2" t="inlineStr">
        <is>
          <t>Long</t>
        </is>
      </c>
      <c r="I14" s="3" t="n">
        <v>13125.25</v>
      </c>
      <c r="J14" s="3" t="n">
        <v>12491.25</v>
      </c>
      <c r="K14" s="3">
        <f>IF(H14="Long",J14-I14,IF(H14="Short",I14-J14,0))</f>
        <v/>
      </c>
      <c r="L14" s="4" t="n">
        <v>100</v>
      </c>
      <c r="M14" s="2" t="inlineStr">
        <is>
          <t>Loss</t>
        </is>
      </c>
      <c r="N14" s="3">
        <f>N13+K14</f>
        <v/>
      </c>
    </row>
    <row r="15">
      <c r="A15" s="2" t="inlineStr">
        <is>
          <t>2021-Q2</t>
        </is>
      </c>
      <c r="B15" s="2" t="inlineStr">
        <is>
          <t>MNQM1</t>
        </is>
      </c>
      <c r="C15" s="2" t="n">
        <v>15</v>
      </c>
      <c r="D15" s="2" t="n">
        <v>63</v>
      </c>
      <c r="E15" s="3" t="n">
        <v>14059</v>
      </c>
      <c r="F15" s="3" t="n">
        <v>13104.25</v>
      </c>
      <c r="G15" s="3">
        <f>E15-F15</f>
        <v/>
      </c>
      <c r="H15" s="2" t="inlineStr">
        <is>
          <t>Short</t>
        </is>
      </c>
      <c r="I15" s="3" t="n">
        <v>13104.25</v>
      </c>
      <c r="J15" s="3" t="n">
        <v>14059</v>
      </c>
      <c r="K15" s="3">
        <f>IF(H15="Long",J15-I15,IF(H15="Short",I15-J15,0))</f>
        <v/>
      </c>
      <c r="L15" s="4" t="n">
        <v>100</v>
      </c>
      <c r="M15" s="2" t="inlineStr">
        <is>
          <t>Loss</t>
        </is>
      </c>
      <c r="N15" s="3">
        <f>N14+K15</f>
        <v/>
      </c>
    </row>
    <row r="16">
      <c r="A16" s="8" t="inlineStr">
        <is>
          <t>2021-Q2</t>
        </is>
      </c>
      <c r="B16" s="8" t="inlineStr">
        <is>
          <t>MNQM1</t>
        </is>
      </c>
      <c r="C16" s="8" t="n">
        <v>15</v>
      </c>
      <c r="D16" s="8" t="n">
        <v>63</v>
      </c>
      <c r="E16" s="9" t="n">
        <v>14059</v>
      </c>
      <c r="F16" s="9" t="n">
        <v>13104.25</v>
      </c>
      <c r="G16" s="9">
        <f>E16-F16</f>
        <v/>
      </c>
      <c r="H16" s="8" t="inlineStr">
        <is>
          <t>Long</t>
        </is>
      </c>
      <c r="I16" s="9" t="n">
        <v>14059</v>
      </c>
      <c r="J16" s="9" t="n">
        <v>14560.5</v>
      </c>
      <c r="K16" s="9">
        <f>IF(H16="Long",J16-I16,IF(H16="Short",I16-J16,0))</f>
        <v/>
      </c>
      <c r="L16" s="10" t="n">
        <v>23.99</v>
      </c>
      <c r="M16" s="8" t="inlineStr">
        <is>
          <t>Period-Close</t>
        </is>
      </c>
      <c r="N16" s="9">
        <f>N15+K16</f>
        <v/>
      </c>
    </row>
    <row r="17">
      <c r="A17" s="5" t="inlineStr">
        <is>
          <t>2021-Q3</t>
        </is>
      </c>
      <c r="B17" s="5" t="inlineStr">
        <is>
          <t>MNQU1</t>
        </is>
      </c>
      <c r="C17" s="5" t="n">
        <v>15</v>
      </c>
      <c r="D17" s="5" t="n">
        <v>64</v>
      </c>
      <c r="E17" s="6" t="n">
        <v>14996</v>
      </c>
      <c r="F17" s="6" t="n">
        <v>14470.75</v>
      </c>
      <c r="G17" s="6">
        <f>E17-F17</f>
        <v/>
      </c>
      <c r="H17" s="5" t="inlineStr">
        <is>
          <t>Long</t>
        </is>
      </c>
      <c r="I17" s="6" t="n">
        <v>14996</v>
      </c>
      <c r="J17" s="6" t="n">
        <v>15521.25</v>
      </c>
      <c r="K17" s="6">
        <f>IF(H17="Long",J17-I17,IF(H17="Short",I17-J17,0))</f>
        <v/>
      </c>
      <c r="L17" s="7" t="n">
        <v>54.26</v>
      </c>
      <c r="M17" s="5" t="inlineStr">
        <is>
          <t>Win</t>
        </is>
      </c>
      <c r="N17" s="6">
        <f>N16+K17</f>
        <v/>
      </c>
    </row>
    <row r="18">
      <c r="A18" s="8" t="inlineStr">
        <is>
          <t>2021-Q3</t>
        </is>
      </c>
      <c r="B18" s="8" t="inlineStr">
        <is>
          <t>MNQU1</t>
        </is>
      </c>
      <c r="C18" s="8" t="n">
        <v>15</v>
      </c>
      <c r="D18" s="8" t="n">
        <v>64</v>
      </c>
      <c r="E18" s="9" t="n">
        <v>14996</v>
      </c>
      <c r="F18" s="9" t="n">
        <v>14470.75</v>
      </c>
      <c r="G18" s="9">
        <f>E18-F18</f>
        <v/>
      </c>
      <c r="H18" s="8" t="inlineStr">
        <is>
          <t>Long</t>
        </is>
      </c>
      <c r="I18" s="9" t="n">
        <v>14996</v>
      </c>
      <c r="J18" s="9" t="n">
        <v>14714.5</v>
      </c>
      <c r="K18" s="9">
        <f>IF(H18="Long",J18-I18,IF(H18="Short",I18-J18,0))</f>
        <v/>
      </c>
      <c r="L18" s="10" t="n">
        <v>62.07</v>
      </c>
      <c r="M18" s="8" t="inlineStr">
        <is>
          <t>Period-Close</t>
        </is>
      </c>
      <c r="N18" s="9">
        <f>N17+K18</f>
        <v/>
      </c>
    </row>
    <row r="19">
      <c r="A19" s="5" t="inlineStr">
        <is>
          <t>2021-Q4</t>
        </is>
      </c>
      <c r="B19" s="5" t="inlineStr">
        <is>
          <t>MNQZ1</t>
        </is>
      </c>
      <c r="C19" s="5" t="n">
        <v>14</v>
      </c>
      <c r="D19" s="5" t="n">
        <v>64</v>
      </c>
      <c r="E19" s="6" t="n">
        <v>15166.75</v>
      </c>
      <c r="F19" s="6" t="n">
        <v>14367.75</v>
      </c>
      <c r="G19" s="6">
        <f>E19-F19</f>
        <v/>
      </c>
      <c r="H19" s="5" t="inlineStr">
        <is>
          <t>Long</t>
        </is>
      </c>
      <c r="I19" s="6" t="n">
        <v>15166.75</v>
      </c>
      <c r="J19" s="6" t="n">
        <v>15965.75</v>
      </c>
      <c r="K19" s="6">
        <f>IF(H19="Long",J19-I19,IF(H19="Short",I19-J19,0))</f>
        <v/>
      </c>
      <c r="L19" s="7" t="n">
        <v>0</v>
      </c>
      <c r="M19" s="5" t="inlineStr">
        <is>
          <t>Win</t>
        </is>
      </c>
      <c r="N19" s="6">
        <f>N18+K19</f>
        <v/>
      </c>
    </row>
    <row r="20">
      <c r="A20" s="5" t="inlineStr">
        <is>
          <t>2022-Q1</t>
        </is>
      </c>
      <c r="B20" s="5" t="inlineStr">
        <is>
          <t>MNQH2</t>
        </is>
      </c>
      <c r="C20" s="5" t="n">
        <v>13</v>
      </c>
      <c r="D20" s="5" t="n">
        <v>64</v>
      </c>
      <c r="E20" s="6" t="n">
        <v>16564</v>
      </c>
      <c r="F20" s="6" t="n">
        <v>15152.5</v>
      </c>
      <c r="G20" s="6">
        <f>E20-F20</f>
        <v/>
      </c>
      <c r="H20" s="5" t="inlineStr">
        <is>
          <t>Short</t>
        </is>
      </c>
      <c r="I20" s="6" t="n">
        <v>15152.5</v>
      </c>
      <c r="J20" s="6" t="n">
        <v>13741</v>
      </c>
      <c r="K20" s="6">
        <f>IF(H20="Long",J20-I20,IF(H20="Short",I20-J20,0))</f>
        <v/>
      </c>
      <c r="L20" s="7" t="n">
        <v>13.32</v>
      </c>
      <c r="M20" s="5" t="inlineStr">
        <is>
          <t>Win</t>
        </is>
      </c>
      <c r="N20" s="6">
        <f>N19+K20</f>
        <v/>
      </c>
    </row>
    <row r="21">
      <c r="A21" s="5" t="inlineStr">
        <is>
          <t>2022-Q1</t>
        </is>
      </c>
      <c r="B21" s="5" t="inlineStr">
        <is>
          <t>MNQH2</t>
        </is>
      </c>
      <c r="C21" s="5" t="n">
        <v>13</v>
      </c>
      <c r="D21" s="5" t="n">
        <v>64</v>
      </c>
      <c r="E21" s="6" t="n">
        <v>16564</v>
      </c>
      <c r="F21" s="6" t="n">
        <v>15152.5</v>
      </c>
      <c r="G21" s="6">
        <f>E21-F21</f>
        <v/>
      </c>
      <c r="H21" s="5" t="inlineStr">
        <is>
          <t>Short</t>
        </is>
      </c>
      <c r="I21" s="6" t="n">
        <v>15152.5</v>
      </c>
      <c r="J21" s="6" t="n">
        <v>13741</v>
      </c>
      <c r="K21" s="6">
        <f>IF(H21="Long",J21-I21,IF(H21="Short",I21-J21,0))</f>
        <v/>
      </c>
      <c r="L21" s="7" t="n">
        <v>7.72</v>
      </c>
      <c r="M21" s="5" t="inlineStr">
        <is>
          <t>Win</t>
        </is>
      </c>
      <c r="N21" s="6">
        <f>N20+K21</f>
        <v/>
      </c>
    </row>
    <row r="22">
      <c r="A22" s="5" t="inlineStr">
        <is>
          <t>2022-Q2</t>
        </is>
      </c>
      <c r="B22" s="5" t="inlineStr">
        <is>
          <t>MNQM2</t>
        </is>
      </c>
      <c r="C22" s="5" t="n">
        <v>13</v>
      </c>
      <c r="D22" s="5" t="n">
        <v>64</v>
      </c>
      <c r="E22" s="6" t="n">
        <v>15199.25</v>
      </c>
      <c r="F22" s="6" t="n">
        <v>13729.25</v>
      </c>
      <c r="G22" s="6">
        <f>E22-F22</f>
        <v/>
      </c>
      <c r="H22" s="5" t="inlineStr">
        <is>
          <t>Short</t>
        </is>
      </c>
      <c r="I22" s="6" t="n">
        <v>13729.25</v>
      </c>
      <c r="J22" s="6" t="n">
        <v>12259.25</v>
      </c>
      <c r="K22" s="6">
        <f>IF(H22="Long",J22-I22,IF(H22="Short",I22-J22,0))</f>
        <v/>
      </c>
      <c r="L22" s="7" t="n">
        <v>3.38</v>
      </c>
      <c r="M22" s="5" t="inlineStr">
        <is>
          <t>Win</t>
        </is>
      </c>
      <c r="N22" s="6">
        <f>N21+K22</f>
        <v/>
      </c>
    </row>
    <row r="23">
      <c r="A23" s="5" t="inlineStr">
        <is>
          <t>2022-Q3</t>
        </is>
      </c>
      <c r="B23" s="5" t="inlineStr">
        <is>
          <t>MNQU2</t>
        </is>
      </c>
      <c r="C23" s="5" t="n">
        <v>14</v>
      </c>
      <c r="D23" s="5" t="n">
        <v>65</v>
      </c>
      <c r="E23" s="6" t="n">
        <v>12211</v>
      </c>
      <c r="F23" s="6" t="n">
        <v>11381.75</v>
      </c>
      <c r="G23" s="6">
        <f>E23-F23</f>
        <v/>
      </c>
      <c r="H23" s="5" t="inlineStr">
        <is>
          <t>Long</t>
        </is>
      </c>
      <c r="I23" s="6" t="n">
        <v>12211</v>
      </c>
      <c r="J23" s="6" t="n">
        <v>13040.25</v>
      </c>
      <c r="K23" s="6">
        <f>IF(H23="Long",J23-I23,IF(H23="Short",I23-J23,0))</f>
        <v/>
      </c>
      <c r="L23" s="7" t="n">
        <v>17</v>
      </c>
      <c r="M23" s="5" t="inlineStr">
        <is>
          <t>Win</t>
        </is>
      </c>
      <c r="N23" s="6">
        <f>N22+K23</f>
        <v/>
      </c>
    </row>
    <row r="24">
      <c r="A24" s="2" t="inlineStr">
        <is>
          <t>2022-Q3</t>
        </is>
      </c>
      <c r="B24" s="2" t="inlineStr">
        <is>
          <t>MNQU2</t>
        </is>
      </c>
      <c r="C24" s="2" t="n">
        <v>14</v>
      </c>
      <c r="D24" s="2" t="n">
        <v>65</v>
      </c>
      <c r="E24" s="3" t="n">
        <v>12211</v>
      </c>
      <c r="F24" s="3" t="n">
        <v>11381.75</v>
      </c>
      <c r="G24" s="3">
        <f>E24-F24</f>
        <v/>
      </c>
      <c r="H24" s="2" t="inlineStr">
        <is>
          <t>Long</t>
        </is>
      </c>
      <c r="I24" s="3" t="n">
        <v>12211</v>
      </c>
      <c r="J24" s="3" t="n">
        <v>11381.75</v>
      </c>
      <c r="K24" s="3">
        <f>IF(H24="Long",J24-I24,IF(H24="Short",I24-J24,0))</f>
        <v/>
      </c>
      <c r="L24" s="4" t="n">
        <v>100</v>
      </c>
      <c r="M24" s="2" t="inlineStr">
        <is>
          <t>Loss</t>
        </is>
      </c>
      <c r="N24" s="3">
        <f>N23+K24</f>
        <v/>
      </c>
    </row>
    <row r="25">
      <c r="A25" s="8" t="inlineStr">
        <is>
          <t>2022-Q4</t>
        </is>
      </c>
      <c r="B25" s="8" t="inlineStr">
        <is>
          <t>MNQZ2</t>
        </is>
      </c>
      <c r="C25" s="8" t="n">
        <v>13</v>
      </c>
      <c r="D25" s="8" t="n">
        <v>64</v>
      </c>
      <c r="E25" s="9" t="n">
        <v>11730</v>
      </c>
      <c r="F25" s="9" t="n">
        <v>10484.5</v>
      </c>
      <c r="G25" s="9">
        <f>E25-F25</f>
        <v/>
      </c>
      <c r="H25" s="8" t="inlineStr">
        <is>
          <t>Long</t>
        </is>
      </c>
      <c r="I25" s="9" t="n">
        <v>11730</v>
      </c>
      <c r="J25" s="9" t="n">
        <v>11040.75</v>
      </c>
      <c r="K25" s="9">
        <f>IF(H25="Long",J25-I25,IF(H25="Short",I25-J25,0))</f>
        <v/>
      </c>
      <c r="L25" s="10" t="n">
        <v>78.02</v>
      </c>
      <c r="M25" s="8" t="inlineStr">
        <is>
          <t>Period-Close</t>
        </is>
      </c>
      <c r="N25" s="9">
        <f>N24+K25</f>
        <v/>
      </c>
    </row>
    <row r="26">
      <c r="A26" s="5" t="inlineStr">
        <is>
          <t>2023-Q1</t>
        </is>
      </c>
      <c r="B26" s="5" t="inlineStr">
        <is>
          <t>MNQH3</t>
        </is>
      </c>
      <c r="C26" s="5" t="n">
        <v>18</v>
      </c>
      <c r="D26" s="5" t="n">
        <v>59</v>
      </c>
      <c r="E26" s="6" t="n">
        <v>11759.5</v>
      </c>
      <c r="F26" s="6" t="n">
        <v>10751</v>
      </c>
      <c r="G26" s="6">
        <f>E26-F26</f>
        <v/>
      </c>
      <c r="H26" s="5" t="inlineStr">
        <is>
          <t>Long</t>
        </is>
      </c>
      <c r="I26" s="6" t="n">
        <v>11759.5</v>
      </c>
      <c r="J26" s="6" t="n">
        <v>12768</v>
      </c>
      <c r="K26" s="6">
        <f>IF(H26="Long",J26-I26,IF(H26="Short",I26-J26,0))</f>
        <v/>
      </c>
      <c r="L26" s="7" t="n">
        <v>15.37</v>
      </c>
      <c r="M26" s="5" t="inlineStr">
        <is>
          <t>Win</t>
        </is>
      </c>
      <c r="N26" s="6">
        <f>N25+K26</f>
        <v/>
      </c>
    </row>
    <row r="27">
      <c r="A27" s="5" t="inlineStr">
        <is>
          <t>2023-Q2</t>
        </is>
      </c>
      <c r="B27" s="5" t="inlineStr">
        <is>
          <t>MNQM3</t>
        </is>
      </c>
      <c r="C27" s="5" t="n">
        <v>13</v>
      </c>
      <c r="D27" s="5" t="n">
        <v>65</v>
      </c>
      <c r="E27" s="6" t="n">
        <v>13348.75</v>
      </c>
      <c r="F27" s="6" t="n">
        <v>12925.25</v>
      </c>
      <c r="G27" s="6">
        <f>E27-F27</f>
        <v/>
      </c>
      <c r="H27" s="5" t="inlineStr">
        <is>
          <t>Long</t>
        </is>
      </c>
      <c r="I27" s="6" t="n">
        <v>13348.75</v>
      </c>
      <c r="J27" s="6" t="n">
        <v>13772.25</v>
      </c>
      <c r="K27" s="6">
        <f>IF(H27="Long",J27-I27,IF(H27="Short",I27-J27,0))</f>
        <v/>
      </c>
      <c r="L27" s="7" t="n">
        <v>9.15</v>
      </c>
      <c r="M27" s="5" t="inlineStr">
        <is>
          <t>Win</t>
        </is>
      </c>
      <c r="N27" s="6">
        <f>N26+K27</f>
        <v/>
      </c>
    </row>
    <row r="28">
      <c r="A28" s="2" t="inlineStr">
        <is>
          <t>2023-Q3</t>
        </is>
      </c>
      <c r="B28" s="2" t="inlineStr">
        <is>
          <t>MNQU3</t>
        </is>
      </c>
      <c r="C28" s="2" t="n">
        <v>13</v>
      </c>
      <c r="D28" s="2" t="n">
        <v>65</v>
      </c>
      <c r="E28" s="3" t="n">
        <v>15857.5</v>
      </c>
      <c r="F28" s="3" t="n">
        <v>15063.5</v>
      </c>
      <c r="G28" s="3">
        <f>E28-F28</f>
        <v/>
      </c>
      <c r="H28" s="2" t="inlineStr">
        <is>
          <t>Long</t>
        </is>
      </c>
      <c r="I28" s="3" t="n">
        <v>15857.5</v>
      </c>
      <c r="J28" s="3" t="n">
        <v>15063.5</v>
      </c>
      <c r="K28" s="3">
        <f>IF(H28="Long",J28-I28,IF(H28="Short",I28-J28,0))</f>
        <v/>
      </c>
      <c r="L28" s="4" t="n">
        <v>100</v>
      </c>
      <c r="M28" s="2" t="inlineStr">
        <is>
          <t>Loss</t>
        </is>
      </c>
      <c r="N28" s="3">
        <f>N27+K28</f>
        <v/>
      </c>
    </row>
    <row r="29">
      <c r="A29" s="8" t="inlineStr">
        <is>
          <t>2023-Q3</t>
        </is>
      </c>
      <c r="B29" s="8" t="inlineStr">
        <is>
          <t>MNQU3</t>
        </is>
      </c>
      <c r="C29" s="8" t="n">
        <v>13</v>
      </c>
      <c r="D29" s="8" t="n">
        <v>65</v>
      </c>
      <c r="E29" s="9" t="n">
        <v>15857.5</v>
      </c>
      <c r="F29" s="9" t="n">
        <v>15063.5</v>
      </c>
      <c r="G29" s="9">
        <f>E29-F29</f>
        <v/>
      </c>
      <c r="H29" s="8" t="inlineStr">
        <is>
          <t>Short</t>
        </is>
      </c>
      <c r="I29" s="9" t="n">
        <v>15063.5</v>
      </c>
      <c r="J29" s="9" t="n">
        <v>14892</v>
      </c>
      <c r="K29" s="9">
        <f>IF(H29="Long",J29-I29,IF(H29="Short",I29-J29,0))</f>
        <v/>
      </c>
      <c r="L29" s="10" t="n">
        <v>82.65000000000001</v>
      </c>
      <c r="M29" s="8" t="inlineStr">
        <is>
          <t>Period-Close</t>
        </is>
      </c>
      <c r="N29" s="9">
        <f>N28+K29</f>
        <v/>
      </c>
    </row>
    <row r="30">
      <c r="A30" s="2" t="inlineStr">
        <is>
          <t>2023-Q4</t>
        </is>
      </c>
      <c r="B30" s="2" t="inlineStr">
        <is>
          <t>MNQZ3</t>
        </is>
      </c>
      <c r="C30" s="2" t="n">
        <v>13</v>
      </c>
      <c r="D30" s="2" t="n">
        <v>64</v>
      </c>
      <c r="E30" s="3" t="n">
        <v>15469.5</v>
      </c>
      <c r="F30" s="3" t="n">
        <v>14589.25</v>
      </c>
      <c r="G30" s="3">
        <f>E30-F30</f>
        <v/>
      </c>
      <c r="H30" s="2" t="inlineStr">
        <is>
          <t>Short</t>
        </is>
      </c>
      <c r="I30" s="3" t="n">
        <v>14589.25</v>
      </c>
      <c r="J30" s="3" t="n">
        <v>15469.5</v>
      </c>
      <c r="K30" s="3">
        <f>IF(H30="Long",J30-I30,IF(H30="Short",I30-J30,0))</f>
        <v/>
      </c>
      <c r="L30" s="4" t="n">
        <v>100</v>
      </c>
      <c r="M30" s="2" t="inlineStr">
        <is>
          <t>Loss</t>
        </is>
      </c>
      <c r="N30" s="3">
        <f>N29+K30</f>
        <v/>
      </c>
    </row>
    <row r="31">
      <c r="A31" s="5" t="inlineStr">
        <is>
          <t>2023-Q4</t>
        </is>
      </c>
      <c r="B31" s="5" t="inlineStr">
        <is>
          <t>MNQZ3</t>
        </is>
      </c>
      <c r="C31" s="5" t="n">
        <v>13</v>
      </c>
      <c r="D31" s="5" t="n">
        <v>64</v>
      </c>
      <c r="E31" s="6" t="n">
        <v>15469.5</v>
      </c>
      <c r="F31" s="6" t="n">
        <v>14589.25</v>
      </c>
      <c r="G31" s="6">
        <f>E31-F31</f>
        <v/>
      </c>
      <c r="H31" s="5" t="inlineStr">
        <is>
          <t>Long</t>
        </is>
      </c>
      <c r="I31" s="6" t="n">
        <v>15469.5</v>
      </c>
      <c r="J31" s="6" t="n">
        <v>16349.75</v>
      </c>
      <c r="K31" s="6">
        <f>IF(H31="Long",J31-I31,IF(H31="Short",I31-J31,0))</f>
        <v/>
      </c>
      <c r="L31" s="7" t="n">
        <v>0.48</v>
      </c>
      <c r="M31" s="5" t="inlineStr">
        <is>
          <t>Win</t>
        </is>
      </c>
      <c r="N31" s="6">
        <f>N30+K31</f>
        <v/>
      </c>
    </row>
    <row r="32">
      <c r="A32" s="5" t="inlineStr">
        <is>
          <t>2024-Q1</t>
        </is>
      </c>
      <c r="B32" s="5" t="inlineStr">
        <is>
          <t>MNQH4</t>
        </is>
      </c>
      <c r="C32" s="5" t="n">
        <v>18</v>
      </c>
      <c r="D32" s="5" t="n">
        <v>59</v>
      </c>
      <c r="E32" s="6" t="n">
        <v>17501.5</v>
      </c>
      <c r="F32" s="6" t="n">
        <v>16334.25</v>
      </c>
      <c r="G32" s="6">
        <f>E32-F32</f>
        <v/>
      </c>
      <c r="H32" s="5" t="inlineStr">
        <is>
          <t>Long</t>
        </is>
      </c>
      <c r="I32" s="6" t="n">
        <v>17501.5</v>
      </c>
      <c r="J32" s="6" t="n">
        <v>18668.75</v>
      </c>
      <c r="K32" s="6">
        <f>IF(H32="Long",J32-I32,IF(H32="Short",I32-J32,0))</f>
        <v/>
      </c>
      <c r="L32" s="7" t="n">
        <v>23.97</v>
      </c>
      <c r="M32" s="5" t="inlineStr">
        <is>
          <t>Win</t>
        </is>
      </c>
      <c r="N32" s="6">
        <f>N31+K32</f>
        <v/>
      </c>
    </row>
    <row r="33">
      <c r="A33" s="5" t="inlineStr">
        <is>
          <t>2024-Q2</t>
        </is>
      </c>
      <c r="B33" s="5" t="inlineStr">
        <is>
          <t>MNQM4</t>
        </is>
      </c>
      <c r="C33" s="5" t="n">
        <v>18</v>
      </c>
      <c r="D33" s="5" t="n">
        <v>60</v>
      </c>
      <c r="E33" s="6" t="n">
        <v>18611.25</v>
      </c>
      <c r="F33" s="6" t="n">
        <v>17113.75</v>
      </c>
      <c r="G33" s="6">
        <f>E33-F33</f>
        <v/>
      </c>
      <c r="H33" s="5" t="inlineStr">
        <is>
          <t>Long</t>
        </is>
      </c>
      <c r="I33" s="6" t="n">
        <v>18611.25</v>
      </c>
      <c r="J33" s="6" t="n">
        <v>20108.75</v>
      </c>
      <c r="K33" s="6">
        <f>IF(H33="Long",J33-I33,IF(H33="Short",I33-J33,0))</f>
        <v/>
      </c>
      <c r="L33" s="7" t="n">
        <v>24.71</v>
      </c>
      <c r="M33" s="5" t="inlineStr">
        <is>
          <t>Win</t>
        </is>
      </c>
      <c r="N33" s="6">
        <f>N32+K33</f>
        <v/>
      </c>
    </row>
    <row r="34">
      <c r="A34" s="5" t="inlineStr">
        <is>
          <t>2024-Q3</t>
        </is>
      </c>
      <c r="B34" s="5" t="inlineStr">
        <is>
          <t>MNQU4</t>
        </is>
      </c>
      <c r="C34" s="5" t="n">
        <v>18</v>
      </c>
      <c r="D34" s="5" t="n">
        <v>61</v>
      </c>
      <c r="E34" s="6" t="n">
        <v>20983.5</v>
      </c>
      <c r="F34" s="6" t="n">
        <v>19654</v>
      </c>
      <c r="G34" s="6">
        <f>E34-F34</f>
        <v/>
      </c>
      <c r="H34" s="5" t="inlineStr">
        <is>
          <t>Short</t>
        </is>
      </c>
      <c r="I34" s="6" t="n">
        <v>19654</v>
      </c>
      <c r="J34" s="6" t="n">
        <v>18324.5</v>
      </c>
      <c r="K34" s="6">
        <f>IF(H34="Long",J34-I34,IF(H34="Short",I34-J34,0))</f>
        <v/>
      </c>
      <c r="L34" s="7" t="n">
        <v>4.72</v>
      </c>
      <c r="M34" s="5" t="inlineStr">
        <is>
          <t>Win</t>
        </is>
      </c>
      <c r="N34" s="6">
        <f>N33+K34</f>
        <v/>
      </c>
    </row>
    <row r="35">
      <c r="A35" s="8" t="inlineStr">
        <is>
          <t>2024-Q3</t>
        </is>
      </c>
      <c r="B35" s="8" t="inlineStr">
        <is>
          <t>MNQU4</t>
        </is>
      </c>
      <c r="C35" s="8" t="n">
        <v>18</v>
      </c>
      <c r="D35" s="8" t="n">
        <v>61</v>
      </c>
      <c r="E35" s="9" t="n">
        <v>20983.5</v>
      </c>
      <c r="F35" s="9" t="n">
        <v>19654</v>
      </c>
      <c r="G35" s="9">
        <f>E35-F35</f>
        <v/>
      </c>
      <c r="H35" s="8" t="inlineStr">
        <is>
          <t>Short</t>
        </is>
      </c>
      <c r="I35" s="9" t="n">
        <v>19654</v>
      </c>
      <c r="J35" s="9" t="n">
        <v>20248</v>
      </c>
      <c r="K35" s="9">
        <f>IF(H35="Long",J35-I35,IF(H35="Short",I35-J35,0))</f>
        <v/>
      </c>
      <c r="L35" s="10" t="n">
        <v>66.47</v>
      </c>
      <c r="M35" s="8" t="inlineStr">
        <is>
          <t>Period-Close</t>
        </is>
      </c>
      <c r="N35" s="9">
        <f>N34+K35</f>
        <v/>
      </c>
    </row>
    <row r="36">
      <c r="A36" s="5" t="inlineStr">
        <is>
          <t>2024-Q4</t>
        </is>
      </c>
      <c r="B36" s="5" t="inlineStr">
        <is>
          <t>MNQZ4</t>
        </is>
      </c>
      <c r="C36" s="5" t="n">
        <v>17</v>
      </c>
      <c r="D36" s="5" t="n">
        <v>62</v>
      </c>
      <c r="E36" s="6" t="n">
        <v>20680</v>
      </c>
      <c r="F36" s="6" t="n">
        <v>19818</v>
      </c>
      <c r="G36" s="6">
        <f>E36-F36</f>
        <v/>
      </c>
      <c r="H36" s="5" t="inlineStr">
        <is>
          <t>Long</t>
        </is>
      </c>
      <c r="I36" s="6" t="n">
        <v>20680</v>
      </c>
      <c r="J36" s="6" t="n">
        <v>21542</v>
      </c>
      <c r="K36" s="6">
        <f>IF(H36="Long",J36-I36,IF(H36="Short",I36-J36,0))</f>
        <v/>
      </c>
      <c r="L36" s="7" t="n">
        <v>77.98999999999999</v>
      </c>
      <c r="M36" s="5" t="inlineStr">
        <is>
          <t>Win</t>
        </is>
      </c>
      <c r="N36" s="6">
        <f>N35+K36</f>
        <v/>
      </c>
    </row>
    <row r="37">
      <c r="A37" s="2" t="inlineStr">
        <is>
          <t>2025-Q1</t>
        </is>
      </c>
      <c r="B37" s="2" t="inlineStr">
        <is>
          <t>MNQH5</t>
        </is>
      </c>
      <c r="C37" s="2" t="n">
        <v>16</v>
      </c>
      <c r="D37" s="2" t="n">
        <v>61</v>
      </c>
      <c r="E37" s="3" t="n">
        <v>21897</v>
      </c>
      <c r="F37" s="3" t="n">
        <v>20693.5</v>
      </c>
      <c r="G37" s="3">
        <f>E37-F37</f>
        <v/>
      </c>
      <c r="H37" s="2" t="inlineStr">
        <is>
          <t>Long</t>
        </is>
      </c>
      <c r="I37" s="3" t="n">
        <v>21897</v>
      </c>
      <c r="J37" s="3" t="n">
        <v>20693.5</v>
      </c>
      <c r="K37" s="3">
        <f>IF(H37="Long",J37-I37,IF(H37="Short",I37-J37,0))</f>
        <v/>
      </c>
      <c r="L37" s="4" t="n">
        <v>100</v>
      </c>
      <c r="M37" s="2" t="inlineStr">
        <is>
          <t>Loss</t>
        </is>
      </c>
      <c r="N37" s="3">
        <f>N36+K37</f>
        <v/>
      </c>
    </row>
    <row r="38">
      <c r="A38" s="5" t="inlineStr">
        <is>
          <t>2025-Q1</t>
        </is>
      </c>
      <c r="B38" s="5" t="inlineStr">
        <is>
          <t>MNQH5</t>
        </is>
      </c>
      <c r="C38" s="5" t="n">
        <v>16</v>
      </c>
      <c r="D38" s="5" t="n">
        <v>61</v>
      </c>
      <c r="E38" s="6" t="n">
        <v>21897</v>
      </c>
      <c r="F38" s="6" t="n">
        <v>20693.5</v>
      </c>
      <c r="G38" s="6">
        <f>E38-F38</f>
        <v/>
      </c>
      <c r="H38" s="5" t="inlineStr">
        <is>
          <t>Short</t>
        </is>
      </c>
      <c r="I38" s="6" t="n">
        <v>20693.5</v>
      </c>
      <c r="J38" s="6" t="n">
        <v>19490</v>
      </c>
      <c r="K38" s="6">
        <f>IF(H38="Long",J38-I38,IF(H38="Short",I38-J38,0))</f>
        <v/>
      </c>
      <c r="L38" s="7" t="n">
        <v>35.5</v>
      </c>
      <c r="M38" s="5" t="inlineStr">
        <is>
          <t>Win</t>
        </is>
      </c>
      <c r="N38" s="6">
        <f>N37+K38</f>
        <v/>
      </c>
    </row>
    <row r="39">
      <c r="A39" s="8" t="inlineStr">
        <is>
          <t>2025-Q2</t>
        </is>
      </c>
      <c r="B39" s="8" t="inlineStr">
        <is>
          <t>MNQM5</t>
        </is>
      </c>
      <c r="C39" s="8" t="n">
        <v>16</v>
      </c>
      <c r="D39" s="8" t="n">
        <v>61</v>
      </c>
      <c r="E39" s="9" t="n">
        <v>20045.25</v>
      </c>
      <c r="F39" s="9" t="n">
        <v>16452.5</v>
      </c>
      <c r="G39" s="9">
        <f>E39-F39</f>
        <v/>
      </c>
      <c r="H39" s="8" t="inlineStr">
        <is>
          <t>Long</t>
        </is>
      </c>
      <c r="I39" s="9" t="n">
        <v>20045.25</v>
      </c>
      <c r="J39" s="9" t="n">
        <v>22881.5</v>
      </c>
      <c r="K39" s="9">
        <f>IF(H39="Long",J39-I39,IF(H39="Short",I39-J39,0))</f>
        <v/>
      </c>
      <c r="L39" s="10" t="n">
        <v>10.21</v>
      </c>
      <c r="M39" s="8" t="inlineStr">
        <is>
          <t>Period-Close</t>
        </is>
      </c>
      <c r="N39" s="9">
        <f>N38+K39</f>
        <v/>
      </c>
    </row>
    <row r="40">
      <c r="A40" s="5" t="inlineStr">
        <is>
          <t>2025-Q3</t>
        </is>
      </c>
      <c r="B40" s="5" t="inlineStr">
        <is>
          <t>MNQU5</t>
        </is>
      </c>
      <c r="C40" s="5" t="n">
        <v>17</v>
      </c>
      <c r="D40" s="5" t="n">
        <v>62</v>
      </c>
      <c r="E40" s="6" t="n">
        <v>23320.5</v>
      </c>
      <c r="F40" s="6" t="n">
        <v>22584.75</v>
      </c>
      <c r="G40" s="6">
        <f>E40-F40</f>
        <v/>
      </c>
      <c r="H40" s="5" t="inlineStr">
        <is>
          <t>Long</t>
        </is>
      </c>
      <c r="I40" s="6" t="n">
        <v>23320.5</v>
      </c>
      <c r="J40" s="6" t="n">
        <v>24056.25</v>
      </c>
      <c r="K40" s="6">
        <f>IF(H40="Long",J40-I40,IF(H40="Short",I40-J40,0))</f>
        <v/>
      </c>
      <c r="L40" s="7" t="n">
        <v>72.34</v>
      </c>
      <c r="M40" s="5" t="inlineStr">
        <is>
          <t>Win</t>
        </is>
      </c>
      <c r="N40" s="6">
        <f>N39+K40</f>
        <v/>
      </c>
    </row>
    <row r="41">
      <c r="A41" s="5" t="inlineStr">
        <is>
          <t>2025-Q3</t>
        </is>
      </c>
      <c r="B41" s="5" t="inlineStr">
        <is>
          <t>MNQU5</t>
        </is>
      </c>
      <c r="C41" s="5" t="n">
        <v>17</v>
      </c>
      <c r="D41" s="5" t="n">
        <v>62</v>
      </c>
      <c r="E41" s="6" t="n">
        <v>23320.5</v>
      </c>
      <c r="F41" s="6" t="n">
        <v>22584.75</v>
      </c>
      <c r="G41" s="6">
        <f>E41-F41</f>
        <v/>
      </c>
      <c r="H41" s="5" t="inlineStr">
        <is>
          <t>Long</t>
        </is>
      </c>
      <c r="I41" s="6" t="n">
        <v>23320.5</v>
      </c>
      <c r="J41" s="6" t="n">
        <v>24056.25</v>
      </c>
      <c r="K41" s="6">
        <f>IF(H41="Long",J41-I41,IF(H41="Short",I41-J41,0))</f>
        <v/>
      </c>
      <c r="L41" s="7" t="n">
        <v>40.16</v>
      </c>
      <c r="M41" s="5" t="inlineStr">
        <is>
          <t>Win</t>
        </is>
      </c>
      <c r="N41" s="6">
        <f>N40+K41</f>
        <v/>
      </c>
    </row>
    <row r="42">
      <c r="A42" s="2" t="inlineStr">
        <is>
          <t>2025-Q4</t>
        </is>
      </c>
      <c r="B42" s="2" t="inlineStr">
        <is>
          <t>MNQZ5</t>
        </is>
      </c>
      <c r="C42" s="2" t="n">
        <v>16</v>
      </c>
      <c r="D42" s="2" t="n">
        <v>63</v>
      </c>
      <c r="E42" s="3" t="n">
        <v>25393</v>
      </c>
      <c r="F42" s="3" t="n">
        <v>24157.75</v>
      </c>
      <c r="G42" s="3">
        <f>E42-F42</f>
        <v/>
      </c>
      <c r="H42" s="2" t="inlineStr">
        <is>
          <t>Long</t>
        </is>
      </c>
      <c r="I42" s="3" t="n">
        <v>25393</v>
      </c>
      <c r="J42" s="3" t="n">
        <v>24157.75</v>
      </c>
      <c r="K42" s="3">
        <f>IF(H42="Long",J42-I42,IF(H42="Short",I42-J42,0))</f>
        <v/>
      </c>
      <c r="L42" s="4" t="n">
        <v>100</v>
      </c>
      <c r="M42" s="2" t="inlineStr">
        <is>
          <t>Loss</t>
        </is>
      </c>
      <c r="N42" s="3">
        <f>N41+K42</f>
        <v/>
      </c>
    </row>
    <row r="43">
      <c r="A43" s="2" t="inlineStr">
        <is>
          <t>2025-Q4</t>
        </is>
      </c>
      <c r="B43" s="2" t="inlineStr">
        <is>
          <t>MNQZ5</t>
        </is>
      </c>
      <c r="C43" s="2" t="n">
        <v>16</v>
      </c>
      <c r="D43" s="2" t="n">
        <v>63</v>
      </c>
      <c r="E43" s="3" t="n">
        <v>25393</v>
      </c>
      <c r="F43" s="3" t="n">
        <v>24157.75</v>
      </c>
      <c r="G43" s="3">
        <f>E43-F43</f>
        <v/>
      </c>
      <c r="H43" s="2" t="inlineStr">
        <is>
          <t>Short</t>
        </is>
      </c>
      <c r="I43" s="3" t="n">
        <v>24157.75</v>
      </c>
      <c r="J43" s="3" t="n">
        <v>25393</v>
      </c>
      <c r="K43" s="3">
        <f>IF(H43="Long",J43-I43,IF(H43="Short",I43-J43,0))</f>
        <v/>
      </c>
      <c r="L43" s="4" t="n">
        <v>100</v>
      </c>
      <c r="M43" s="2" t="inlineStr">
        <is>
          <t>Loss</t>
        </is>
      </c>
      <c r="N43" s="3">
        <f>N42+K43</f>
        <v/>
      </c>
    </row>
    <row r="44">
      <c r="A44" s="2" t="inlineStr">
        <is>
          <t>2026-Q1</t>
        </is>
      </c>
      <c r="B44" s="2" t="inlineStr">
        <is>
          <t>MNQH6</t>
        </is>
      </c>
      <c r="C44" s="2" t="n">
        <v>15</v>
      </c>
      <c r="D44" s="2" t="n">
        <v>42</v>
      </c>
      <c r="E44" s="3" t="n">
        <v>26046.25</v>
      </c>
      <c r="F44" s="3" t="n">
        <v>25265.25</v>
      </c>
      <c r="G44" s="3">
        <f>E44-F44</f>
        <v/>
      </c>
      <c r="H44" s="2" t="inlineStr">
        <is>
          <t>Short</t>
        </is>
      </c>
      <c r="I44" s="3" t="n">
        <v>25265.25</v>
      </c>
      <c r="J44" s="3" t="n">
        <v>26046.25</v>
      </c>
      <c r="K44" s="3">
        <f>IF(H44="Long",J44-I44,IF(H44="Short",I44-J44,0))</f>
        <v/>
      </c>
      <c r="L44" s="4" t="n">
        <v>100</v>
      </c>
      <c r="M44" s="2" t="inlineStr">
        <is>
          <t>Loss</t>
        </is>
      </c>
      <c r="N44" s="3">
        <f>N43+K44</f>
        <v/>
      </c>
    </row>
    <row r="45">
      <c r="A45" s="2" t="inlineStr">
        <is>
          <t>2026-Q1</t>
        </is>
      </c>
      <c r="B45" s="2" t="inlineStr">
        <is>
          <t>MNQH6</t>
        </is>
      </c>
      <c r="C45" s="2" t="n">
        <v>15</v>
      </c>
      <c r="D45" s="2" t="n">
        <v>42</v>
      </c>
      <c r="E45" s="3" t="n">
        <v>26046.25</v>
      </c>
      <c r="F45" s="3" t="n">
        <v>25265.25</v>
      </c>
      <c r="G45" s="3">
        <f>E45-F45</f>
        <v/>
      </c>
      <c r="H45" s="2" t="inlineStr">
        <is>
          <t>Long</t>
        </is>
      </c>
      <c r="I45" s="3" t="n">
        <v>26046.25</v>
      </c>
      <c r="J45" s="3" t="n">
        <v>25265.25</v>
      </c>
      <c r="K45" s="3">
        <f>IF(H45="Long",J45-I45,IF(H45="Short",I45-J45,0))</f>
        <v/>
      </c>
      <c r="L45" s="4" t="n">
        <v>100</v>
      </c>
      <c r="M45" s="2" t="inlineStr">
        <is>
          <t>Loss</t>
        </is>
      </c>
      <c r="N45" s="3">
        <f>N44+K45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Rows</t>
        </is>
      </c>
      <c r="B2">
        <f>COUNTA('ORB Results'!M2:M45)</f>
        <v/>
      </c>
    </row>
    <row r="3">
      <c r="A3" t="inlineStr">
        <is>
          <t>Trades (excl No-Op)</t>
        </is>
      </c>
      <c r="B3">
        <f>COUNTIF('ORB Results'!M2:M45,"Win")+COUNTIF('ORB Results'!M2:M45,"Loss")+COUNTIF('ORB Results'!M2:M45,"EOD-Close")+COUNTIF('ORB Results'!M2:M45,"Period-Close")</f>
        <v/>
      </c>
    </row>
    <row r="4">
      <c r="A4" t="inlineStr">
        <is>
          <t>Wins</t>
        </is>
      </c>
      <c r="B4">
        <f>COUNTIF('ORB Results'!M2:M45,"Win")</f>
        <v/>
      </c>
    </row>
    <row r="5">
      <c r="A5" t="inlineStr">
        <is>
          <t>Losses</t>
        </is>
      </c>
      <c r="B5">
        <f>COUNTIF('ORB Results'!M2:M45,"Loss")</f>
        <v/>
      </c>
    </row>
    <row r="6">
      <c r="A6" t="inlineStr">
        <is>
          <t>EOD/Period Close</t>
        </is>
      </c>
      <c r="B6">
        <f>COUNTIF('ORB Results'!M2:M45,"EOD-Close")+COUNTIF('ORB Results'!M2:M45,"Period-Close")</f>
        <v/>
      </c>
    </row>
    <row r="7">
      <c r="A7" t="inlineStr">
        <is>
          <t>No-Op</t>
        </is>
      </c>
      <c r="B7">
        <f>COUNTIF('ORB Results'!M2:M45,"No-Op")</f>
        <v/>
      </c>
    </row>
    <row r="8">
      <c r="A8" t="inlineStr">
        <is>
          <t>Win Rate (W/L only)</t>
        </is>
      </c>
      <c r="B8" s="12">
        <f>IF(B4+B5&gt;0,B4/(B4+B5),0)</f>
        <v/>
      </c>
    </row>
    <row r="9">
      <c r="A9" t="inlineStr">
        <is>
          <t>Win Rate (all trades)</t>
        </is>
      </c>
      <c r="B9" s="12">
        <f>IF(B3&gt;0,COUNTIFS('ORB Results'!M2:M45,"&lt;&gt;No-Op",'ORB Results'!K2:K45,"&gt;"&amp;0)/B3,0)</f>
        <v/>
      </c>
    </row>
    <row r="10">
      <c r="A10" t="inlineStr">
        <is>
          <t>Total P/L</t>
        </is>
      </c>
      <c r="B10" s="13">
        <f>SUM('ORB Results'!K2:K45)</f>
        <v/>
      </c>
    </row>
    <row r="11">
      <c r="A11" t="inlineStr">
        <is>
          <t>Avg Trade P/L</t>
        </is>
      </c>
      <c r="B11" s="13">
        <f>IF(B3&gt;0,B10/B3,0)</f>
        <v/>
      </c>
    </row>
    <row r="12">
      <c r="A12" t="inlineStr">
        <is>
          <t>Avg Drawdown %</t>
        </is>
      </c>
      <c r="B12" s="14">
        <f>AVERAGEIFS('ORB Results'!L2:L45,'ORB Results'!M2:M45,"&lt;&gt;No-Op")</f>
        <v/>
      </c>
    </row>
    <row r="13">
      <c r="A13" t="inlineStr">
        <is>
          <t>Avg Win Drawdown %</t>
        </is>
      </c>
      <c r="B13" s="14">
        <f>AVERAGEIF('ORB Results'!M2:M45,"Win",'ORB Results'!L2:L45)</f>
        <v/>
      </c>
    </row>
    <row r="14">
      <c r="A14" t="inlineStr">
        <is>
          <t>Final Cumulative P/L</t>
        </is>
      </c>
      <c r="B14" s="13">
        <f>'ORB Results'!N45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2026-04-24T13:54:30Z</dcterms:created>
  <dcterms:modified xsi:type="dcterms:W3CDTF">2026-04-24T13:54:30Z</dcterms:modified>
</cp:coreProperties>
</file>